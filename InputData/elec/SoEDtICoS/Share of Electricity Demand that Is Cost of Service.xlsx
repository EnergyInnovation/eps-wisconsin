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EIA-861 Sales 2024" sheetId="3" state="visible" r:id="rId3"/>
    <sheet xmlns:r="http://schemas.openxmlformats.org/officeDocument/2006/relationships" name="Share" sheetId="4" state="visible" r:id="rId4"/>
    <sheet xmlns:r="http://schemas.openxmlformats.org/officeDocument/2006/relationships" name="SoEDt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</font>
    <font>
      <color rgb="000563C1"/>
      <u val="single"/>
    </font>
    <font>
      <b val="1"/>
      <color rgb="00FFFFFF"/>
    </font>
    <font>
      <b val="1"/>
      <i val="1"/>
      <color rgb="001F3864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ia.gov/electricity/data/eia861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SoEDtICoS Share of Electricity Demand that Is Cost of Service</t>
        </is>
      </c>
    </row>
    <row r="2">
      <c r="A2" s="2" t="inlineStr">
        <is>
          <t>Scope: state of WI   |   Data year: 2024</t>
        </is>
      </c>
    </row>
    <row r="4">
      <c r="A4" s="1" t="inlineStr">
        <is>
          <t>Source:</t>
        </is>
      </c>
      <c r="B4" s="3" t="inlineStr">
        <is>
          <t>Retail electricity sales by serving entity (utility / marketer / CCA)</t>
        </is>
      </c>
    </row>
    <row r="5">
      <c r="B5" s="4" t="inlineStr">
        <is>
          <t>U.S. Energy Information Administration (EIA)</t>
        </is>
      </c>
    </row>
    <row r="6">
      <c r="B6" s="4" t="inlineStr">
        <is>
          <t>Form EIA-861 detailed data, Sales_Ult_Cust_2024.xlsx (sheet 'States')</t>
        </is>
      </c>
    </row>
    <row r="7">
      <c r="B7" s="4" t="n">
        <v>2024</v>
      </c>
    </row>
    <row r="8">
      <c r="B8" s="5" t="inlineStr">
        <is>
          <t>https://www.eia.gov/electricity/data/eia861/</t>
        </is>
      </c>
    </row>
    <row r="9">
      <c r="B9" s="4" t="inlineStr">
        <is>
          <t>Cost-of-service share = cost-of-service MWh / (cost-of-service + procurement) MWh for this jurisdiction. Ties to EIA published retail sales (Bundled+Energy).</t>
        </is>
      </c>
    </row>
    <row r="11">
      <c r="A11" s="1" t="inlineStr">
        <is>
          <t>Notes:</t>
        </is>
      </c>
    </row>
    <row r="12">
      <c r="A12" s="6" t="inlineStr">
        <is>
          <t>Classification</t>
        </is>
      </c>
      <c r="B12" s="4" t="inlineStr">
        <is>
          <t>LSE-based: cost-of-service = bundled sales of munis, cooperatives, federal/state/political-subdivision utilities, plus IOUs in non-restructured states (and the TX override utilities). Procurement = marketers, CCAs, any 'Energy' service-type sales, and IOUs in restructured states.</t>
        </is>
      </c>
    </row>
    <row r="13">
      <c r="A13" s="6" t="inlineStr">
        <is>
          <t>Double-count fix</t>
        </is>
      </c>
      <c r="B13" s="4" t="inlineStr">
        <is>
          <t>Only Service Type Bundled or Energy enter the totals; 'Delivery' rows (the wires half of choice load) are classified 'excluded'.</t>
        </is>
      </c>
    </row>
    <row r="14">
      <c r="A14" s="6" t="inlineStr">
        <is>
          <t>Exclusions</t>
        </is>
      </c>
      <c r="B14" s="4" t="inlineStr">
        <is>
          <t>EIA 'Adjustment' rows and 'Behind the Meter' ownership are excluded.</t>
        </is>
      </c>
    </row>
    <row r="15">
      <c r="A15" s="6" t="inlineStr">
        <is>
          <t>Time profile</t>
        </is>
      </c>
      <c r="B15" s="4" t="inlineStr">
        <is>
          <t>Held FLAT 2021-2050 at the latest-year cost-of-service share. The analysis measures a single recent year; no independent forward projection is made.</t>
        </is>
      </c>
    </row>
    <row r="16">
      <c r="A16" s="6" t="inlineStr">
        <is>
          <t>Restructured + overrides</t>
        </is>
      </c>
      <c r="B16" s="4" t="inlineStr">
        <is>
          <t>Editable on the Parameters tab. Non-ERCOT TX IOUs (util #s 55937/17718/17698/5701) are held cost-of-service.</t>
        </is>
      </c>
    </row>
    <row r="17">
      <c r="A17" s="6" t="inlineStr">
        <is>
          <t>How it computes</t>
        </is>
      </c>
      <c r="B17" s="4" t="inlineStr">
        <is>
          <t>Source tab 'bucket' column classifies each row (reads Parameters via COUNTIF); the Share tab sums via SUMIFS; the SoEDtICoS tab = ROUND(share,3) flat across years. Edit Parameters and the EPS value recomputes.</t>
        </is>
      </c>
    </row>
    <row r="18">
      <c r="A18" s="6" t="inlineStr">
        <is>
          <t>Caveat</t>
        </is>
      </c>
      <c r="B18" s="4" t="inlineStr">
        <is>
          <t>Staff-review input; verify against EIA primary sources. Restructured list and TX overrides are adjustable assumptions.</t>
        </is>
      </c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</cols>
  <sheetData>
    <row r="1">
      <c r="A1" s="1" t="inlineStr">
        <is>
          <t>Parameters (editable — outputs recompute)</t>
        </is>
      </c>
    </row>
    <row r="3">
      <c r="A3" s="7" t="inlineStr">
        <is>
          <t>Fully Restructured States</t>
        </is>
      </c>
      <c r="B3" s="7" t="inlineStr">
        <is>
          <t>Override Utility #</t>
        </is>
      </c>
      <c r="C3" s="7" t="inlineStr">
        <is>
          <t>Override Utility Name (reference)</t>
        </is>
      </c>
    </row>
    <row r="4">
      <c r="A4" t="inlineStr">
        <is>
          <t>CT</t>
        </is>
      </c>
      <c r="B4" t="n">
        <v>55937</v>
      </c>
      <c r="C4" t="inlineStr">
        <is>
          <t>Entergy Texas Inc.</t>
        </is>
      </c>
    </row>
    <row r="5">
      <c r="A5" t="inlineStr">
        <is>
          <t>DC</t>
        </is>
      </c>
      <c r="B5" t="n">
        <v>17718</v>
      </c>
      <c r="C5" t="inlineStr">
        <is>
          <t>Southwestern Public Service Co</t>
        </is>
      </c>
    </row>
    <row r="6">
      <c r="A6" t="inlineStr">
        <is>
          <t>DE</t>
        </is>
      </c>
      <c r="B6" t="n">
        <v>17698</v>
      </c>
      <c r="C6" t="inlineStr">
        <is>
          <t>Southwestern Electric Power Co</t>
        </is>
      </c>
    </row>
    <row r="7">
      <c r="A7" t="inlineStr">
        <is>
          <t>IL</t>
        </is>
      </c>
      <c r="B7" t="n">
        <v>5701</v>
      </c>
      <c r="C7" t="inlineStr">
        <is>
          <t>El Paso Electric Co</t>
        </is>
      </c>
    </row>
    <row r="8">
      <c r="A8" t="inlineStr">
        <is>
          <t>MA</t>
        </is>
      </c>
    </row>
    <row r="9">
      <c r="A9" t="inlineStr">
        <is>
          <t>MD</t>
        </is>
      </c>
    </row>
    <row r="10">
      <c r="A10" t="inlineStr">
        <is>
          <t>ME</t>
        </is>
      </c>
    </row>
    <row r="11">
      <c r="A11" t="inlineStr">
        <is>
          <t>NH</t>
        </is>
      </c>
    </row>
    <row r="12">
      <c r="A12" t="inlineStr">
        <is>
          <t>NJ</t>
        </is>
      </c>
    </row>
    <row r="13">
      <c r="A13" t="inlineStr">
        <is>
          <t>NY</t>
        </is>
      </c>
    </row>
    <row r="14">
      <c r="A14" t="inlineStr">
        <is>
          <t>OH</t>
        </is>
      </c>
    </row>
    <row r="15">
      <c r="A15" t="inlineStr">
        <is>
          <t>PA</t>
        </is>
      </c>
    </row>
    <row r="16">
      <c r="A16" t="inlineStr">
        <is>
          <t>RI</t>
        </is>
      </c>
    </row>
    <row r="17">
      <c r="A17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Utility Characteristics</t>
        </is>
      </c>
      <c r="J1" t="inlineStr">
        <is>
          <t>RESIDENTIAL</t>
        </is>
      </c>
      <c r="M1" t="inlineStr">
        <is>
          <t>COMMERCIAL</t>
        </is>
      </c>
      <c r="P1" t="inlineStr">
        <is>
          <t>INDUSTRIAL</t>
        </is>
      </c>
      <c r="S1" t="inlineStr">
        <is>
          <t>TRANSPORTATION</t>
        </is>
      </c>
      <c r="V1" t="inlineStr">
        <is>
          <t>TOTAL</t>
        </is>
      </c>
    </row>
    <row r="2">
      <c r="A2" t="inlineStr"/>
      <c r="J2" t="inlineStr">
        <is>
          <t>Revenues</t>
        </is>
      </c>
      <c r="K2" t="inlineStr">
        <is>
          <t>Sales</t>
        </is>
      </c>
      <c r="L2" t="inlineStr">
        <is>
          <t>Customers</t>
        </is>
      </c>
      <c r="M2" t="inlineStr">
        <is>
          <t>Revenues</t>
        </is>
      </c>
      <c r="N2" t="inlineStr">
        <is>
          <t>Sales</t>
        </is>
      </c>
      <c r="O2" t="inlineStr">
        <is>
          <t>Customers</t>
        </is>
      </c>
      <c r="P2" t="inlineStr">
        <is>
          <t>Revenues</t>
        </is>
      </c>
      <c r="Q2" t="inlineStr">
        <is>
          <t>Sales</t>
        </is>
      </c>
      <c r="R2" t="inlineStr">
        <is>
          <t>Customers</t>
        </is>
      </c>
      <c r="S2" t="inlineStr">
        <is>
          <t>Revenues</t>
        </is>
      </c>
      <c r="T2" t="inlineStr">
        <is>
          <t>Sales</t>
        </is>
      </c>
      <c r="U2" t="inlineStr">
        <is>
          <t>Customers</t>
        </is>
      </c>
      <c r="V2" t="inlineStr">
        <is>
          <t>Revenues</t>
        </is>
      </c>
      <c r="W2" t="inlineStr">
        <is>
          <t>Sales</t>
        </is>
      </c>
      <c r="X2" t="inlineStr">
        <is>
          <t>Customers</t>
        </is>
      </c>
    </row>
    <row r="3">
      <c r="A3" t="inlineStr">
        <is>
          <t>Data Year</t>
        </is>
      </c>
      <c r="B3" t="inlineStr">
        <is>
          <t>Utility Number</t>
        </is>
      </c>
      <c r="C3" t="inlineStr">
        <is>
          <t>Utility Name</t>
        </is>
      </c>
      <c r="D3" t="inlineStr">
        <is>
          <t>Part</t>
        </is>
      </c>
      <c r="E3" t="inlineStr">
        <is>
          <t>Service Type</t>
        </is>
      </c>
      <c r="F3" t="inlineStr">
        <is>
          <t>Data Type
O = Observed
I = Imputed</t>
        </is>
      </c>
      <c r="G3" t="inlineStr">
        <is>
          <t>State</t>
        </is>
      </c>
      <c r="H3" t="inlineStr">
        <is>
          <t>Ownership</t>
        </is>
      </c>
      <c r="I3" t="inlineStr">
        <is>
          <t>BA Code</t>
        </is>
      </c>
      <c r="J3" t="inlineStr">
        <is>
          <t>Thousand Dollars</t>
        </is>
      </c>
      <c r="K3" t="inlineStr">
        <is>
          <t>Megawatthours</t>
        </is>
      </c>
      <c r="L3" t="inlineStr">
        <is>
          <t>Count</t>
        </is>
      </c>
      <c r="M3" t="inlineStr">
        <is>
          <t>Thousand Dollars</t>
        </is>
      </c>
      <c r="N3" t="inlineStr">
        <is>
          <t>Megawatthours</t>
        </is>
      </c>
      <c r="O3" t="inlineStr">
        <is>
          <t>Count</t>
        </is>
      </c>
      <c r="P3" t="inlineStr">
        <is>
          <t>Thousand Dollars</t>
        </is>
      </c>
      <c r="Q3" t="inlineStr">
        <is>
          <t>Megawatthours</t>
        </is>
      </c>
      <c r="R3" t="inlineStr">
        <is>
          <t>Count</t>
        </is>
      </c>
      <c r="S3" t="inlineStr">
        <is>
          <t>Thousand Dollars</t>
        </is>
      </c>
      <c r="T3" t="inlineStr">
        <is>
          <t>Megawatthours</t>
        </is>
      </c>
      <c r="U3" t="inlineStr">
        <is>
          <t>Count</t>
        </is>
      </c>
      <c r="V3" t="inlineStr">
        <is>
          <t>Thousand Dollars</t>
        </is>
      </c>
      <c r="W3" t="inlineStr">
        <is>
          <t>Megawatthours</t>
        </is>
      </c>
      <c r="X3" t="inlineStr">
        <is>
          <t>Count</t>
        </is>
      </c>
      <c r="Y3" s="8" t="inlineStr">
        <is>
          <t>sales_mwh (derived)</t>
        </is>
      </c>
      <c r="Z3" s="8" t="inlineStr">
        <is>
          <t>bucket (derived)</t>
        </is>
      </c>
    </row>
    <row r="4">
      <c r="A4" t="n">
        <v>2024</v>
      </c>
      <c r="B4" t="n">
        <v>108</v>
      </c>
      <c r="C4" t="inlineStr">
        <is>
          <t>Adams-Columbia Electric Coop</t>
        </is>
      </c>
      <c r="D4" t="inlineStr">
        <is>
          <t>A</t>
        </is>
      </c>
      <c r="E4" t="inlineStr">
        <is>
          <t>Bundled</t>
        </is>
      </c>
      <c r="F4" t="inlineStr">
        <is>
          <t>O</t>
        </is>
      </c>
      <c r="G4" t="inlineStr">
        <is>
          <t>WI</t>
        </is>
      </c>
      <c r="H4" t="inlineStr">
        <is>
          <t>Cooperative</t>
        </is>
      </c>
      <c r="I4" t="inlineStr">
        <is>
          <t>MISO</t>
        </is>
      </c>
      <c r="J4" t="n">
        <v>46745</v>
      </c>
      <c r="K4" t="n">
        <v>265097</v>
      </c>
      <c r="L4" t="n">
        <v>35910</v>
      </c>
      <c r="M4" t="n">
        <v>11973</v>
      </c>
      <c r="N4" t="n">
        <v>92563</v>
      </c>
      <c r="O4" t="n">
        <v>2518</v>
      </c>
      <c r="P4" t="n">
        <v>22091</v>
      </c>
      <c r="Q4" t="n">
        <v>241188</v>
      </c>
      <c r="R4" t="n">
        <v>1027</v>
      </c>
      <c r="S4" t="inlineStr">
        <is>
          <t>.</t>
        </is>
      </c>
      <c r="T4" t="inlineStr">
        <is>
          <t>.</t>
        </is>
      </c>
      <c r="U4" t="inlineStr">
        <is>
          <t>.</t>
        </is>
      </c>
      <c r="V4" t="n">
        <v>80809</v>
      </c>
      <c r="W4" t="n">
        <v>598848</v>
      </c>
      <c r="X4" t="n">
        <v>39455</v>
      </c>
      <c r="Y4">
        <f>IF(ISNUMBER($W4),$W4,0)</f>
        <v/>
      </c>
      <c r="Z4">
        <f>IF(ISNUMBER(SEARCH("Adjustment",$C4)),"excluded",IF($H4="Behind the Meter","excluded",IF(NOT(OR($E4="Bundled",$E4="Energy")),"excluded",IF(OR($H4="Retail Power Marketer",$H4="Community Choice Aggregator",$E4="Energy"),"procurement",IF(OR($H4="Municipal",$H4="Cooperative",$H4="Federal",$H4="State",$H4="Political Subdivision"),"cost_service",IF($H4="Investor Owned",IF(AND(COUNTIF(Parameters!$A$4:$A$33,$G4)&gt;0,COUNTIF(Parameters!$B$4:$B$33,$B4)=0),"procurement","cost_service"),"unclassified"))))))</f>
        <v/>
      </c>
    </row>
    <row r="5">
      <c r="A5" t="n">
        <v>2024</v>
      </c>
      <c r="B5" t="n">
        <v>307</v>
      </c>
      <c r="C5" t="inlineStr">
        <is>
          <t>Algoma Utility Comm</t>
        </is>
      </c>
      <c r="D5" t="inlineStr">
        <is>
          <t>A</t>
        </is>
      </c>
      <c r="E5" t="inlineStr">
        <is>
          <t>Bundled</t>
        </is>
      </c>
      <c r="F5" t="inlineStr">
        <is>
          <t>O</t>
        </is>
      </c>
      <c r="G5" t="inlineStr">
        <is>
          <t>WI</t>
        </is>
      </c>
      <c r="H5" t="inlineStr">
        <is>
          <t>Municipal</t>
        </is>
      </c>
      <c r="I5" t="inlineStr">
        <is>
          <t>MISO</t>
        </is>
      </c>
      <c r="J5" t="n">
        <v>1403.2</v>
      </c>
      <c r="K5" t="n">
        <v>10775</v>
      </c>
      <c r="L5" t="n">
        <v>1654</v>
      </c>
      <c r="M5" t="n">
        <v>1881.4</v>
      </c>
      <c r="N5" t="n">
        <v>17010</v>
      </c>
      <c r="O5" t="n">
        <v>395</v>
      </c>
      <c r="P5" t="n">
        <v>510.1</v>
      </c>
      <c r="Q5" t="n">
        <v>5869</v>
      </c>
      <c r="R5" t="n">
        <v>1</v>
      </c>
      <c r="S5" t="n">
        <v>0</v>
      </c>
      <c r="T5" t="n">
        <v>0</v>
      </c>
      <c r="U5" t="n">
        <v>0</v>
      </c>
      <c r="V5" t="n">
        <v>3794.7</v>
      </c>
      <c r="W5" t="n">
        <v>33654</v>
      </c>
      <c r="X5" t="n">
        <v>2050</v>
      </c>
      <c r="Y5">
        <f>IF(ISNUMBER($W5),$W5,0)</f>
        <v/>
      </c>
      <c r="Z5">
        <f>IF(ISNUMBER(SEARCH("Adjustment",$C5)),"excluded",IF($H5="Behind the Meter","excluded",IF(NOT(OR($E5="Bundled",$E5="Energy")),"excluded",IF(OR($H5="Retail Power Marketer",$H5="Community Choice Aggregator",$E5="Energy"),"procurement",IF(OR($H5="Municipal",$H5="Cooperative",$H5="Federal",$H5="State",$H5="Political Subdivision"),"cost_service",IF($H5="Investor Owned",IF(AND(COUNTIF(Parameters!$A$4:$A$33,$G5)&gt;0,COUNTIF(Parameters!$B$4:$B$33,$B5)=0),"procurement","cost_service"),"unclassified"))))))</f>
        <v/>
      </c>
    </row>
    <row r="6">
      <c r="A6" t="n">
        <v>2024</v>
      </c>
      <c r="B6" t="n">
        <v>1251</v>
      </c>
      <c r="C6" t="inlineStr">
        <is>
          <t>Barron Electric Coop</t>
        </is>
      </c>
      <c r="D6" t="inlineStr">
        <is>
          <t>A</t>
        </is>
      </c>
      <c r="E6" t="inlineStr">
        <is>
          <t>Bundled</t>
        </is>
      </c>
      <c r="F6" t="inlineStr">
        <is>
          <t>O</t>
        </is>
      </c>
      <c r="G6" t="inlineStr">
        <is>
          <t>WI</t>
        </is>
      </c>
      <c r="H6" t="inlineStr">
        <is>
          <t>Cooperative</t>
        </is>
      </c>
      <c r="I6" t="inlineStr">
        <is>
          <t>MISO</t>
        </is>
      </c>
      <c r="J6" t="n">
        <v>30025</v>
      </c>
      <c r="K6" t="n">
        <v>190990</v>
      </c>
      <c r="L6" t="n">
        <v>19266</v>
      </c>
      <c r="M6" t="n">
        <v>3103</v>
      </c>
      <c r="N6" t="n">
        <v>27675</v>
      </c>
      <c r="O6" t="n">
        <v>222</v>
      </c>
      <c r="P6" t="n">
        <v>7171</v>
      </c>
      <c r="Q6" t="n">
        <v>87706</v>
      </c>
      <c r="R6" t="n">
        <v>168</v>
      </c>
      <c r="S6" t="inlineStr">
        <is>
          <t>.</t>
        </is>
      </c>
      <c r="T6" t="inlineStr">
        <is>
          <t>.</t>
        </is>
      </c>
      <c r="U6" t="inlineStr">
        <is>
          <t>.</t>
        </is>
      </c>
      <c r="V6" t="n">
        <v>40299</v>
      </c>
      <c r="W6" t="n">
        <v>306371</v>
      </c>
      <c r="X6" t="n">
        <v>19656</v>
      </c>
      <c r="Y6">
        <f>IF(ISNUMBER($W6),$W6,0)</f>
        <v/>
      </c>
      <c r="Z6">
        <f>IF(ISNUMBER(SEARCH("Adjustment",$C6)),"excluded",IF($H6="Behind the Meter","excluded",IF(NOT(OR($E6="Bundled",$E6="Energy")),"excluded",IF(OR($H6="Retail Power Marketer",$H6="Community Choice Aggregator",$E6="Energy"),"procurement",IF(OR($H6="Municipal",$H6="Cooperative",$H6="Federal",$H6="State",$H6="Political Subdivision"),"cost_service",IF($H6="Investor Owned",IF(AND(COUNTIF(Parameters!$A$4:$A$33,$G6)&gt;0,COUNTIF(Parameters!$B$4:$B$33,$B6)=0),"procurement","cost_service"),"unclassified"))))))</f>
        <v/>
      </c>
    </row>
    <row r="7">
      <c r="A7" t="n">
        <v>2024</v>
      </c>
      <c r="B7" t="n">
        <v>1776</v>
      </c>
      <c r="C7" t="inlineStr">
        <is>
          <t>City of Black River Falls</t>
        </is>
      </c>
      <c r="D7" t="inlineStr">
        <is>
          <t>A</t>
        </is>
      </c>
      <c r="E7" t="inlineStr">
        <is>
          <t>Bundled</t>
        </is>
      </c>
      <c r="F7" t="inlineStr">
        <is>
          <t>O</t>
        </is>
      </c>
      <c r="G7" t="inlineStr">
        <is>
          <t>WI</t>
        </is>
      </c>
      <c r="H7" t="inlineStr">
        <is>
          <t>Municipal</t>
        </is>
      </c>
      <c r="I7" t="inlineStr">
        <is>
          <t>MISO</t>
        </is>
      </c>
      <c r="J7" t="n">
        <v>2635.4</v>
      </c>
      <c r="K7" t="n">
        <v>18397</v>
      </c>
      <c r="L7" t="n">
        <v>2321</v>
      </c>
      <c r="M7" t="n">
        <v>4075.2</v>
      </c>
      <c r="N7" t="n">
        <v>33861</v>
      </c>
      <c r="O7" t="n">
        <v>564</v>
      </c>
      <c r="P7" t="n">
        <v>137</v>
      </c>
      <c r="Q7" t="n">
        <v>479</v>
      </c>
      <c r="R7" t="n">
        <v>1</v>
      </c>
      <c r="S7" t="n">
        <v>0</v>
      </c>
      <c r="T7" t="n">
        <v>0</v>
      </c>
      <c r="U7" t="n">
        <v>0</v>
      </c>
      <c r="V7" t="n">
        <v>6847.6</v>
      </c>
      <c r="W7" t="n">
        <v>52737</v>
      </c>
      <c r="X7" t="n">
        <v>2886</v>
      </c>
      <c r="Y7">
        <f>IF(ISNUMBER($W7),$W7,0)</f>
        <v/>
      </c>
      <c r="Z7">
        <f>IF(ISNUMBER(SEARCH("Adjustment",$C7)),"excluded",IF($H7="Behind the Meter","excluded",IF(NOT(OR($E7="Bundled",$E7="Energy")),"excluded",IF(OR($H7="Retail Power Marketer",$H7="Community Choice Aggregator",$E7="Energy"),"procurement",IF(OR($H7="Municipal",$H7="Cooperative",$H7="Federal",$H7="State",$H7="Political Subdivision"),"cost_service",IF($H7="Investor Owned",IF(AND(COUNTIF(Parameters!$A$4:$A$33,$G7)&gt;0,COUNTIF(Parameters!$B$4:$B$33,$B7)=0),"procurement","cost_service"),"unclassified"))))))</f>
        <v/>
      </c>
    </row>
    <row r="8">
      <c r="A8" t="n">
        <v>2024</v>
      </c>
      <c r="B8" t="n">
        <v>1997</v>
      </c>
      <c r="C8" t="inlineStr">
        <is>
          <t>City of Boscobel - (WI)</t>
        </is>
      </c>
      <c r="D8" t="inlineStr">
        <is>
          <t>A</t>
        </is>
      </c>
      <c r="E8" t="inlineStr">
        <is>
          <t>Bundled</t>
        </is>
      </c>
      <c r="F8" t="inlineStr">
        <is>
          <t>O</t>
        </is>
      </c>
      <c r="G8" t="inlineStr">
        <is>
          <t>WI</t>
        </is>
      </c>
      <c r="H8" t="inlineStr">
        <is>
          <t>Municipal</t>
        </is>
      </c>
      <c r="I8" t="inlineStr">
        <is>
          <t>MISO</t>
        </is>
      </c>
      <c r="J8" t="n">
        <v>1234.7</v>
      </c>
      <c r="K8" t="n">
        <v>11590</v>
      </c>
      <c r="L8" t="n">
        <v>1448</v>
      </c>
      <c r="M8" t="n">
        <v>2336.8</v>
      </c>
      <c r="N8" t="n">
        <v>26061</v>
      </c>
      <c r="O8" t="n">
        <v>333</v>
      </c>
      <c r="P8" t="n">
        <v>345</v>
      </c>
      <c r="Q8" t="n">
        <v>4314</v>
      </c>
      <c r="R8" t="n">
        <v>1</v>
      </c>
      <c r="S8" t="n">
        <v>0</v>
      </c>
      <c r="T8" t="n">
        <v>0</v>
      </c>
      <c r="U8" t="n">
        <v>0</v>
      </c>
      <c r="V8" t="n">
        <v>3916.5</v>
      </c>
      <c r="W8" t="n">
        <v>41965</v>
      </c>
      <c r="X8" t="n">
        <v>1782</v>
      </c>
      <c r="Y8">
        <f>IF(ISNUMBER($W8),$W8,0)</f>
        <v/>
      </c>
      <c r="Z8">
        <f>IF(ISNUMBER(SEARCH("Adjustment",$C8)),"excluded",IF($H8="Behind the Meter","excluded",IF(NOT(OR($E8="Bundled",$E8="Energy")),"excluded",IF(OR($H8="Retail Power Marketer",$H8="Community Choice Aggregator",$E8="Energy"),"procurement",IF(OR($H8="Municipal",$H8="Cooperative",$H8="Federal",$H8="State",$H8="Political Subdivision"),"cost_service",IF($H8="Investor Owned",IF(AND(COUNTIF(Parameters!$A$4:$A$33,$G8)&gt;0,COUNTIF(Parameters!$B$4:$B$33,$B8)=0),"procurement","cost_service"),"unclassified"))))))</f>
        <v/>
      </c>
    </row>
    <row r="9">
      <c r="A9" t="n">
        <v>2024</v>
      </c>
      <c r="B9" t="n">
        <v>2273</v>
      </c>
      <c r="C9" t="inlineStr">
        <is>
          <t>Brodhead Water &amp; Lighting Comm</t>
        </is>
      </c>
      <c r="D9" t="inlineStr">
        <is>
          <t>A</t>
        </is>
      </c>
      <c r="E9" t="inlineStr">
        <is>
          <t>Bundled</t>
        </is>
      </c>
      <c r="F9" t="inlineStr">
        <is>
          <t>O</t>
        </is>
      </c>
      <c r="G9" t="inlineStr">
        <is>
          <t>WI</t>
        </is>
      </c>
      <c r="H9" t="inlineStr">
        <is>
          <t>Municipal</t>
        </is>
      </c>
      <c r="I9" t="inlineStr">
        <is>
          <t>MISO</t>
        </is>
      </c>
      <c r="J9" t="n">
        <v>1668.1</v>
      </c>
      <c r="K9" t="n">
        <v>12628</v>
      </c>
      <c r="L9" t="n">
        <v>1545</v>
      </c>
      <c r="M9" t="n">
        <v>1651.7</v>
      </c>
      <c r="N9" t="n">
        <v>13944</v>
      </c>
      <c r="O9" t="n">
        <v>311</v>
      </c>
      <c r="P9" t="n">
        <v>494.2</v>
      </c>
      <c r="Q9" t="n">
        <v>4248</v>
      </c>
      <c r="R9" t="n">
        <v>1</v>
      </c>
      <c r="S9" t="n">
        <v>0</v>
      </c>
      <c r="T9" t="n">
        <v>0</v>
      </c>
      <c r="U9" t="n">
        <v>0</v>
      </c>
      <c r="V9" t="n">
        <v>3814</v>
      </c>
      <c r="W9" t="n">
        <v>30820</v>
      </c>
      <c r="X9" t="n">
        <v>1857</v>
      </c>
      <c r="Y9">
        <f>IF(ISNUMBER($W9),$W9,0)</f>
        <v/>
      </c>
      <c r="Z9">
        <f>IF(ISNUMBER(SEARCH("Adjustment",$C9)),"excluded",IF($H9="Behind the Meter","excluded",IF(NOT(OR($E9="Bundled",$E9="Energy")),"excluded",IF(OR($H9="Retail Power Marketer",$H9="Community Choice Aggregator",$E9="Energy"),"procurement",IF(OR($H9="Municipal",$H9="Cooperative",$H9="Federal",$H9="State",$H9="Political Subdivision"),"cost_service",IF($H9="Investor Owned",IF(AND(COUNTIF(Parameters!$A$4:$A$33,$G9)&gt;0,COUNTIF(Parameters!$B$4:$B$33,$B9)=0),"procurement","cost_service"),"unclassified"))))))</f>
        <v/>
      </c>
    </row>
    <row r="10">
      <c r="A10" t="n">
        <v>2024</v>
      </c>
      <c r="B10" t="n">
        <v>3208</v>
      </c>
      <c r="C10" t="inlineStr">
        <is>
          <t>Cedarburg Light &amp; Water Comm</t>
        </is>
      </c>
      <c r="D10" t="inlineStr">
        <is>
          <t>A</t>
        </is>
      </c>
      <c r="E10" t="inlineStr">
        <is>
          <t>Bundled</t>
        </is>
      </c>
      <c r="F10" t="inlineStr">
        <is>
          <t>O</t>
        </is>
      </c>
      <c r="G10" t="inlineStr">
        <is>
          <t>WI</t>
        </is>
      </c>
      <c r="H10" t="inlineStr">
        <is>
          <t>Municipal</t>
        </is>
      </c>
      <c r="I10" t="inlineStr">
        <is>
          <t>MISO</t>
        </is>
      </c>
      <c r="J10" t="n">
        <v>5802.9</v>
      </c>
      <c r="K10" t="n">
        <v>45697</v>
      </c>
      <c r="L10" t="n">
        <v>6063</v>
      </c>
      <c r="M10" t="n">
        <v>5275.1</v>
      </c>
      <c r="N10" t="n">
        <v>48200</v>
      </c>
      <c r="O10" t="n">
        <v>948</v>
      </c>
      <c r="P10" t="n">
        <v>920.7</v>
      </c>
      <c r="Q10" t="n">
        <v>11847</v>
      </c>
      <c r="R10" t="n">
        <v>1</v>
      </c>
      <c r="S10" t="n">
        <v>0</v>
      </c>
      <c r="T10" t="n">
        <v>0</v>
      </c>
      <c r="U10" t="n">
        <v>0</v>
      </c>
      <c r="V10" t="n">
        <v>11998.7</v>
      </c>
      <c r="W10" t="n">
        <v>105744</v>
      </c>
      <c r="X10" t="n">
        <v>7012</v>
      </c>
      <c r="Y10">
        <f>IF(ISNUMBER($W10),$W10,0)</f>
        <v/>
      </c>
      <c r="Z10">
        <f>IF(ISNUMBER(SEARCH("Adjustment",$C10)),"excluded",IF($H10="Behind the Meter","excluded",IF(NOT(OR($E10="Bundled",$E10="Energy")),"excluded",IF(OR($H10="Retail Power Marketer",$H10="Community Choice Aggregator",$E10="Energy"),"procurement",IF(OR($H10="Municipal",$H10="Cooperative",$H10="Federal",$H10="State",$H10="Political Subdivision"),"cost_service",IF($H10="Investor Owned",IF(AND(COUNTIF(Parameters!$A$4:$A$33,$G10)&gt;0,COUNTIF(Parameters!$B$4:$B$33,$B10)=0),"procurement","cost_service"),"unclassified"))))))</f>
        <v/>
      </c>
    </row>
    <row r="11">
      <c r="A11" t="n">
        <v>2024</v>
      </c>
      <c r="B11" t="n">
        <v>4073</v>
      </c>
      <c r="C11" t="inlineStr">
        <is>
          <t>City of Columbus - (WI)</t>
        </is>
      </c>
      <c r="D11" t="inlineStr">
        <is>
          <t>A</t>
        </is>
      </c>
      <c r="E11" t="inlineStr">
        <is>
          <t>Bundled</t>
        </is>
      </c>
      <c r="F11" t="inlineStr">
        <is>
          <t>O</t>
        </is>
      </c>
      <c r="G11" t="inlineStr">
        <is>
          <t>WI</t>
        </is>
      </c>
      <c r="H11" t="inlineStr">
        <is>
          <t>Municipal</t>
        </is>
      </c>
      <c r="I11" t="inlineStr">
        <is>
          <t>MISO</t>
        </is>
      </c>
      <c r="J11" t="n">
        <v>2356</v>
      </c>
      <c r="K11" t="n">
        <v>19092</v>
      </c>
      <c r="L11" t="n">
        <v>2459</v>
      </c>
      <c r="M11" t="n">
        <v>2693.2</v>
      </c>
      <c r="N11" t="n">
        <v>24225</v>
      </c>
      <c r="O11" t="n">
        <v>444</v>
      </c>
      <c r="P11" t="n">
        <v>2720.4</v>
      </c>
      <c r="Q11" t="n">
        <v>31988</v>
      </c>
      <c r="R11" t="n">
        <v>3</v>
      </c>
      <c r="S11" t="n">
        <v>0</v>
      </c>
      <c r="T11" t="n">
        <v>0</v>
      </c>
      <c r="U11" t="n">
        <v>0</v>
      </c>
      <c r="V11" t="n">
        <v>7769.6</v>
      </c>
      <c r="W11" t="n">
        <v>75305</v>
      </c>
      <c r="X11" t="n">
        <v>2906</v>
      </c>
      <c r="Y11">
        <f>IF(ISNUMBER($W11),$W11,0)</f>
        <v/>
      </c>
      <c r="Z11">
        <f>IF(ISNUMBER(SEARCH("Adjustment",$C11)),"excluded",IF($H11="Behind the Meter","excluded",IF(NOT(OR($E11="Bundled",$E11="Energy")),"excluded",IF(OR($H11="Retail Power Marketer",$H11="Community Choice Aggregator",$E11="Energy"),"procurement",IF(OR($H11="Municipal",$H11="Cooperative",$H11="Federal",$H11="State",$H11="Political Subdivision"),"cost_service",IF($H11="Investor Owned",IF(AND(COUNTIF(Parameters!$A$4:$A$33,$G11)&gt;0,COUNTIF(Parameters!$B$4:$B$33,$B11)=0),"procurement","cost_service"),"unclassified"))))))</f>
        <v/>
      </c>
    </row>
    <row r="12">
      <c r="A12" t="n">
        <v>2024</v>
      </c>
      <c r="B12" t="n">
        <v>4247</v>
      </c>
      <c r="C12" t="inlineStr">
        <is>
          <t>Consolidated Water Power Co</t>
        </is>
      </c>
      <c r="D12" t="inlineStr">
        <is>
          <t>A</t>
        </is>
      </c>
      <c r="E12" t="inlineStr">
        <is>
          <t>Bundled</t>
        </is>
      </c>
      <c r="F12" t="inlineStr">
        <is>
          <t>O</t>
        </is>
      </c>
      <c r="G12" t="inlineStr">
        <is>
          <t>WI</t>
        </is>
      </c>
      <c r="H12" t="inlineStr">
        <is>
          <t>Investor Owned</t>
        </is>
      </c>
      <c r="I12" t="inlineStr">
        <is>
          <t>MISO</t>
        </is>
      </c>
      <c r="J12" t="n">
        <v>72.59999999999999</v>
      </c>
      <c r="K12" t="n">
        <v>629</v>
      </c>
      <c r="L12" t="n">
        <v>70</v>
      </c>
      <c r="M12" t="n">
        <v>144.4</v>
      </c>
      <c r="N12" t="n">
        <v>1433</v>
      </c>
      <c r="O12" t="n">
        <v>15</v>
      </c>
      <c r="P12" t="n">
        <v>26740.3</v>
      </c>
      <c r="Q12" t="n">
        <v>431003</v>
      </c>
      <c r="R12" t="n">
        <v>6</v>
      </c>
      <c r="S12" t="n">
        <v>0</v>
      </c>
      <c r="T12" t="n">
        <v>0</v>
      </c>
      <c r="U12" t="n">
        <v>0</v>
      </c>
      <c r="V12" t="n">
        <v>26957.3</v>
      </c>
      <c r="W12" t="n">
        <v>433065</v>
      </c>
      <c r="X12" t="n">
        <v>91</v>
      </c>
      <c r="Y12">
        <f>IF(ISNUMBER($W12),$W12,0)</f>
        <v/>
      </c>
      <c r="Z12">
        <f>IF(ISNUMBER(SEARCH("Adjustment",$C12)),"excluded",IF($H12="Behind the Meter","excluded",IF(NOT(OR($E12="Bundled",$E12="Energy")),"excluded",IF(OR($H12="Retail Power Marketer",$H12="Community Choice Aggregator",$E12="Energy"),"procurement",IF(OR($H12="Municipal",$H12="Cooperative",$H12="Federal",$H12="State",$H12="Political Subdivision"),"cost_service",IF($H12="Investor Owned",IF(AND(COUNTIF(Parameters!$A$4:$A$33,$G12)&gt;0,COUNTIF(Parameters!$B$4:$B$33,$B12)=0),"procurement","cost_service"),"unclassified"))))))</f>
        <v/>
      </c>
    </row>
    <row r="13">
      <c r="A13" t="n">
        <v>2024</v>
      </c>
      <c r="B13" t="n">
        <v>4607</v>
      </c>
      <c r="C13" t="inlineStr">
        <is>
          <t>City of Cuba City</t>
        </is>
      </c>
      <c r="D13" t="inlineStr">
        <is>
          <t>A</t>
        </is>
      </c>
      <c r="E13" t="inlineStr">
        <is>
          <t>Bundled</t>
        </is>
      </c>
      <c r="F13" t="inlineStr">
        <is>
          <t>O</t>
        </is>
      </c>
      <c r="G13" t="inlineStr">
        <is>
          <t>WI</t>
        </is>
      </c>
      <c r="H13" t="inlineStr">
        <is>
          <t>Municipal</t>
        </is>
      </c>
      <c r="I13" t="inlineStr">
        <is>
          <t>MISO</t>
        </is>
      </c>
      <c r="J13" t="n">
        <v>881.6</v>
      </c>
      <c r="K13" t="n">
        <v>7724</v>
      </c>
      <c r="L13" t="n">
        <v>985</v>
      </c>
      <c r="M13" t="n">
        <v>1060.2</v>
      </c>
      <c r="N13" t="n">
        <v>9950</v>
      </c>
      <c r="O13" t="n">
        <v>147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1941.8</v>
      </c>
      <c r="W13" t="n">
        <v>17674</v>
      </c>
      <c r="X13" t="n">
        <v>1132</v>
      </c>
      <c r="Y13">
        <f>IF(ISNUMBER($W13),$W13,0)</f>
        <v/>
      </c>
      <c r="Z13">
        <f>IF(ISNUMBER(SEARCH("Adjustment",$C13)),"excluded",IF($H13="Behind the Meter","excluded",IF(NOT(OR($E13="Bundled",$E13="Energy")),"excluded",IF(OR($H13="Retail Power Marketer",$H13="Community Choice Aggregator",$E13="Energy"),"procurement",IF(OR($H13="Municipal",$H13="Cooperative",$H13="Federal",$H13="State",$H13="Political Subdivision"),"cost_service",IF($H13="Investor Owned",IF(AND(COUNTIF(Parameters!$A$4:$A$33,$G13)&gt;0,COUNTIF(Parameters!$B$4:$B$33,$B13)=0),"procurement","cost_service"),"unclassified"))))))</f>
        <v/>
      </c>
    </row>
    <row r="14">
      <c r="A14" t="n">
        <v>2024</v>
      </c>
      <c r="B14" t="n">
        <v>4715</v>
      </c>
      <c r="C14" t="inlineStr">
        <is>
          <t>Dahlberg Light &amp; Power Co</t>
        </is>
      </c>
      <c r="D14" t="inlineStr">
        <is>
          <t>A</t>
        </is>
      </c>
      <c r="E14" t="inlineStr">
        <is>
          <t>Bundled</t>
        </is>
      </c>
      <c r="F14" t="inlineStr">
        <is>
          <t>O</t>
        </is>
      </c>
      <c r="G14" t="inlineStr">
        <is>
          <t>WI</t>
        </is>
      </c>
      <c r="H14" t="inlineStr">
        <is>
          <t>Investor Owned</t>
        </is>
      </c>
      <c r="I14" t="inlineStr">
        <is>
          <t>MISO</t>
        </is>
      </c>
      <c r="J14" t="n">
        <v>9135</v>
      </c>
      <c r="K14" t="n">
        <v>72394</v>
      </c>
      <c r="L14" t="n">
        <v>10939</v>
      </c>
      <c r="M14" t="n">
        <v>2311</v>
      </c>
      <c r="N14" t="n">
        <v>18931</v>
      </c>
      <c r="O14" t="n">
        <v>1286</v>
      </c>
      <c r="P14" t="n">
        <v>1406</v>
      </c>
      <c r="Q14" t="n">
        <v>14638</v>
      </c>
      <c r="R14" t="n">
        <v>33</v>
      </c>
      <c r="S14" t="inlineStr">
        <is>
          <t>.</t>
        </is>
      </c>
      <c r="T14" t="inlineStr">
        <is>
          <t>.</t>
        </is>
      </c>
      <c r="U14" t="inlineStr">
        <is>
          <t>.</t>
        </is>
      </c>
      <c r="V14" t="n">
        <v>12852</v>
      </c>
      <c r="W14" t="n">
        <v>105963</v>
      </c>
      <c r="X14" t="n">
        <v>12258</v>
      </c>
      <c r="Y14">
        <f>IF(ISNUMBER($W14),$W14,0)</f>
        <v/>
      </c>
      <c r="Z14">
        <f>IF(ISNUMBER(SEARCH("Adjustment",$C14)),"excluded",IF($H14="Behind the Meter","excluded",IF(NOT(OR($E14="Bundled",$E14="Energy")),"excluded",IF(OR($H14="Retail Power Marketer",$H14="Community Choice Aggregator",$E14="Energy"),"procurement",IF(OR($H14="Municipal",$H14="Cooperative",$H14="Federal",$H14="State",$H14="Political Subdivision"),"cost_service",IF($H14="Investor Owned",IF(AND(COUNTIF(Parameters!$A$4:$A$33,$G14)&gt;0,COUNTIF(Parameters!$B$4:$B$33,$B14)=0),"procurement","cost_service"),"unclassified"))))))</f>
        <v/>
      </c>
    </row>
    <row r="15">
      <c r="A15" t="n">
        <v>2024</v>
      </c>
      <c r="B15" t="n">
        <v>5417</v>
      </c>
      <c r="C15" t="inlineStr">
        <is>
          <t>Dunn County Electric Coop</t>
        </is>
      </c>
      <c r="D15" t="inlineStr">
        <is>
          <t>A</t>
        </is>
      </c>
      <c r="E15" t="inlineStr">
        <is>
          <t>Bundled</t>
        </is>
      </c>
      <c r="F15" t="inlineStr">
        <is>
          <t>O</t>
        </is>
      </c>
      <c r="G15" t="inlineStr">
        <is>
          <t>WI</t>
        </is>
      </c>
      <c r="H15" t="inlineStr">
        <is>
          <t>Cooperative</t>
        </is>
      </c>
      <c r="I15" t="inlineStr">
        <is>
          <t>MISO</t>
        </is>
      </c>
      <c r="J15" t="n">
        <v>16534</v>
      </c>
      <c r="K15" t="n">
        <v>106993</v>
      </c>
      <c r="L15" t="n">
        <v>9482</v>
      </c>
      <c r="M15" t="n">
        <v>5849</v>
      </c>
      <c r="N15" t="n">
        <v>50910</v>
      </c>
      <c r="O15" t="n">
        <v>1108</v>
      </c>
      <c r="P15" t="n">
        <v>4402</v>
      </c>
      <c r="Q15" t="n">
        <v>52495</v>
      </c>
      <c r="R15" t="n">
        <v>6</v>
      </c>
      <c r="S15" t="inlineStr">
        <is>
          <t>.</t>
        </is>
      </c>
      <c r="T15" t="inlineStr">
        <is>
          <t>.</t>
        </is>
      </c>
      <c r="U15" t="inlineStr">
        <is>
          <t>.</t>
        </is>
      </c>
      <c r="V15" t="n">
        <v>26785</v>
      </c>
      <c r="W15" t="n">
        <v>210398</v>
      </c>
      <c r="X15" t="n">
        <v>10596</v>
      </c>
      <c r="Y15">
        <f>IF(ISNUMBER($W15),$W15,0)</f>
        <v/>
      </c>
      <c r="Z15">
        <f>IF(ISNUMBER(SEARCH("Adjustment",$C15)),"excluded",IF($H15="Behind the Meter","excluded",IF(NOT(OR($E15="Bundled",$E15="Energy")),"excluded",IF(OR($H15="Retail Power Marketer",$H15="Community Choice Aggregator",$E15="Energy"),"procurement",IF(OR($H15="Municipal",$H15="Cooperative",$H15="Federal",$H15="State",$H15="Political Subdivision"),"cost_service",IF($H15="Investor Owned",IF(AND(COUNTIF(Parameters!$A$4:$A$33,$G15)&gt;0,COUNTIF(Parameters!$B$4:$B$33,$B15)=0),"procurement","cost_service"),"unclassified"))))))</f>
        <v/>
      </c>
    </row>
    <row r="16">
      <c r="A16" t="n">
        <v>2024</v>
      </c>
      <c r="B16" t="n">
        <v>5551</v>
      </c>
      <c r="C16" t="inlineStr">
        <is>
          <t>City of Eagle River - (WI)</t>
        </is>
      </c>
      <c r="D16" t="inlineStr">
        <is>
          <t>A</t>
        </is>
      </c>
      <c r="E16" t="inlineStr">
        <is>
          <t>Bundled</t>
        </is>
      </c>
      <c r="F16" t="inlineStr">
        <is>
          <t>O</t>
        </is>
      </c>
      <c r="G16" t="inlineStr">
        <is>
          <t>WI</t>
        </is>
      </c>
      <c r="H16" t="inlineStr">
        <is>
          <t>Municipal</t>
        </is>
      </c>
      <c r="I16" t="inlineStr">
        <is>
          <t>MISO</t>
        </is>
      </c>
      <c r="J16" t="n">
        <v>872.7</v>
      </c>
      <c r="K16" t="n">
        <v>6024</v>
      </c>
      <c r="L16" t="n">
        <v>1055</v>
      </c>
      <c r="M16" t="n">
        <v>2673</v>
      </c>
      <c r="N16" t="n">
        <v>23076</v>
      </c>
      <c r="O16" t="n">
        <v>532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3545.7</v>
      </c>
      <c r="W16" t="n">
        <v>29100</v>
      </c>
      <c r="X16" t="n">
        <v>1587</v>
      </c>
      <c r="Y16">
        <f>IF(ISNUMBER($W16),$W16,0)</f>
        <v/>
      </c>
      <c r="Z16">
        <f>IF(ISNUMBER(SEARCH("Adjustment",$C16)),"excluded",IF($H16="Behind the Meter","excluded",IF(NOT(OR($E16="Bundled",$E16="Energy")),"excluded",IF(OR($H16="Retail Power Marketer",$H16="Community Choice Aggregator",$E16="Energy"),"procurement",IF(OR($H16="Municipal",$H16="Cooperative",$H16="Federal",$H16="State",$H16="Political Subdivision"),"cost_service",IF($H16="Investor Owned",IF(AND(COUNTIF(Parameters!$A$4:$A$33,$G16)&gt;0,COUNTIF(Parameters!$B$4:$B$33,$B16)=0),"procurement","cost_service"),"unclassified"))))))</f>
        <v/>
      </c>
    </row>
    <row r="17">
      <c r="A17" t="n">
        <v>2024</v>
      </c>
      <c r="B17" t="n">
        <v>5574</v>
      </c>
      <c r="C17" t="inlineStr">
        <is>
          <t>East Central Energy</t>
        </is>
      </c>
      <c r="D17" t="inlineStr">
        <is>
          <t>A</t>
        </is>
      </c>
      <c r="E17" t="inlineStr">
        <is>
          <t>Bundled</t>
        </is>
      </c>
      <c r="F17" t="inlineStr">
        <is>
          <t>O</t>
        </is>
      </c>
      <c r="G17" t="inlineStr">
        <is>
          <t>WI</t>
        </is>
      </c>
      <c r="H17" t="inlineStr">
        <is>
          <t>Cooperative</t>
        </is>
      </c>
      <c r="I17" t="inlineStr">
        <is>
          <t>MISO</t>
        </is>
      </c>
      <c r="J17" t="n">
        <v>7728.1</v>
      </c>
      <c r="K17" t="n">
        <v>46427</v>
      </c>
      <c r="L17" t="n">
        <v>5182</v>
      </c>
      <c r="M17" t="n">
        <v>959.1</v>
      </c>
      <c r="N17" t="n">
        <v>6613</v>
      </c>
      <c r="O17" t="n">
        <v>388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8687.200000000001</v>
      </c>
      <c r="W17" t="n">
        <v>53040</v>
      </c>
      <c r="X17" t="n">
        <v>5570</v>
      </c>
      <c r="Y17">
        <f>IF(ISNUMBER($W17),$W17,0)</f>
        <v/>
      </c>
      <c r="Z17">
        <f>IF(ISNUMBER(SEARCH("Adjustment",$C17)),"excluded",IF($H17="Behind the Meter","excluded",IF(NOT(OR($E17="Bundled",$E17="Energy")),"excluded",IF(OR($H17="Retail Power Marketer",$H17="Community Choice Aggregator",$E17="Energy"),"procurement",IF(OR($H17="Municipal",$H17="Cooperative",$H17="Federal",$H17="State",$H17="Political Subdivision"),"cost_service",IF($H17="Investor Owned",IF(AND(COUNTIF(Parameters!$A$4:$A$33,$G17)&gt;0,COUNTIF(Parameters!$B$4:$B$33,$B17)=0),"procurement","cost_service"),"unclassified"))))))</f>
        <v/>
      </c>
    </row>
    <row r="18">
      <c r="A18" t="n">
        <v>2024</v>
      </c>
      <c r="B18" t="n">
        <v>6043</v>
      </c>
      <c r="C18" t="inlineStr">
        <is>
          <t>City of Evansville</t>
        </is>
      </c>
      <c r="D18" t="inlineStr">
        <is>
          <t>A</t>
        </is>
      </c>
      <c r="E18" t="inlineStr">
        <is>
          <t>Bundled</t>
        </is>
      </c>
      <c r="F18" t="inlineStr">
        <is>
          <t>O</t>
        </is>
      </c>
      <c r="G18" t="inlineStr">
        <is>
          <t>WI</t>
        </is>
      </c>
      <c r="H18" t="inlineStr">
        <is>
          <t>Municipal</t>
        </is>
      </c>
      <c r="I18" t="inlineStr">
        <is>
          <t>MISO</t>
        </is>
      </c>
      <c r="J18" t="n">
        <v>4495.5</v>
      </c>
      <c r="K18" t="n">
        <v>28402</v>
      </c>
      <c r="L18" t="n">
        <v>3806</v>
      </c>
      <c r="M18" t="n">
        <v>3813</v>
      </c>
      <c r="N18" t="n">
        <v>27375</v>
      </c>
      <c r="O18" t="n">
        <v>659</v>
      </c>
      <c r="P18" t="n">
        <v>1059.2</v>
      </c>
      <c r="Q18" t="n">
        <v>9282</v>
      </c>
      <c r="R18" t="n">
        <v>2</v>
      </c>
      <c r="S18" t="n">
        <v>0</v>
      </c>
      <c r="T18" t="n">
        <v>0</v>
      </c>
      <c r="U18" t="n">
        <v>0</v>
      </c>
      <c r="V18" t="n">
        <v>9367.700000000001</v>
      </c>
      <c r="W18" t="n">
        <v>65059</v>
      </c>
      <c r="X18" t="n">
        <v>4467</v>
      </c>
      <c r="Y18">
        <f>IF(ISNUMBER($W18),$W18,0)</f>
        <v/>
      </c>
      <c r="Z18">
        <f>IF(ISNUMBER(SEARCH("Adjustment",$C18)),"excluded",IF($H18="Behind the Meter","excluded",IF(NOT(OR($E18="Bundled",$E18="Energy")),"excluded",IF(OR($H18="Retail Power Marketer",$H18="Community Choice Aggregator",$E18="Energy"),"procurement",IF(OR($H18="Municipal",$H18="Cooperative",$H18="Federal",$H18="State",$H18="Political Subdivision"),"cost_service",IF($H18="Investor Owned",IF(AND(COUNTIF(Parameters!$A$4:$A$33,$G18)&gt;0,COUNTIF(Parameters!$B$4:$B$33,$B18)=0),"procurement","cost_service"),"unclassified"))))))</f>
        <v/>
      </c>
    </row>
    <row r="19">
      <c r="A19" t="n">
        <v>2024</v>
      </c>
      <c r="B19" t="n">
        <v>6424</v>
      </c>
      <c r="C19" t="inlineStr">
        <is>
          <t>Florence Utility Comm</t>
        </is>
      </c>
      <c r="D19" t="inlineStr">
        <is>
          <t>A</t>
        </is>
      </c>
      <c r="E19" t="inlineStr">
        <is>
          <t>Bundled</t>
        </is>
      </c>
      <c r="F19" t="inlineStr">
        <is>
          <t>O</t>
        </is>
      </c>
      <c r="G19" t="inlineStr">
        <is>
          <t>WI</t>
        </is>
      </c>
      <c r="H19" t="inlineStr">
        <is>
          <t>Municipal</t>
        </is>
      </c>
      <c r="I19" t="inlineStr">
        <is>
          <t>MISO</t>
        </is>
      </c>
      <c r="J19" t="n">
        <v>1143.8</v>
      </c>
      <c r="K19" t="n">
        <v>7360</v>
      </c>
      <c r="L19" t="n">
        <v>1428</v>
      </c>
      <c r="M19" t="n">
        <v>1182.3</v>
      </c>
      <c r="N19" t="n">
        <v>7916</v>
      </c>
      <c r="O19" t="n">
        <v>193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2326.1</v>
      </c>
      <c r="W19" t="n">
        <v>15276</v>
      </c>
      <c r="X19" t="n">
        <v>1621</v>
      </c>
      <c r="Y19">
        <f>IF(ISNUMBER($W19),$W19,0)</f>
        <v/>
      </c>
      <c r="Z19">
        <f>IF(ISNUMBER(SEARCH("Adjustment",$C19)),"excluded",IF($H19="Behind the Meter","excluded",IF(NOT(OR($E19="Bundled",$E19="Energy")),"excluded",IF(OR($H19="Retail Power Marketer",$H19="Community Choice Aggregator",$E19="Energy"),"procurement",IF(OR($H19="Municipal",$H19="Cooperative",$H19="Federal",$H19="State",$H19="Political Subdivision"),"cost_service",IF($H19="Investor Owned",IF(AND(COUNTIF(Parameters!$A$4:$A$33,$G19)&gt;0,COUNTIF(Parameters!$B$4:$B$33,$B19)=0),"procurement","cost_service"),"unclassified"))))))</f>
        <v/>
      </c>
    </row>
    <row r="20">
      <c r="A20" t="n">
        <v>2024</v>
      </c>
      <c r="B20" t="n">
        <v>8212</v>
      </c>
      <c r="C20" t="inlineStr">
        <is>
          <t>Hartford Electric</t>
        </is>
      </c>
      <c r="D20" t="inlineStr">
        <is>
          <t>A</t>
        </is>
      </c>
      <c r="E20" t="inlineStr">
        <is>
          <t>Bundled</t>
        </is>
      </c>
      <c r="F20" t="inlineStr">
        <is>
          <t>O</t>
        </is>
      </c>
      <c r="G20" t="inlineStr">
        <is>
          <t>WI</t>
        </is>
      </c>
      <c r="H20" t="inlineStr">
        <is>
          <t>Municipal</t>
        </is>
      </c>
      <c r="I20" t="inlineStr">
        <is>
          <t>MISO</t>
        </is>
      </c>
      <c r="J20" t="n">
        <v>6072.2</v>
      </c>
      <c r="K20" t="n">
        <v>51874</v>
      </c>
      <c r="L20" t="n">
        <v>6998</v>
      </c>
      <c r="M20" t="n">
        <v>7554</v>
      </c>
      <c r="N20" t="n">
        <v>79832</v>
      </c>
      <c r="O20" t="n">
        <v>966</v>
      </c>
      <c r="P20" t="n">
        <v>12756.9</v>
      </c>
      <c r="Q20" t="n">
        <v>169306</v>
      </c>
      <c r="R20" t="n">
        <v>7</v>
      </c>
      <c r="S20" t="n">
        <v>0</v>
      </c>
      <c r="T20" t="n">
        <v>0</v>
      </c>
      <c r="U20" t="n">
        <v>0</v>
      </c>
      <c r="V20" t="n">
        <v>26383.1</v>
      </c>
      <c r="W20" t="n">
        <v>301012</v>
      </c>
      <c r="X20" t="n">
        <v>7971</v>
      </c>
      <c r="Y20">
        <f>IF(ISNUMBER($W20),$W20,0)</f>
        <v/>
      </c>
      <c r="Z20">
        <f>IF(ISNUMBER(SEARCH("Adjustment",$C20)),"excluded",IF($H20="Behind the Meter","excluded",IF(NOT(OR($E20="Bundled",$E20="Energy")),"excluded",IF(OR($H20="Retail Power Marketer",$H20="Community Choice Aggregator",$E20="Energy"),"procurement",IF(OR($H20="Municipal",$H20="Cooperative",$H20="Federal",$H20="State",$H20="Political Subdivision"),"cost_service",IF($H20="Investor Owned",IF(AND(COUNTIF(Parameters!$A$4:$A$33,$G20)&gt;0,COUNTIF(Parameters!$B$4:$B$33,$B20)=0),"procurement","cost_service"),"unclassified"))))))</f>
        <v/>
      </c>
    </row>
    <row r="21">
      <c r="A21" t="n">
        <v>2024</v>
      </c>
      <c r="B21" t="n">
        <v>9124</v>
      </c>
      <c r="C21" t="inlineStr">
        <is>
          <t>Hustisford Utilities</t>
        </is>
      </c>
      <c r="D21" t="inlineStr">
        <is>
          <t>A</t>
        </is>
      </c>
      <c r="E21" t="inlineStr">
        <is>
          <t>Bundled</t>
        </is>
      </c>
      <c r="F21" t="inlineStr">
        <is>
          <t>O</t>
        </is>
      </c>
      <c r="G21" t="inlineStr">
        <is>
          <t>WI</t>
        </is>
      </c>
      <c r="H21" t="inlineStr">
        <is>
          <t>Municipal</t>
        </is>
      </c>
      <c r="I21" t="inlineStr">
        <is>
          <t>MISO</t>
        </is>
      </c>
      <c r="J21" t="n">
        <v>1522.8</v>
      </c>
      <c r="K21" t="n">
        <v>11017</v>
      </c>
      <c r="L21" t="n">
        <v>1315</v>
      </c>
      <c r="M21" t="n">
        <v>939</v>
      </c>
      <c r="N21" t="n">
        <v>7160</v>
      </c>
      <c r="O21" t="n">
        <v>282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2461.8</v>
      </c>
      <c r="W21" t="n">
        <v>18177</v>
      </c>
      <c r="X21" t="n">
        <v>1597</v>
      </c>
      <c r="Y21">
        <f>IF(ISNUMBER($W21),$W21,0)</f>
        <v/>
      </c>
      <c r="Z21">
        <f>IF(ISNUMBER(SEARCH("Adjustment",$C21)),"excluded",IF($H21="Behind the Meter","excluded",IF(NOT(OR($E21="Bundled",$E21="Energy")),"excluded",IF(OR($H21="Retail Power Marketer",$H21="Community Choice Aggregator",$E21="Energy"),"procurement",IF(OR($H21="Municipal",$H21="Cooperative",$H21="Federal",$H21="State",$H21="Political Subdivision"),"cost_service",IF($H21="Investor Owned",IF(AND(COUNTIF(Parameters!$A$4:$A$33,$G21)&gt;0,COUNTIF(Parameters!$B$4:$B$33,$B21)=0),"procurement","cost_service"),"unclassified"))))))</f>
        <v/>
      </c>
    </row>
    <row r="22">
      <c r="A22" t="n">
        <v>2024</v>
      </c>
      <c r="B22" t="n">
        <v>9690</v>
      </c>
      <c r="C22" t="inlineStr">
        <is>
          <t>Jefferson Utilities</t>
        </is>
      </c>
      <c r="D22" t="inlineStr">
        <is>
          <t>A</t>
        </is>
      </c>
      <c r="E22" t="inlineStr">
        <is>
          <t>Bundled</t>
        </is>
      </c>
      <c r="F22" t="inlineStr">
        <is>
          <t>O</t>
        </is>
      </c>
      <c r="G22" t="inlineStr">
        <is>
          <t>WI</t>
        </is>
      </c>
      <c r="H22" t="inlineStr">
        <is>
          <t>Municipal</t>
        </is>
      </c>
      <c r="I22" t="inlineStr">
        <is>
          <t>MISO</t>
        </is>
      </c>
      <c r="J22" t="n">
        <v>3489.1</v>
      </c>
      <c r="K22" t="n">
        <v>29398</v>
      </c>
      <c r="L22" t="n">
        <v>3718</v>
      </c>
      <c r="M22" t="n">
        <v>5229.7</v>
      </c>
      <c r="N22" t="n">
        <v>49595</v>
      </c>
      <c r="O22" t="n">
        <v>614</v>
      </c>
      <c r="P22" t="n">
        <v>1297.5</v>
      </c>
      <c r="Q22" t="n">
        <v>16469</v>
      </c>
      <c r="R22" t="n">
        <v>1</v>
      </c>
      <c r="S22" t="n">
        <v>0</v>
      </c>
      <c r="T22" t="n">
        <v>0</v>
      </c>
      <c r="U22" t="n">
        <v>0</v>
      </c>
      <c r="V22" t="n">
        <v>10016.3</v>
      </c>
      <c r="W22" t="n">
        <v>95462</v>
      </c>
      <c r="X22" t="n">
        <v>4333</v>
      </c>
      <c r="Y22">
        <f>IF(ISNUMBER($W22),$W22,0)</f>
        <v/>
      </c>
      <c r="Z22">
        <f>IF(ISNUMBER(SEARCH("Adjustment",$C22)),"excluded",IF($H22="Behind the Meter","excluded",IF(NOT(OR($E22="Bundled",$E22="Energy")),"excluded",IF(OR($H22="Retail Power Marketer",$H22="Community Choice Aggregator",$E22="Energy"),"procurement",IF(OR($H22="Municipal",$H22="Cooperative",$H22="Federal",$H22="State",$H22="Political Subdivision"),"cost_service",IF($H22="Investor Owned",IF(AND(COUNTIF(Parameters!$A$4:$A$33,$G22)&gt;0,COUNTIF(Parameters!$B$4:$B$33,$B22)=0),"procurement","cost_service"),"unclassified"))))))</f>
        <v/>
      </c>
    </row>
    <row r="23">
      <c r="A23" t="n">
        <v>2024</v>
      </c>
      <c r="B23" t="n">
        <v>9936</v>
      </c>
      <c r="C23" t="inlineStr">
        <is>
          <t>Juneau Utility Comm</t>
        </is>
      </c>
      <c r="D23" t="inlineStr">
        <is>
          <t>A</t>
        </is>
      </c>
      <c r="E23" t="inlineStr">
        <is>
          <t>Bundled</t>
        </is>
      </c>
      <c r="F23" t="inlineStr">
        <is>
          <t>O</t>
        </is>
      </c>
      <c r="G23" t="inlineStr">
        <is>
          <t>WI</t>
        </is>
      </c>
      <c r="H23" t="inlineStr">
        <is>
          <t>Municipal</t>
        </is>
      </c>
      <c r="I23" t="inlineStr">
        <is>
          <t>MISO</t>
        </is>
      </c>
      <c r="J23" t="n">
        <v>899.9</v>
      </c>
      <c r="K23" t="n">
        <v>7699</v>
      </c>
      <c r="L23" t="n">
        <v>970</v>
      </c>
      <c r="M23" t="n">
        <v>2079.6</v>
      </c>
      <c r="N23" t="n">
        <v>20928</v>
      </c>
      <c r="O23" t="n">
        <v>194</v>
      </c>
      <c r="P23" t="n">
        <v>1346</v>
      </c>
      <c r="Q23" t="n">
        <v>15959</v>
      </c>
      <c r="R23" t="n">
        <v>2</v>
      </c>
      <c r="S23" t="n">
        <v>0</v>
      </c>
      <c r="T23" t="n">
        <v>0</v>
      </c>
      <c r="U23" t="n">
        <v>0</v>
      </c>
      <c r="V23" t="n">
        <v>4325.5</v>
      </c>
      <c r="W23" t="n">
        <v>44586</v>
      </c>
      <c r="X23" t="n">
        <v>1166</v>
      </c>
      <c r="Y23">
        <f>IF(ISNUMBER($W23),$W23,0)</f>
        <v/>
      </c>
      <c r="Z23">
        <f>IF(ISNUMBER(SEARCH("Adjustment",$C23)),"excluded",IF($H23="Behind the Meter","excluded",IF(NOT(OR($E23="Bundled",$E23="Energy")),"excluded",IF(OR($H23="Retail Power Marketer",$H23="Community Choice Aggregator",$E23="Energy"),"procurement",IF(OR($H23="Municipal",$H23="Cooperative",$H23="Federal",$H23="State",$H23="Political Subdivision"),"cost_service",IF($H23="Investor Owned",IF(AND(COUNTIF(Parameters!$A$4:$A$33,$G23)&gt;0,COUNTIF(Parameters!$B$4:$B$33,$B23)=0),"procurement","cost_service"),"unclassified"))))))</f>
        <v/>
      </c>
    </row>
    <row r="24">
      <c r="A24" t="n">
        <v>2024</v>
      </c>
      <c r="B24" t="n">
        <v>10056</v>
      </c>
      <c r="C24" t="inlineStr">
        <is>
          <t>City of Kaukauna</t>
        </is>
      </c>
      <c r="D24" t="inlineStr">
        <is>
          <t>A</t>
        </is>
      </c>
      <c r="E24" t="inlineStr">
        <is>
          <t>Bundled</t>
        </is>
      </c>
      <c r="F24" t="inlineStr">
        <is>
          <t>O</t>
        </is>
      </c>
      <c r="G24" t="inlineStr">
        <is>
          <t>WI</t>
        </is>
      </c>
      <c r="H24" t="inlineStr">
        <is>
          <t>Municipal</t>
        </is>
      </c>
      <c r="I24" t="inlineStr">
        <is>
          <t>MISO</t>
        </is>
      </c>
      <c r="J24" t="n">
        <v>15556.2</v>
      </c>
      <c r="K24" t="n">
        <v>124114</v>
      </c>
      <c r="L24" t="n">
        <v>14543</v>
      </c>
      <c r="M24" t="n">
        <v>13855.4</v>
      </c>
      <c r="N24" t="n">
        <v>133536</v>
      </c>
      <c r="O24" t="n">
        <v>2056</v>
      </c>
      <c r="P24" t="n">
        <v>26858.7</v>
      </c>
      <c r="Q24" t="n">
        <v>356560</v>
      </c>
      <c r="R24" t="n">
        <v>13</v>
      </c>
      <c r="S24" t="n">
        <v>0</v>
      </c>
      <c r="T24" t="n">
        <v>0</v>
      </c>
      <c r="U24" t="n">
        <v>0</v>
      </c>
      <c r="V24" t="n">
        <v>56270.3</v>
      </c>
      <c r="W24" t="n">
        <v>614210</v>
      </c>
      <c r="X24" t="n">
        <v>16612</v>
      </c>
      <c r="Y24">
        <f>IF(ISNUMBER($W24),$W24,0)</f>
        <v/>
      </c>
      <c r="Z24">
        <f>IF(ISNUMBER(SEARCH("Adjustment",$C24)),"excluded",IF($H24="Behind the Meter","excluded",IF(NOT(OR($E24="Bundled",$E24="Energy")),"excluded",IF(OR($H24="Retail Power Marketer",$H24="Community Choice Aggregator",$E24="Energy"),"procurement",IF(OR($H24="Municipal",$H24="Cooperative",$H24="Federal",$H24="State",$H24="Political Subdivision"),"cost_service",IF($H24="Investor Owned",IF(AND(COUNTIF(Parameters!$A$4:$A$33,$G24)&gt;0,COUNTIF(Parameters!$B$4:$B$33,$B24)=0),"procurement","cost_service"),"unclassified"))))))</f>
        <v/>
      </c>
    </row>
    <row r="25">
      <c r="A25" t="n">
        <v>2024</v>
      </c>
      <c r="B25" t="n">
        <v>10605</v>
      </c>
      <c r="C25" t="inlineStr">
        <is>
          <t>Lake Mills Light &amp; Water</t>
        </is>
      </c>
      <c r="D25" t="inlineStr">
        <is>
          <t>A</t>
        </is>
      </c>
      <c r="E25" t="inlineStr">
        <is>
          <t>Bundled</t>
        </is>
      </c>
      <c r="F25" t="inlineStr">
        <is>
          <t>O</t>
        </is>
      </c>
      <c r="G25" t="inlineStr">
        <is>
          <t>WI</t>
        </is>
      </c>
      <c r="H25" t="inlineStr">
        <is>
          <t>Municipal</t>
        </is>
      </c>
      <c r="I25" t="inlineStr">
        <is>
          <t>MISO</t>
        </is>
      </c>
      <c r="J25" t="n">
        <v>4163</v>
      </c>
      <c r="K25" t="n">
        <v>30030</v>
      </c>
      <c r="L25" t="n">
        <v>4124</v>
      </c>
      <c r="M25" t="n">
        <v>3963.5</v>
      </c>
      <c r="N25" t="n">
        <v>32955</v>
      </c>
      <c r="O25" t="n">
        <v>456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8126.5</v>
      </c>
      <c r="W25" t="n">
        <v>62985</v>
      </c>
      <c r="X25" t="n">
        <v>4580</v>
      </c>
      <c r="Y25">
        <f>IF(ISNUMBER($W25),$W25,0)</f>
        <v/>
      </c>
      <c r="Z25">
        <f>IF(ISNUMBER(SEARCH("Adjustment",$C25)),"excluded",IF($H25="Behind the Meter","excluded",IF(NOT(OR($E25="Bundled",$E25="Energy")),"excluded",IF(OR($H25="Retail Power Marketer",$H25="Community Choice Aggregator",$E25="Energy"),"procurement",IF(OR($H25="Municipal",$H25="Cooperative",$H25="Federal",$H25="State",$H25="Political Subdivision"),"cost_service",IF($H25="Investor Owned",IF(AND(COUNTIF(Parameters!$A$4:$A$33,$G25)&gt;0,COUNTIF(Parameters!$B$4:$B$33,$B25)=0),"procurement","cost_service"),"unclassified"))))))</f>
        <v/>
      </c>
    </row>
    <row r="26">
      <c r="A26" t="n">
        <v>2024</v>
      </c>
      <c r="B26" t="n">
        <v>11125</v>
      </c>
      <c r="C26" t="inlineStr">
        <is>
          <t>City of Lodi - (WI)</t>
        </is>
      </c>
      <c r="D26" t="inlineStr">
        <is>
          <t>A</t>
        </is>
      </c>
      <c r="E26" t="inlineStr">
        <is>
          <t>Bundled</t>
        </is>
      </c>
      <c r="F26" t="inlineStr">
        <is>
          <t>O</t>
        </is>
      </c>
      <c r="G26" t="inlineStr">
        <is>
          <t>WI</t>
        </is>
      </c>
      <c r="H26" t="inlineStr">
        <is>
          <t>Municipal</t>
        </is>
      </c>
      <c r="I26" t="inlineStr">
        <is>
          <t>MISO</t>
        </is>
      </c>
      <c r="J26" t="n">
        <v>1491.8</v>
      </c>
      <c r="K26" t="n">
        <v>11224</v>
      </c>
      <c r="L26" t="n">
        <v>1490</v>
      </c>
      <c r="M26" t="n">
        <v>1851.2</v>
      </c>
      <c r="N26" t="n">
        <v>15471</v>
      </c>
      <c r="O26" t="n">
        <v>311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3343</v>
      </c>
      <c r="W26" t="n">
        <v>26695</v>
      </c>
      <c r="X26" t="n">
        <v>1801</v>
      </c>
      <c r="Y26">
        <f>IF(ISNUMBER($W26),$W26,0)</f>
        <v/>
      </c>
      <c r="Z26">
        <f>IF(ISNUMBER(SEARCH("Adjustment",$C26)),"excluded",IF($H26="Behind the Meter","excluded",IF(NOT(OR($E26="Bundled",$E26="Energy")),"excluded",IF(OR($H26="Retail Power Marketer",$H26="Community Choice Aggregator",$E26="Energy"),"procurement",IF(OR($H26="Municipal",$H26="Cooperative",$H26="Federal",$H26="State",$H26="Political Subdivision"),"cost_service",IF($H26="Investor Owned",IF(AND(COUNTIF(Parameters!$A$4:$A$33,$G26)&gt;0,COUNTIF(Parameters!$B$4:$B$33,$B26)=0),"procurement","cost_service"),"unclassified"))))))</f>
        <v/>
      </c>
    </row>
    <row r="27">
      <c r="A27" t="n">
        <v>2024</v>
      </c>
      <c r="B27" t="n">
        <v>11479</v>
      </c>
      <c r="C27" t="inlineStr">
        <is>
          <t>Madison Gas &amp; Electric Co</t>
        </is>
      </c>
      <c r="D27" t="inlineStr">
        <is>
          <t>A</t>
        </is>
      </c>
      <c r="E27" t="inlineStr">
        <is>
          <t>Bundled</t>
        </is>
      </c>
      <c r="F27" t="inlineStr">
        <is>
          <t>O</t>
        </is>
      </c>
      <c r="G27" t="inlineStr">
        <is>
          <t>WI</t>
        </is>
      </c>
      <c r="H27" t="inlineStr">
        <is>
          <t>Investor Owned</t>
        </is>
      </c>
      <c r="I27" t="inlineStr">
        <is>
          <t>MISO</t>
        </is>
      </c>
      <c r="J27" t="n">
        <v>175040</v>
      </c>
      <c r="K27" t="n">
        <v>860759</v>
      </c>
      <c r="L27" t="n">
        <v>147501</v>
      </c>
      <c r="M27" t="n">
        <v>296563</v>
      </c>
      <c r="N27" t="n">
        <v>2151231</v>
      </c>
      <c r="O27" t="n">
        <v>21410</v>
      </c>
      <c r="P27" t="n">
        <v>12984</v>
      </c>
      <c r="Q27" t="n">
        <v>141976</v>
      </c>
      <c r="R27" t="n">
        <v>21</v>
      </c>
      <c r="S27" t="inlineStr">
        <is>
          <t>.</t>
        </is>
      </c>
      <c r="T27" t="inlineStr">
        <is>
          <t>.</t>
        </is>
      </c>
      <c r="U27" t="inlineStr">
        <is>
          <t>.</t>
        </is>
      </c>
      <c r="V27" t="n">
        <v>484587</v>
      </c>
      <c r="W27" t="n">
        <v>3153966</v>
      </c>
      <c r="X27" t="n">
        <v>168932</v>
      </c>
      <c r="Y27">
        <f>IF(ISNUMBER($W27),$W27,0)</f>
        <v/>
      </c>
      <c r="Z27">
        <f>IF(ISNUMBER(SEARCH("Adjustment",$C27)),"excluded",IF($H27="Behind the Meter","excluded",IF(NOT(OR($E27="Bundled",$E27="Energy")),"excluded",IF(OR($H27="Retail Power Marketer",$H27="Community Choice Aggregator",$E27="Energy"),"procurement",IF(OR($H27="Municipal",$H27="Cooperative",$H27="Federal",$H27="State",$H27="Political Subdivision"),"cost_service",IF($H27="Investor Owned",IF(AND(COUNTIF(Parameters!$A$4:$A$33,$G27)&gt;0,COUNTIF(Parameters!$B$4:$B$33,$B27)=0),"procurement","cost_service"),"unclassified"))))))</f>
        <v/>
      </c>
    </row>
    <row r="28">
      <c r="A28" t="n">
        <v>2024</v>
      </c>
      <c r="B28" t="n">
        <v>11571</v>
      </c>
      <c r="C28" t="inlineStr">
        <is>
          <t>Manitowoc Public Utilities</t>
        </is>
      </c>
      <c r="D28" t="inlineStr">
        <is>
          <t>A</t>
        </is>
      </c>
      <c r="E28" t="inlineStr">
        <is>
          <t>Bundled</t>
        </is>
      </c>
      <c r="F28" t="inlineStr">
        <is>
          <t>O</t>
        </is>
      </c>
      <c r="G28" t="inlineStr">
        <is>
          <t>WI</t>
        </is>
      </c>
      <c r="H28" t="inlineStr">
        <is>
          <t>Municipal</t>
        </is>
      </c>
      <c r="I28" t="inlineStr">
        <is>
          <t>MISO</t>
        </is>
      </c>
      <c r="J28" t="n">
        <v>11997.2</v>
      </c>
      <c r="K28" t="n">
        <v>107643</v>
      </c>
      <c r="L28" t="n">
        <v>16152</v>
      </c>
      <c r="M28" t="n">
        <v>8491.700000000001</v>
      </c>
      <c r="N28" t="n">
        <v>88598</v>
      </c>
      <c r="O28" t="n">
        <v>1997</v>
      </c>
      <c r="P28" t="n">
        <v>23938</v>
      </c>
      <c r="Q28" t="n">
        <v>314816</v>
      </c>
      <c r="R28" t="n">
        <v>79</v>
      </c>
      <c r="S28" t="inlineStr">
        <is>
          <t>.</t>
        </is>
      </c>
      <c r="T28" t="inlineStr">
        <is>
          <t>.</t>
        </is>
      </c>
      <c r="U28" t="inlineStr">
        <is>
          <t>.</t>
        </is>
      </c>
      <c r="V28" t="n">
        <v>44426.9</v>
      </c>
      <c r="W28" t="n">
        <v>511057</v>
      </c>
      <c r="X28" t="n">
        <v>18228</v>
      </c>
      <c r="Y28">
        <f>IF(ISNUMBER($W28),$W28,0)</f>
        <v/>
      </c>
      <c r="Z28">
        <f>IF(ISNUMBER(SEARCH("Adjustment",$C28)),"excluded",IF($H28="Behind the Meter","excluded",IF(NOT(OR($E28="Bundled",$E28="Energy")),"excluded",IF(OR($H28="Retail Power Marketer",$H28="Community Choice Aggregator",$E28="Energy"),"procurement",IF(OR($H28="Municipal",$H28="Cooperative",$H28="Federal",$H28="State",$H28="Political Subdivision"),"cost_service",IF($H28="Investor Owned",IF(AND(COUNTIF(Parameters!$A$4:$A$33,$G28)&gt;0,COUNTIF(Parameters!$B$4:$B$33,$B28)=0),"procurement","cost_service"),"unclassified"))))))</f>
        <v/>
      </c>
    </row>
    <row r="29">
      <c r="A29" t="n">
        <v>2024</v>
      </c>
      <c r="B29" t="n">
        <v>11740</v>
      </c>
      <c r="C29" t="inlineStr">
        <is>
          <t>City of Marshfield - (WI)</t>
        </is>
      </c>
      <c r="D29" t="inlineStr">
        <is>
          <t>A</t>
        </is>
      </c>
      <c r="E29" t="inlineStr">
        <is>
          <t>Bundled</t>
        </is>
      </c>
      <c r="F29" t="inlineStr">
        <is>
          <t>O</t>
        </is>
      </c>
      <c r="G29" t="inlineStr">
        <is>
          <t>WI</t>
        </is>
      </c>
      <c r="H29" t="inlineStr">
        <is>
          <t>Municipal</t>
        </is>
      </c>
      <c r="I29" t="inlineStr">
        <is>
          <t>MISO</t>
        </is>
      </c>
      <c r="J29" t="n">
        <v>9721</v>
      </c>
      <c r="K29" t="n">
        <v>96545</v>
      </c>
      <c r="L29" t="n">
        <v>11928</v>
      </c>
      <c r="M29" t="n">
        <v>8519</v>
      </c>
      <c r="N29" t="n">
        <v>87088</v>
      </c>
      <c r="O29" t="n">
        <v>1984</v>
      </c>
      <c r="P29" t="n">
        <v>14823</v>
      </c>
      <c r="Q29" t="n">
        <v>172841</v>
      </c>
      <c r="R29" t="n">
        <v>54</v>
      </c>
      <c r="S29" t="inlineStr">
        <is>
          <t>.</t>
        </is>
      </c>
      <c r="T29" t="inlineStr">
        <is>
          <t>.</t>
        </is>
      </c>
      <c r="U29" t="inlineStr">
        <is>
          <t>.</t>
        </is>
      </c>
      <c r="V29" t="n">
        <v>33063</v>
      </c>
      <c r="W29" t="n">
        <v>356474</v>
      </c>
      <c r="X29" t="n">
        <v>13966</v>
      </c>
      <c r="Y29">
        <f>IF(ISNUMBER($W29),$W29,0)</f>
        <v/>
      </c>
      <c r="Z29">
        <f>IF(ISNUMBER(SEARCH("Adjustment",$C29)),"excluded",IF($H29="Behind the Meter","excluded",IF(NOT(OR($E29="Bundled",$E29="Energy")),"excluded",IF(OR($H29="Retail Power Marketer",$H29="Community Choice Aggregator",$E29="Energy"),"procurement",IF(OR($H29="Municipal",$H29="Cooperative",$H29="Federal",$H29="State",$H29="Political Subdivision"),"cost_service",IF($H29="Investor Owned",IF(AND(COUNTIF(Parameters!$A$4:$A$33,$G29)&gt;0,COUNTIF(Parameters!$B$4:$B$33,$B29)=0),"procurement","cost_service"),"unclassified"))))))</f>
        <v/>
      </c>
    </row>
    <row r="30">
      <c r="A30" t="n">
        <v>2024</v>
      </c>
      <c r="B30" t="n">
        <v>12298</v>
      </c>
      <c r="C30" t="inlineStr">
        <is>
          <t>City of Menasha - (WI)</t>
        </is>
      </c>
      <c r="D30" t="inlineStr">
        <is>
          <t>A</t>
        </is>
      </c>
      <c r="E30" t="inlineStr">
        <is>
          <t>Bundled</t>
        </is>
      </c>
      <c r="F30" t="inlineStr">
        <is>
          <t>O</t>
        </is>
      </c>
      <c r="G30" t="inlineStr">
        <is>
          <t>WI</t>
        </is>
      </c>
      <c r="H30" t="inlineStr">
        <is>
          <t>Municipal</t>
        </is>
      </c>
      <c r="I30" t="inlineStr">
        <is>
          <t>MISO</t>
        </is>
      </c>
      <c r="J30" t="n">
        <v>7593.3</v>
      </c>
      <c r="K30" t="n">
        <v>61128</v>
      </c>
      <c r="L30" t="n">
        <v>8607</v>
      </c>
      <c r="M30" t="n">
        <v>5782.1</v>
      </c>
      <c r="N30" t="n">
        <v>55759</v>
      </c>
      <c r="O30" t="n">
        <v>854</v>
      </c>
      <c r="P30" t="n">
        <v>25110.4</v>
      </c>
      <c r="Q30" t="n">
        <v>358564</v>
      </c>
      <c r="R30" t="n">
        <v>8</v>
      </c>
      <c r="S30" t="n">
        <v>0</v>
      </c>
      <c r="T30" t="n">
        <v>0</v>
      </c>
      <c r="U30" t="n">
        <v>0</v>
      </c>
      <c r="V30" t="n">
        <v>38485.8</v>
      </c>
      <c r="W30" t="n">
        <v>475451</v>
      </c>
      <c r="X30" t="n">
        <v>9469</v>
      </c>
      <c r="Y30">
        <f>IF(ISNUMBER($W30),$W30,0)</f>
        <v/>
      </c>
      <c r="Z30">
        <f>IF(ISNUMBER(SEARCH("Adjustment",$C30)),"excluded",IF($H30="Behind the Meter","excluded",IF(NOT(OR($E30="Bundled",$E30="Energy")),"excluded",IF(OR($H30="Retail Power Marketer",$H30="Community Choice Aggregator",$E30="Energy"),"procurement",IF(OR($H30="Municipal",$H30="Cooperative",$H30="Federal",$H30="State",$H30="Political Subdivision"),"cost_service",IF($H30="Investor Owned",IF(AND(COUNTIF(Parameters!$A$4:$A$33,$G30)&gt;0,COUNTIF(Parameters!$B$4:$B$33,$B30)=0),"procurement","cost_service"),"unclassified"))))))</f>
        <v/>
      </c>
    </row>
    <row r="31">
      <c r="A31" t="n">
        <v>2024</v>
      </c>
      <c r="B31" t="n">
        <v>13036</v>
      </c>
      <c r="C31" t="inlineStr">
        <is>
          <t>Village of Mt. Horeb - (WI)</t>
        </is>
      </c>
      <c r="D31" t="inlineStr">
        <is>
          <t>A</t>
        </is>
      </c>
      <c r="E31" t="inlineStr">
        <is>
          <t>Bundled</t>
        </is>
      </c>
      <c r="F31" t="inlineStr">
        <is>
          <t>O</t>
        </is>
      </c>
      <c r="G31" t="inlineStr">
        <is>
          <t>WI</t>
        </is>
      </c>
      <c r="H31" t="inlineStr">
        <is>
          <t>Municipal</t>
        </is>
      </c>
      <c r="I31" t="inlineStr">
        <is>
          <t>MISO</t>
        </is>
      </c>
      <c r="J31" t="n">
        <v>3632.8</v>
      </c>
      <c r="K31" t="n">
        <v>29683</v>
      </c>
      <c r="L31" t="n">
        <v>3734</v>
      </c>
      <c r="M31" t="n">
        <v>3327.5</v>
      </c>
      <c r="N31" t="n">
        <v>27826</v>
      </c>
      <c r="O31" t="n">
        <v>552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6960.3</v>
      </c>
      <c r="W31" t="n">
        <v>57509</v>
      </c>
      <c r="X31" t="n">
        <v>4286</v>
      </c>
      <c r="Y31">
        <f>IF(ISNUMBER($W31),$W31,0)</f>
        <v/>
      </c>
      <c r="Z31">
        <f>IF(ISNUMBER(SEARCH("Adjustment",$C31)),"excluded",IF($H31="Behind the Meter","excluded",IF(NOT(OR($E31="Bundled",$E31="Energy")),"excluded",IF(OR($H31="Retail Power Marketer",$H31="Community Choice Aggregator",$E31="Energy"),"procurement",IF(OR($H31="Municipal",$H31="Cooperative",$H31="Federal",$H31="State",$H31="Political Subdivision"),"cost_service",IF($H31="Investor Owned",IF(AND(COUNTIF(Parameters!$A$4:$A$33,$G31)&gt;0,COUNTIF(Parameters!$B$4:$B$33,$B31)=0),"procurement","cost_service"),"unclassified"))))))</f>
        <v/>
      </c>
    </row>
    <row r="32">
      <c r="A32" t="n">
        <v>2024</v>
      </c>
      <c r="B32" t="n">
        <v>13145</v>
      </c>
      <c r="C32" t="inlineStr">
        <is>
          <t>Village of Muscoda - (WI)</t>
        </is>
      </c>
      <c r="D32" t="inlineStr">
        <is>
          <t>A</t>
        </is>
      </c>
      <c r="E32" t="inlineStr">
        <is>
          <t>Bundled</t>
        </is>
      </c>
      <c r="F32" t="inlineStr">
        <is>
          <t>O</t>
        </is>
      </c>
      <c r="G32" t="inlineStr">
        <is>
          <t>WI</t>
        </is>
      </c>
      <c r="H32" t="inlineStr">
        <is>
          <t>Municipal</t>
        </is>
      </c>
      <c r="I32" t="inlineStr">
        <is>
          <t>MISO</t>
        </is>
      </c>
      <c r="J32" t="n">
        <v>785.1</v>
      </c>
      <c r="K32" t="n">
        <v>7190</v>
      </c>
      <c r="L32" t="n">
        <v>938</v>
      </c>
      <c r="M32" t="n">
        <v>1026.9</v>
      </c>
      <c r="N32" t="n">
        <v>8813</v>
      </c>
      <c r="O32" t="n">
        <v>197</v>
      </c>
      <c r="P32" t="n">
        <v>3349.4</v>
      </c>
      <c r="Q32" t="n">
        <v>39472</v>
      </c>
      <c r="R32" t="n">
        <v>3</v>
      </c>
      <c r="S32" t="n">
        <v>0</v>
      </c>
      <c r="T32" t="n">
        <v>0</v>
      </c>
      <c r="U32" t="n">
        <v>0</v>
      </c>
      <c r="V32" t="n">
        <v>5161.4</v>
      </c>
      <c r="W32" t="n">
        <v>55475</v>
      </c>
      <c r="X32" t="n">
        <v>1138</v>
      </c>
      <c r="Y32">
        <f>IF(ISNUMBER($W32),$W32,0)</f>
        <v/>
      </c>
      <c r="Z32">
        <f>IF(ISNUMBER(SEARCH("Adjustment",$C32)),"excluded",IF($H32="Behind the Meter","excluded",IF(NOT(OR($E32="Bundled",$E32="Energy")),"excluded",IF(OR($H32="Retail Power Marketer",$H32="Community Choice Aggregator",$E32="Energy"),"procurement",IF(OR($H32="Municipal",$H32="Cooperative",$H32="Federal",$H32="State",$H32="Political Subdivision"),"cost_service",IF($H32="Investor Owned",IF(AND(COUNTIF(Parameters!$A$4:$A$33,$G32)&gt;0,COUNTIF(Parameters!$B$4:$B$33,$B32)=0),"procurement","cost_service"),"unclassified"))))))</f>
        <v/>
      </c>
    </row>
    <row r="33">
      <c r="A33" t="n">
        <v>2024</v>
      </c>
      <c r="B33" t="n">
        <v>13438</v>
      </c>
      <c r="C33" t="inlineStr">
        <is>
          <t>Village of New Glarus - (WI)</t>
        </is>
      </c>
      <c r="D33" t="inlineStr">
        <is>
          <t>A</t>
        </is>
      </c>
      <c r="E33" t="inlineStr">
        <is>
          <t>Bundled</t>
        </is>
      </c>
      <c r="F33" t="inlineStr">
        <is>
          <t>O</t>
        </is>
      </c>
      <c r="G33" t="inlineStr">
        <is>
          <t>WI</t>
        </is>
      </c>
      <c r="H33" t="inlineStr">
        <is>
          <t>Municipal</t>
        </is>
      </c>
      <c r="I33" t="inlineStr">
        <is>
          <t>MISO</t>
        </is>
      </c>
      <c r="J33" t="n">
        <v>1078.1</v>
      </c>
      <c r="K33" t="n">
        <v>8003</v>
      </c>
      <c r="L33" t="n">
        <v>1091</v>
      </c>
      <c r="M33" t="n">
        <v>1642</v>
      </c>
      <c r="N33" t="n">
        <v>15340</v>
      </c>
      <c r="O33" t="n">
        <v>205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2720.1</v>
      </c>
      <c r="W33" t="n">
        <v>23343</v>
      </c>
      <c r="X33" t="n">
        <v>1296</v>
      </c>
      <c r="Y33">
        <f>IF(ISNUMBER($W33),$W33,0)</f>
        <v/>
      </c>
      <c r="Z33">
        <f>IF(ISNUMBER(SEARCH("Adjustment",$C33)),"excluded",IF($H33="Behind the Meter","excluded",IF(NOT(OR($E33="Bundled",$E33="Energy")),"excluded",IF(OR($H33="Retail Power Marketer",$H33="Community Choice Aggregator",$E33="Energy"),"procurement",IF(OR($H33="Municipal",$H33="Cooperative",$H33="Federal",$H33="State",$H33="Political Subdivision"),"cost_service",IF($H33="Investor Owned",IF(AND(COUNTIF(Parameters!$A$4:$A$33,$G33)&gt;0,COUNTIF(Parameters!$B$4:$B$33,$B33)=0),"procurement","cost_service"),"unclassified"))))))</f>
        <v/>
      </c>
    </row>
    <row r="34">
      <c r="A34" t="n">
        <v>2024</v>
      </c>
      <c r="B34" t="n">
        <v>13448</v>
      </c>
      <c r="C34" t="inlineStr">
        <is>
          <t>City of New Holstein - (WI)</t>
        </is>
      </c>
      <c r="D34" t="inlineStr">
        <is>
          <t>A</t>
        </is>
      </c>
      <c r="E34" t="inlineStr">
        <is>
          <t>Bundled</t>
        </is>
      </c>
      <c r="F34" t="inlineStr">
        <is>
          <t>O</t>
        </is>
      </c>
      <c r="G34" t="inlineStr">
        <is>
          <t>WI</t>
        </is>
      </c>
      <c r="H34" t="inlineStr">
        <is>
          <t>Municipal</t>
        </is>
      </c>
      <c r="I34" t="inlineStr">
        <is>
          <t>MISO</t>
        </is>
      </c>
      <c r="J34" t="n">
        <v>2547.9</v>
      </c>
      <c r="K34" t="n">
        <v>19119</v>
      </c>
      <c r="L34" t="n">
        <v>2255</v>
      </c>
      <c r="M34" t="n">
        <v>2497.1</v>
      </c>
      <c r="N34" t="n">
        <v>21486</v>
      </c>
      <c r="O34" t="n">
        <v>461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5045</v>
      </c>
      <c r="W34" t="n">
        <v>40605</v>
      </c>
      <c r="X34" t="n">
        <v>2716</v>
      </c>
      <c r="Y34">
        <f>IF(ISNUMBER($W34),$W34,0)</f>
        <v/>
      </c>
      <c r="Z34">
        <f>IF(ISNUMBER(SEARCH("Adjustment",$C34)),"excluded",IF($H34="Behind the Meter","excluded",IF(NOT(OR($E34="Bundled",$E34="Energy")),"excluded",IF(OR($H34="Retail Power Marketer",$H34="Community Choice Aggregator",$E34="Energy"),"procurement",IF(OR($H34="Municipal",$H34="Cooperative",$H34="Federal",$H34="State",$H34="Political Subdivision"),"cost_service",IF($H34="Investor Owned",IF(AND(COUNTIF(Parameters!$A$4:$A$33,$G34)&gt;0,COUNTIF(Parameters!$B$4:$B$33,$B34)=0),"procurement","cost_service"),"unclassified"))))))</f>
        <v/>
      </c>
    </row>
    <row r="35">
      <c r="A35" t="n">
        <v>2024</v>
      </c>
      <c r="B35" t="n">
        <v>13467</v>
      </c>
      <c r="C35" t="inlineStr">
        <is>
          <t>New London Electric&amp;Water Util</t>
        </is>
      </c>
      <c r="D35" t="inlineStr">
        <is>
          <t>A</t>
        </is>
      </c>
      <c r="E35" t="inlineStr">
        <is>
          <t>Bundled</t>
        </is>
      </c>
      <c r="F35" t="inlineStr">
        <is>
          <t>O</t>
        </is>
      </c>
      <c r="G35" t="inlineStr">
        <is>
          <t>WI</t>
        </is>
      </c>
      <c r="H35" t="inlineStr">
        <is>
          <t>Municipal</t>
        </is>
      </c>
      <c r="I35" t="inlineStr">
        <is>
          <t>MISO</t>
        </is>
      </c>
      <c r="J35" t="n">
        <v>3218.9</v>
      </c>
      <c r="K35" t="n">
        <v>26187</v>
      </c>
      <c r="L35" t="n">
        <v>3501</v>
      </c>
      <c r="M35" t="n">
        <v>3772.1</v>
      </c>
      <c r="N35" t="n">
        <v>35104</v>
      </c>
      <c r="O35" t="n">
        <v>636</v>
      </c>
      <c r="P35" t="n">
        <v>9809.200000000001</v>
      </c>
      <c r="Q35" t="n">
        <v>120190</v>
      </c>
      <c r="R35" t="n">
        <v>5</v>
      </c>
      <c r="S35" t="n">
        <v>0</v>
      </c>
      <c r="T35" t="n">
        <v>0</v>
      </c>
      <c r="U35" t="n">
        <v>0</v>
      </c>
      <c r="V35" t="n">
        <v>16800.2</v>
      </c>
      <c r="W35" t="n">
        <v>181481</v>
      </c>
      <c r="X35" t="n">
        <v>4142</v>
      </c>
      <c r="Y35">
        <f>IF(ISNUMBER($W35),$W35,0)</f>
        <v/>
      </c>
      <c r="Z35">
        <f>IF(ISNUMBER(SEARCH("Adjustment",$C35)),"excluded",IF($H35="Behind the Meter","excluded",IF(NOT(OR($E35="Bundled",$E35="Energy")),"excluded",IF(OR($H35="Retail Power Marketer",$H35="Community Choice Aggregator",$E35="Energy"),"procurement",IF(OR($H35="Municipal",$H35="Cooperative",$H35="Federal",$H35="State",$H35="Political Subdivision"),"cost_service",IF($H35="Investor Owned",IF(AND(COUNTIF(Parameters!$A$4:$A$33,$G35)&gt;0,COUNTIF(Parameters!$B$4:$B$33,$B35)=0),"procurement","cost_service"),"unclassified"))))))</f>
        <v/>
      </c>
    </row>
    <row r="36">
      <c r="A36" t="n">
        <v>2024</v>
      </c>
      <c r="B36" t="n">
        <v>13481</v>
      </c>
      <c r="C36" t="inlineStr">
        <is>
          <t>City of New Richmond</t>
        </is>
      </c>
      <c r="D36" t="inlineStr">
        <is>
          <t>A</t>
        </is>
      </c>
      <c r="E36" t="inlineStr">
        <is>
          <t>Bundled</t>
        </is>
      </c>
      <c r="F36" t="inlineStr">
        <is>
          <t>O</t>
        </is>
      </c>
      <c r="G36" t="inlineStr">
        <is>
          <t>WI</t>
        </is>
      </c>
      <c r="H36" t="inlineStr">
        <is>
          <t>Municipal</t>
        </is>
      </c>
      <c r="I36" t="inlineStr">
        <is>
          <t>MISO</t>
        </is>
      </c>
      <c r="J36" t="n">
        <v>4701</v>
      </c>
      <c r="K36" t="n">
        <v>40537</v>
      </c>
      <c r="L36" t="n">
        <v>4957</v>
      </c>
      <c r="M36" t="n">
        <v>6522.6</v>
      </c>
      <c r="N36" t="n">
        <v>65940</v>
      </c>
      <c r="O36" t="n">
        <v>748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11223.6</v>
      </c>
      <c r="W36" t="n">
        <v>106477</v>
      </c>
      <c r="X36" t="n">
        <v>5705</v>
      </c>
      <c r="Y36">
        <f>IF(ISNUMBER($W36),$W36,0)</f>
        <v/>
      </c>
      <c r="Z36">
        <f>IF(ISNUMBER(SEARCH("Adjustment",$C36)),"excluded",IF($H36="Behind the Meter","excluded",IF(NOT(OR($E36="Bundled",$E36="Energy")),"excluded",IF(OR($H36="Retail Power Marketer",$H36="Community Choice Aggregator",$E36="Energy"),"procurement",IF(OR($H36="Municipal",$H36="Cooperative",$H36="Federal",$H36="State",$H36="Political Subdivision"),"cost_service",IF($H36="Investor Owned",IF(AND(COUNTIF(Parameters!$A$4:$A$33,$G36)&gt;0,COUNTIF(Parameters!$B$4:$B$33,$B36)=0),"procurement","cost_service"),"unclassified"))))))</f>
        <v/>
      </c>
    </row>
    <row r="37">
      <c r="A37" t="n">
        <v>2024</v>
      </c>
      <c r="B37" t="n">
        <v>13697</v>
      </c>
      <c r="C37" t="inlineStr">
        <is>
          <t>North Central Power Co Inc</t>
        </is>
      </c>
      <c r="D37" t="inlineStr">
        <is>
          <t>A</t>
        </is>
      </c>
      <c r="E37" t="inlineStr">
        <is>
          <t>Bundled</t>
        </is>
      </c>
      <c r="F37" t="inlineStr">
        <is>
          <t>O</t>
        </is>
      </c>
      <c r="G37" t="inlineStr">
        <is>
          <t>WI</t>
        </is>
      </c>
      <c r="H37" t="inlineStr">
        <is>
          <t>Investor Owned</t>
        </is>
      </c>
      <c r="I37" t="inlineStr">
        <is>
          <t>MISO</t>
        </is>
      </c>
      <c r="J37" t="n">
        <v>3991.7</v>
      </c>
      <c r="K37" t="n">
        <v>25371</v>
      </c>
      <c r="L37" t="n">
        <v>4991</v>
      </c>
      <c r="M37" t="n">
        <v>1078.4</v>
      </c>
      <c r="N37" t="n">
        <v>7545</v>
      </c>
      <c r="O37" t="n">
        <v>520</v>
      </c>
      <c r="P37" t="n">
        <v>294.7</v>
      </c>
      <c r="Q37" t="n">
        <v>3076</v>
      </c>
      <c r="R37" t="n">
        <v>5</v>
      </c>
      <c r="S37" t="n">
        <v>0</v>
      </c>
      <c r="T37" t="n">
        <v>0</v>
      </c>
      <c r="U37" t="n">
        <v>0</v>
      </c>
      <c r="V37" t="n">
        <v>5364.8</v>
      </c>
      <c r="W37" t="n">
        <v>35992</v>
      </c>
      <c r="X37" t="n">
        <v>5516</v>
      </c>
      <c r="Y37">
        <f>IF(ISNUMBER($W37),$W37,0)</f>
        <v/>
      </c>
      <c r="Z37">
        <f>IF(ISNUMBER(SEARCH("Adjustment",$C37)),"excluded",IF($H37="Behind the Meter","excluded",IF(NOT(OR($E37="Bundled",$E37="Energy")),"excluded",IF(OR($H37="Retail Power Marketer",$H37="Community Choice Aggregator",$E37="Energy"),"procurement",IF(OR($H37="Municipal",$H37="Cooperative",$H37="Federal",$H37="State",$H37="Political Subdivision"),"cost_service",IF($H37="Investor Owned",IF(AND(COUNTIF(Parameters!$A$4:$A$33,$G37)&gt;0,COUNTIF(Parameters!$B$4:$B$33,$B37)=0),"procurement","cost_service"),"unclassified"))))))</f>
        <v/>
      </c>
    </row>
    <row r="38">
      <c r="A38" t="n">
        <v>2024</v>
      </c>
      <c r="B38" t="n">
        <v>13780</v>
      </c>
      <c r="C38" t="inlineStr">
        <is>
          <t>Northern States Power Co</t>
        </is>
      </c>
      <c r="D38" t="inlineStr">
        <is>
          <t>A</t>
        </is>
      </c>
      <c r="E38" t="inlineStr">
        <is>
          <t>Bundled</t>
        </is>
      </c>
      <c r="F38" t="inlineStr">
        <is>
          <t>O</t>
        </is>
      </c>
      <c r="G38" t="inlineStr">
        <is>
          <t>WI</t>
        </is>
      </c>
      <c r="H38" t="inlineStr">
        <is>
          <t>Investor Owned</t>
        </is>
      </c>
      <c r="I38" t="inlineStr">
        <is>
          <t>MISO</t>
        </is>
      </c>
      <c r="J38" t="n">
        <v>289311.2</v>
      </c>
      <c r="K38" t="n">
        <v>1827684</v>
      </c>
      <c r="L38" t="n">
        <v>220574</v>
      </c>
      <c r="M38" t="n">
        <v>310838.4</v>
      </c>
      <c r="N38" t="n">
        <v>2673561</v>
      </c>
      <c r="O38" t="n">
        <v>41684</v>
      </c>
      <c r="P38" t="n">
        <v>177930.6</v>
      </c>
      <c r="Q38" t="n">
        <v>2093919</v>
      </c>
      <c r="R38" t="n">
        <v>116</v>
      </c>
      <c r="S38" t="n">
        <v>0</v>
      </c>
      <c r="T38" t="n">
        <v>0</v>
      </c>
      <c r="U38" t="n">
        <v>0</v>
      </c>
      <c r="V38" t="n">
        <v>778080.2</v>
      </c>
      <c r="W38" t="n">
        <v>6595164</v>
      </c>
      <c r="X38" t="n">
        <v>262374</v>
      </c>
      <c r="Y38">
        <f>IF(ISNUMBER($W38),$W38,0)</f>
        <v/>
      </c>
      <c r="Z38">
        <f>IF(ISNUMBER(SEARCH("Adjustment",$C38)),"excluded",IF($H38="Behind the Meter","excluded",IF(NOT(OR($E38="Bundled",$E38="Energy")),"excluded",IF(OR($H38="Retail Power Marketer",$H38="Community Choice Aggregator",$E38="Energy"),"procurement",IF(OR($H38="Municipal",$H38="Cooperative",$H38="Federal",$H38="State",$H38="Political Subdivision"),"cost_service",IF($H38="Investor Owned",IF(AND(COUNTIF(Parameters!$A$4:$A$33,$G38)&gt;0,COUNTIF(Parameters!$B$4:$B$33,$B38)=0),"procurement","cost_service"),"unclassified"))))))</f>
        <v/>
      </c>
    </row>
    <row r="39">
      <c r="A39" t="n">
        <v>2024</v>
      </c>
      <c r="B39" t="n">
        <v>13815</v>
      </c>
      <c r="C39" t="inlineStr">
        <is>
          <t>Northwestern Wisconsin Elec Co</t>
        </is>
      </c>
      <c r="D39" t="inlineStr">
        <is>
          <t>A</t>
        </is>
      </c>
      <c r="E39" t="inlineStr">
        <is>
          <t>Bundled</t>
        </is>
      </c>
      <c r="F39" t="inlineStr">
        <is>
          <t>O</t>
        </is>
      </c>
      <c r="G39" t="inlineStr">
        <is>
          <t>WI</t>
        </is>
      </c>
      <c r="H39" t="inlineStr">
        <is>
          <t>Investor Owned</t>
        </is>
      </c>
      <c r="I39" t="inlineStr">
        <is>
          <t>MISO</t>
        </is>
      </c>
      <c r="J39" t="n">
        <v>11717.7</v>
      </c>
      <c r="K39" t="n">
        <v>84695</v>
      </c>
      <c r="L39" t="n">
        <v>12990</v>
      </c>
      <c r="M39" t="n">
        <v>6037.3</v>
      </c>
      <c r="N39" t="n">
        <v>51133</v>
      </c>
      <c r="O39" t="n">
        <v>2017</v>
      </c>
      <c r="P39" t="n">
        <v>3690.6</v>
      </c>
      <c r="Q39" t="n">
        <v>41097</v>
      </c>
      <c r="R39" t="n">
        <v>27</v>
      </c>
      <c r="S39" t="inlineStr">
        <is>
          <t>.</t>
        </is>
      </c>
      <c r="T39" t="inlineStr">
        <is>
          <t>.</t>
        </is>
      </c>
      <c r="U39" t="inlineStr">
        <is>
          <t>.</t>
        </is>
      </c>
      <c r="V39" t="n">
        <v>21445.6</v>
      </c>
      <c r="W39" t="n">
        <v>176925</v>
      </c>
      <c r="X39" t="n">
        <v>15034</v>
      </c>
      <c r="Y39">
        <f>IF(ISNUMBER($W39),$W39,0)</f>
        <v/>
      </c>
      <c r="Z39">
        <f>IF(ISNUMBER(SEARCH("Adjustment",$C39)),"excluded",IF($H39="Behind the Meter","excluded",IF(NOT(OR($E39="Bundled",$E39="Energy")),"excluded",IF(OR($H39="Retail Power Marketer",$H39="Community Choice Aggregator",$E39="Energy"),"procurement",IF(OR($H39="Municipal",$H39="Cooperative",$H39="Federal",$H39="State",$H39="Political Subdivision"),"cost_service",IF($H39="Investor Owned",IF(AND(COUNTIF(Parameters!$A$4:$A$33,$G39)&gt;0,COUNTIF(Parameters!$B$4:$B$33,$B39)=0),"procurement","cost_service"),"unclassified"))))))</f>
        <v/>
      </c>
    </row>
    <row r="40">
      <c r="A40" t="n">
        <v>2024</v>
      </c>
      <c r="B40" t="n">
        <v>13936</v>
      </c>
      <c r="C40" t="inlineStr">
        <is>
          <t>Oakdale Electric Coop</t>
        </is>
      </c>
      <c r="D40" t="inlineStr">
        <is>
          <t>A</t>
        </is>
      </c>
      <c r="E40" t="inlineStr">
        <is>
          <t>Bundled</t>
        </is>
      </c>
      <c r="F40" t="inlineStr">
        <is>
          <t>O</t>
        </is>
      </c>
      <c r="G40" t="inlineStr">
        <is>
          <t>WI</t>
        </is>
      </c>
      <c r="H40" t="inlineStr">
        <is>
          <t>Cooperative</t>
        </is>
      </c>
      <c r="I40" t="inlineStr">
        <is>
          <t>MISO</t>
        </is>
      </c>
      <c r="J40" t="n">
        <v>23056</v>
      </c>
      <c r="K40" t="n">
        <v>145324</v>
      </c>
      <c r="L40" t="n">
        <v>17027</v>
      </c>
      <c r="M40" t="n">
        <v>6659</v>
      </c>
      <c r="N40" t="n">
        <v>51759</v>
      </c>
      <c r="O40" t="n">
        <v>1758</v>
      </c>
      <c r="P40" t="n">
        <v>14968</v>
      </c>
      <c r="Q40" t="n">
        <v>172767</v>
      </c>
      <c r="R40" t="n">
        <v>58</v>
      </c>
      <c r="S40" t="n">
        <v>0</v>
      </c>
      <c r="T40" t="n">
        <v>0</v>
      </c>
      <c r="U40" t="n">
        <v>0</v>
      </c>
      <c r="V40" t="n">
        <v>44683</v>
      </c>
      <c r="W40" t="n">
        <v>369850</v>
      </c>
      <c r="X40" t="n">
        <v>18843</v>
      </c>
      <c r="Y40">
        <f>IF(ISNUMBER($W40),$W40,0)</f>
        <v/>
      </c>
      <c r="Z40">
        <f>IF(ISNUMBER(SEARCH("Adjustment",$C40)),"excluded",IF($H40="Behind the Meter","excluded",IF(NOT(OR($E40="Bundled",$E40="Energy")),"excluded",IF(OR($H40="Retail Power Marketer",$H40="Community Choice Aggregator",$E40="Energy"),"procurement",IF(OR($H40="Municipal",$H40="Cooperative",$H40="Federal",$H40="State",$H40="Political Subdivision"),"cost_service",IF($H40="Investor Owned",IF(AND(COUNTIF(Parameters!$A$4:$A$33,$G40)&gt;0,COUNTIF(Parameters!$B$4:$B$33,$B40)=0),"procurement","cost_service"),"unclassified"))))))</f>
        <v/>
      </c>
    </row>
    <row r="41">
      <c r="A41" t="n">
        <v>2024</v>
      </c>
      <c r="B41" t="n">
        <v>13963</v>
      </c>
      <c r="C41" t="inlineStr">
        <is>
          <t>Oconomowoc Utilities</t>
        </is>
      </c>
      <c r="D41" t="inlineStr">
        <is>
          <t>A</t>
        </is>
      </c>
      <c r="E41" t="inlineStr">
        <is>
          <t>Bundled</t>
        </is>
      </c>
      <c r="F41" t="inlineStr">
        <is>
          <t>O</t>
        </is>
      </c>
      <c r="G41" t="inlineStr">
        <is>
          <t>WI</t>
        </is>
      </c>
      <c r="H41" t="inlineStr">
        <is>
          <t>Municipal</t>
        </is>
      </c>
      <c r="I41" t="inlineStr">
        <is>
          <t>MISO</t>
        </is>
      </c>
      <c r="J41" t="n">
        <v>11006</v>
      </c>
      <c r="K41" t="n">
        <v>80049</v>
      </c>
      <c r="L41" t="n">
        <v>9972</v>
      </c>
      <c r="M41" t="n">
        <v>12484.8</v>
      </c>
      <c r="N41" t="n">
        <v>113253</v>
      </c>
      <c r="O41" t="n">
        <v>1400</v>
      </c>
      <c r="P41" t="n">
        <v>2380.8</v>
      </c>
      <c r="Q41" t="n">
        <v>26911</v>
      </c>
      <c r="R41" t="n">
        <v>4</v>
      </c>
      <c r="S41" t="n">
        <v>0</v>
      </c>
      <c r="T41" t="n">
        <v>0</v>
      </c>
      <c r="U41" t="n">
        <v>0</v>
      </c>
      <c r="V41" t="n">
        <v>25871.6</v>
      </c>
      <c r="W41" t="n">
        <v>220213</v>
      </c>
      <c r="X41" t="n">
        <v>11376</v>
      </c>
      <c r="Y41">
        <f>IF(ISNUMBER($W41),$W41,0)</f>
        <v/>
      </c>
      <c r="Z41">
        <f>IF(ISNUMBER(SEARCH("Adjustment",$C41)),"excluded",IF($H41="Behind the Meter","excluded",IF(NOT(OR($E41="Bundled",$E41="Energy")),"excluded",IF(OR($H41="Retail Power Marketer",$H41="Community Choice Aggregator",$E41="Energy"),"procurement",IF(OR($H41="Municipal",$H41="Cooperative",$H41="Federal",$H41="State",$H41="Political Subdivision"),"cost_service",IF($H41="Investor Owned",IF(AND(COUNTIF(Parameters!$A$4:$A$33,$G41)&gt;0,COUNTIF(Parameters!$B$4:$B$33,$B41)=0),"procurement","cost_service"),"unclassified"))))))</f>
        <v/>
      </c>
    </row>
    <row r="42">
      <c r="A42" t="n">
        <v>2024</v>
      </c>
      <c r="B42" t="n">
        <v>13965</v>
      </c>
      <c r="C42" t="inlineStr">
        <is>
          <t>Oconto Falls Water &amp; Light Comm</t>
        </is>
      </c>
      <c r="D42" t="inlineStr">
        <is>
          <t>A</t>
        </is>
      </c>
      <c r="E42" t="inlineStr">
        <is>
          <t>Bundled</t>
        </is>
      </c>
      <c r="F42" t="inlineStr">
        <is>
          <t>O</t>
        </is>
      </c>
      <c r="G42" t="inlineStr">
        <is>
          <t>WI</t>
        </is>
      </c>
      <c r="H42" t="inlineStr">
        <is>
          <t>Municipal</t>
        </is>
      </c>
      <c r="I42" t="inlineStr">
        <is>
          <t>MISO</t>
        </is>
      </c>
      <c r="J42" t="n">
        <v>1326.1</v>
      </c>
      <c r="K42" t="n">
        <v>9703</v>
      </c>
      <c r="L42" t="n">
        <v>1364</v>
      </c>
      <c r="M42" t="n">
        <v>1834.6</v>
      </c>
      <c r="N42" t="n">
        <v>15743</v>
      </c>
      <c r="O42" t="n">
        <v>310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3160.7</v>
      </c>
      <c r="W42" t="n">
        <v>25446</v>
      </c>
      <c r="X42" t="n">
        <v>1674</v>
      </c>
      <c r="Y42">
        <f>IF(ISNUMBER($W42),$W42,0)</f>
        <v/>
      </c>
      <c r="Z42">
        <f>IF(ISNUMBER(SEARCH("Adjustment",$C42)),"excluded",IF($H42="Behind the Meter","excluded",IF(NOT(OR($E42="Bundled",$E42="Energy")),"excluded",IF(OR($H42="Retail Power Marketer",$H42="Community Choice Aggregator",$E42="Energy"),"procurement",IF(OR($H42="Municipal",$H42="Cooperative",$H42="Federal",$H42="State",$H42="Political Subdivision"),"cost_service",IF($H42="Investor Owned",IF(AND(COUNTIF(Parameters!$A$4:$A$33,$G42)&gt;0,COUNTIF(Parameters!$B$4:$B$33,$B42)=0),"procurement","cost_service"),"unclassified"))))))</f>
        <v/>
      </c>
    </row>
    <row r="43">
      <c r="A43" t="n">
        <v>2024</v>
      </c>
      <c r="B43" t="n">
        <v>15086</v>
      </c>
      <c r="C43" t="inlineStr">
        <is>
          <t>Pioneer Power and Light Co</t>
        </is>
      </c>
      <c r="D43" t="inlineStr">
        <is>
          <t>A</t>
        </is>
      </c>
      <c r="E43" t="inlineStr">
        <is>
          <t>Bundled</t>
        </is>
      </c>
      <c r="F43" t="inlineStr">
        <is>
          <t>O</t>
        </is>
      </c>
      <c r="G43" t="inlineStr">
        <is>
          <t>WI</t>
        </is>
      </c>
      <c r="H43" t="inlineStr">
        <is>
          <t>Investor Owned</t>
        </is>
      </c>
      <c r="I43" t="inlineStr">
        <is>
          <t>MISO</t>
        </is>
      </c>
      <c r="J43" t="n">
        <v>2402</v>
      </c>
      <c r="K43" t="n">
        <v>14019</v>
      </c>
      <c r="L43" t="n">
        <v>2021</v>
      </c>
      <c r="M43" t="n">
        <v>768</v>
      </c>
      <c r="N43" t="n">
        <v>4508</v>
      </c>
      <c r="O43" t="n">
        <v>224</v>
      </c>
      <c r="P43" t="n">
        <v>614</v>
      </c>
      <c r="Q43" t="n">
        <v>5486</v>
      </c>
      <c r="R43" t="n">
        <v>33</v>
      </c>
      <c r="S43" t="n">
        <v>0</v>
      </c>
      <c r="T43" t="n">
        <v>0</v>
      </c>
      <c r="U43" t="n">
        <v>0</v>
      </c>
      <c r="V43" t="n">
        <v>3784</v>
      </c>
      <c r="W43" t="n">
        <v>24013</v>
      </c>
      <c r="X43" t="n">
        <v>2278</v>
      </c>
      <c r="Y43">
        <f>IF(ISNUMBER($W43),$W43,0)</f>
        <v/>
      </c>
      <c r="Z43">
        <f>IF(ISNUMBER(SEARCH("Adjustment",$C43)),"excluded",IF($H43="Behind the Meter","excluded",IF(NOT(OR($E43="Bundled",$E43="Energy")),"excluded",IF(OR($H43="Retail Power Marketer",$H43="Community Choice Aggregator",$E43="Energy"),"procurement",IF(OR($H43="Municipal",$H43="Cooperative",$H43="Federal",$H43="State",$H43="Political Subdivision"),"cost_service",IF($H43="Investor Owned",IF(AND(COUNTIF(Parameters!$A$4:$A$33,$G43)&gt;0,COUNTIF(Parameters!$B$4:$B$33,$B43)=0),"procurement","cost_service"),"unclassified"))))))</f>
        <v/>
      </c>
    </row>
    <row r="44">
      <c r="A44" t="n">
        <v>2024</v>
      </c>
      <c r="B44" t="n">
        <v>15159</v>
      </c>
      <c r="C44" t="inlineStr">
        <is>
          <t>City of Plymouth - (WI)</t>
        </is>
      </c>
      <c r="D44" t="inlineStr">
        <is>
          <t>A</t>
        </is>
      </c>
      <c r="E44" t="inlineStr">
        <is>
          <t>Bundled</t>
        </is>
      </c>
      <c r="F44" t="inlineStr">
        <is>
          <t>O</t>
        </is>
      </c>
      <c r="G44" t="inlineStr">
        <is>
          <t>WI</t>
        </is>
      </c>
      <c r="H44" t="inlineStr">
        <is>
          <t>Municipal</t>
        </is>
      </c>
      <c r="I44" t="inlineStr">
        <is>
          <t>MISO</t>
        </is>
      </c>
      <c r="J44" t="n">
        <v>7273.7</v>
      </c>
      <c r="K44" t="n">
        <v>61636</v>
      </c>
      <c r="L44" t="n">
        <v>7358</v>
      </c>
      <c r="M44" t="n">
        <v>9086.299999999999</v>
      </c>
      <c r="N44" t="n">
        <v>95261</v>
      </c>
      <c r="O44" t="n">
        <v>1402</v>
      </c>
      <c r="P44" t="n">
        <v>7987.9</v>
      </c>
      <c r="Q44" t="n">
        <v>102174</v>
      </c>
      <c r="R44" t="n">
        <v>8</v>
      </c>
      <c r="S44" t="n">
        <v>0</v>
      </c>
      <c r="T44" t="n">
        <v>0</v>
      </c>
      <c r="U44" t="n">
        <v>0</v>
      </c>
      <c r="V44" t="n">
        <v>24347.9</v>
      </c>
      <c r="W44" t="n">
        <v>259071</v>
      </c>
      <c r="X44" t="n">
        <v>8768</v>
      </c>
      <c r="Y44">
        <f>IF(ISNUMBER($W44),$W44,0)</f>
        <v/>
      </c>
      <c r="Z44">
        <f>IF(ISNUMBER(SEARCH("Adjustment",$C44)),"excluded",IF($H44="Behind the Meter","excluded",IF(NOT(OR($E44="Bundled",$E44="Energy")),"excluded",IF(OR($H44="Retail Power Marketer",$H44="Community Choice Aggregator",$E44="Energy"),"procurement",IF(OR($H44="Municipal",$H44="Cooperative",$H44="Federal",$H44="State",$H44="Political Subdivision"),"cost_service",IF($H44="Investor Owned",IF(AND(COUNTIF(Parameters!$A$4:$A$33,$G44)&gt;0,COUNTIF(Parameters!$B$4:$B$33,$B44)=0),"procurement","cost_service"),"unclassified"))))))</f>
        <v/>
      </c>
    </row>
    <row r="45">
      <c r="A45" t="n">
        <v>2024</v>
      </c>
      <c r="B45" t="n">
        <v>15312</v>
      </c>
      <c r="C45" t="inlineStr">
        <is>
          <t>Village of Prairie Du Sac - (WI)</t>
        </is>
      </c>
      <c r="D45" t="inlineStr">
        <is>
          <t>A</t>
        </is>
      </c>
      <c r="E45" t="inlineStr">
        <is>
          <t>Bundled</t>
        </is>
      </c>
      <c r="F45" t="inlineStr">
        <is>
          <t>O</t>
        </is>
      </c>
      <c r="G45" t="inlineStr">
        <is>
          <t>WI</t>
        </is>
      </c>
      <c r="H45" t="inlineStr">
        <is>
          <t>Municipal</t>
        </is>
      </c>
      <c r="I45" t="inlineStr">
        <is>
          <t>MISO</t>
        </is>
      </c>
      <c r="J45" t="n">
        <v>1716.8</v>
      </c>
      <c r="K45" t="n">
        <v>15161</v>
      </c>
      <c r="L45" t="n">
        <v>1921</v>
      </c>
      <c r="M45" t="n">
        <v>2414.9</v>
      </c>
      <c r="N45" t="n">
        <v>23120</v>
      </c>
      <c r="O45" t="n">
        <v>305</v>
      </c>
      <c r="P45" t="n">
        <v>1187.6</v>
      </c>
      <c r="Q45" t="n">
        <v>12052</v>
      </c>
      <c r="R45" t="n">
        <v>1</v>
      </c>
      <c r="S45" t="n">
        <v>0</v>
      </c>
      <c r="T45" t="n">
        <v>0</v>
      </c>
      <c r="U45" t="n">
        <v>0</v>
      </c>
      <c r="V45" t="n">
        <v>5319.3</v>
      </c>
      <c r="W45" t="n">
        <v>50333</v>
      </c>
      <c r="X45" t="n">
        <v>2227</v>
      </c>
      <c r="Y45">
        <f>IF(ISNUMBER($W45),$W45,0)</f>
        <v/>
      </c>
      <c r="Z45">
        <f>IF(ISNUMBER(SEARCH("Adjustment",$C45)),"excluded",IF($H45="Behind the Meter","excluded",IF(NOT(OR($E45="Bundled",$E45="Energy")),"excluded",IF(OR($H45="Retail Power Marketer",$H45="Community Choice Aggregator",$E45="Energy"),"procurement",IF(OR($H45="Municipal",$H45="Cooperative",$H45="Federal",$H45="State",$H45="Political Subdivision"),"cost_service",IF($H45="Investor Owned",IF(AND(COUNTIF(Parameters!$A$4:$A$33,$G45)&gt;0,COUNTIF(Parameters!$B$4:$B$33,$B45)=0),"procurement","cost_service"),"unclassified"))))))</f>
        <v/>
      </c>
    </row>
    <row r="46">
      <c r="A46" t="n">
        <v>2024</v>
      </c>
      <c r="B46" t="n">
        <v>15344</v>
      </c>
      <c r="C46" t="inlineStr">
        <is>
          <t>Polk-Burnett Electric Coop</t>
        </is>
      </c>
      <c r="D46" t="inlineStr">
        <is>
          <t>A</t>
        </is>
      </c>
      <c r="E46" t="inlineStr">
        <is>
          <t>Bundled</t>
        </is>
      </c>
      <c r="F46" t="inlineStr">
        <is>
          <t>O</t>
        </is>
      </c>
      <c r="G46" t="inlineStr">
        <is>
          <t>WI</t>
        </is>
      </c>
      <c r="H46" t="inlineStr">
        <is>
          <t>Cooperative</t>
        </is>
      </c>
      <c r="I46" t="inlineStr">
        <is>
          <t>MISO</t>
        </is>
      </c>
      <c r="J46" t="n">
        <v>29241</v>
      </c>
      <c r="K46" t="n">
        <v>183871</v>
      </c>
      <c r="L46" t="n">
        <v>20379</v>
      </c>
      <c r="M46" t="n">
        <v>6301</v>
      </c>
      <c r="N46" t="n">
        <v>53106</v>
      </c>
      <c r="O46" t="n">
        <v>1760</v>
      </c>
      <c r="P46" t="n">
        <v>26.1</v>
      </c>
      <c r="Q46" t="n">
        <v>93</v>
      </c>
      <c r="R46" t="n">
        <v>18</v>
      </c>
      <c r="S46" t="inlineStr">
        <is>
          <t>.</t>
        </is>
      </c>
      <c r="T46" t="inlineStr">
        <is>
          <t>.</t>
        </is>
      </c>
      <c r="U46" t="inlineStr">
        <is>
          <t>.</t>
        </is>
      </c>
      <c r="V46" t="n">
        <v>35568.1</v>
      </c>
      <c r="W46" t="n">
        <v>237070</v>
      </c>
      <c r="X46" t="n">
        <v>22157</v>
      </c>
      <c r="Y46">
        <f>IF(ISNUMBER($W46),$W46,0)</f>
        <v/>
      </c>
      <c r="Z46">
        <f>IF(ISNUMBER(SEARCH("Adjustment",$C46)),"excluded",IF($H46="Behind the Meter","excluded",IF(NOT(OR($E46="Bundled",$E46="Energy")),"excluded",IF(OR($H46="Retail Power Marketer",$H46="Community Choice Aggregator",$E46="Energy"),"procurement",IF(OR($H46="Municipal",$H46="Cooperative",$H46="Federal",$H46="State",$H46="Political Subdivision"),"cost_service",IF($H46="Investor Owned",IF(AND(COUNTIF(Parameters!$A$4:$A$33,$G46)&gt;0,COUNTIF(Parameters!$B$4:$B$33,$B46)=0),"procurement","cost_service"),"unclassified"))))))</f>
        <v/>
      </c>
    </row>
    <row r="47">
      <c r="A47" t="n">
        <v>2024</v>
      </c>
      <c r="B47" t="n">
        <v>15804</v>
      </c>
      <c r="C47" t="inlineStr">
        <is>
          <t>Reedsburg Utility Comm</t>
        </is>
      </c>
      <c r="D47" t="inlineStr">
        <is>
          <t>A</t>
        </is>
      </c>
      <c r="E47" t="inlineStr">
        <is>
          <t>Bundled</t>
        </is>
      </c>
      <c r="F47" t="inlineStr">
        <is>
          <t>O</t>
        </is>
      </c>
      <c r="G47" t="inlineStr">
        <is>
          <t>WI</t>
        </is>
      </c>
      <c r="H47" t="inlineStr">
        <is>
          <t>Municipal</t>
        </is>
      </c>
      <c r="I47" t="inlineStr">
        <is>
          <t>MISO</t>
        </is>
      </c>
      <c r="J47" t="n">
        <v>4698.9</v>
      </c>
      <c r="K47" t="n">
        <v>38885</v>
      </c>
      <c r="L47" t="n">
        <v>4833</v>
      </c>
      <c r="M47" t="n">
        <v>6953.2</v>
      </c>
      <c r="N47" t="n">
        <v>67758</v>
      </c>
      <c r="O47" t="n">
        <v>724</v>
      </c>
      <c r="P47" t="n">
        <v>10679.8</v>
      </c>
      <c r="Q47" t="n">
        <v>124437</v>
      </c>
      <c r="R47" t="n">
        <v>7</v>
      </c>
      <c r="S47" t="n">
        <v>0</v>
      </c>
      <c r="T47" t="n">
        <v>0</v>
      </c>
      <c r="U47" t="n">
        <v>0</v>
      </c>
      <c r="V47" t="n">
        <v>22331.9</v>
      </c>
      <c r="W47" t="n">
        <v>231080</v>
      </c>
      <c r="X47" t="n">
        <v>5564</v>
      </c>
      <c r="Y47">
        <f>IF(ISNUMBER($W47),$W47,0)</f>
        <v/>
      </c>
      <c r="Z47">
        <f>IF(ISNUMBER(SEARCH("Adjustment",$C47)),"excluded",IF($H47="Behind the Meter","excluded",IF(NOT(OR($E47="Bundled",$E47="Energy")),"excluded",IF(OR($H47="Retail Power Marketer",$H47="Community Choice Aggregator",$E47="Energy"),"procurement",IF(OR($H47="Municipal",$H47="Cooperative",$H47="Federal",$H47="State",$H47="Political Subdivision"),"cost_service",IF($H47="Investor Owned",IF(AND(COUNTIF(Parameters!$A$4:$A$33,$G47)&gt;0,COUNTIF(Parameters!$B$4:$B$33,$B47)=0),"procurement","cost_service"),"unclassified"))))))</f>
        <v/>
      </c>
    </row>
    <row r="48">
      <c r="A48" t="n">
        <v>2024</v>
      </c>
      <c r="B48" t="n">
        <v>15978</v>
      </c>
      <c r="C48" t="inlineStr">
        <is>
          <t>City of Richland Center - (WI)</t>
        </is>
      </c>
      <c r="D48" t="inlineStr">
        <is>
          <t>A</t>
        </is>
      </c>
      <c r="E48" t="inlineStr">
        <is>
          <t>Bundled</t>
        </is>
      </c>
      <c r="F48" t="inlineStr">
        <is>
          <t>O</t>
        </is>
      </c>
      <c r="G48" t="inlineStr">
        <is>
          <t>WI</t>
        </is>
      </c>
      <c r="H48" t="inlineStr">
        <is>
          <t>Municipal</t>
        </is>
      </c>
      <c r="I48" t="inlineStr">
        <is>
          <t>MISO</t>
        </is>
      </c>
      <c r="J48" t="n">
        <v>1954.3</v>
      </c>
      <c r="K48" t="n">
        <v>16384</v>
      </c>
      <c r="L48" t="n">
        <v>2434</v>
      </c>
      <c r="M48" t="n">
        <v>3665.4</v>
      </c>
      <c r="N48" t="n">
        <v>39754</v>
      </c>
      <c r="O48" t="n">
        <v>501</v>
      </c>
      <c r="P48" t="n">
        <v>4322.9</v>
      </c>
      <c r="Q48" t="n">
        <v>51813</v>
      </c>
      <c r="R48" t="n">
        <v>4</v>
      </c>
      <c r="S48" t="n">
        <v>0</v>
      </c>
      <c r="T48" t="n">
        <v>0</v>
      </c>
      <c r="U48" t="n">
        <v>0</v>
      </c>
      <c r="V48" t="n">
        <v>9942.6</v>
      </c>
      <c r="W48" t="n">
        <v>107951</v>
      </c>
      <c r="X48" t="n">
        <v>2939</v>
      </c>
      <c r="Y48">
        <f>IF(ISNUMBER($W48),$W48,0)</f>
        <v/>
      </c>
      <c r="Z48">
        <f>IF(ISNUMBER(SEARCH("Adjustment",$C48)),"excluded",IF($H48="Behind the Meter","excluded",IF(NOT(OR($E48="Bundled",$E48="Energy")),"excluded",IF(OR($H48="Retail Power Marketer",$H48="Community Choice Aggregator",$E48="Energy"),"procurement",IF(OR($H48="Municipal",$H48="Cooperative",$H48="Federal",$H48="State",$H48="Political Subdivision"),"cost_service",IF($H48="Investor Owned",IF(AND(COUNTIF(Parameters!$A$4:$A$33,$G48)&gt;0,COUNTIF(Parameters!$B$4:$B$33,$B48)=0),"procurement","cost_service"),"unclassified"))))))</f>
        <v/>
      </c>
    </row>
    <row r="49">
      <c r="A49" t="n">
        <v>2024</v>
      </c>
      <c r="B49" t="n">
        <v>16060</v>
      </c>
      <c r="C49" t="inlineStr">
        <is>
          <t>Riverland Energy Cooperative</t>
        </is>
      </c>
      <c r="D49" t="inlineStr">
        <is>
          <t>A</t>
        </is>
      </c>
      <c r="E49" t="inlineStr">
        <is>
          <t>Bundled</t>
        </is>
      </c>
      <c r="F49" t="inlineStr">
        <is>
          <t>O</t>
        </is>
      </c>
      <c r="G49" t="inlineStr">
        <is>
          <t>WI</t>
        </is>
      </c>
      <c r="H49" t="inlineStr">
        <is>
          <t>Cooperative</t>
        </is>
      </c>
      <c r="I49" t="inlineStr">
        <is>
          <t>MISO</t>
        </is>
      </c>
      <c r="J49" t="n">
        <v>37302.3</v>
      </c>
      <c r="K49" t="n">
        <v>228807</v>
      </c>
      <c r="L49" t="n">
        <v>18970</v>
      </c>
      <c r="M49" t="n">
        <v>4803.3</v>
      </c>
      <c r="N49" t="n">
        <v>36632</v>
      </c>
      <c r="O49" t="n">
        <v>1077</v>
      </c>
      <c r="P49" t="n">
        <v>1830.9</v>
      </c>
      <c r="Q49" t="n">
        <v>18952</v>
      </c>
      <c r="R49" t="n">
        <v>13</v>
      </c>
      <c r="S49" t="inlineStr">
        <is>
          <t>.</t>
        </is>
      </c>
      <c r="T49" t="inlineStr">
        <is>
          <t>.</t>
        </is>
      </c>
      <c r="U49" t="inlineStr">
        <is>
          <t>.</t>
        </is>
      </c>
      <c r="V49" t="n">
        <v>43936.5</v>
      </c>
      <c r="W49" t="n">
        <v>284391</v>
      </c>
      <c r="X49" t="n">
        <v>20060</v>
      </c>
      <c r="Y49">
        <f>IF(ISNUMBER($W49),$W49,0)</f>
        <v/>
      </c>
      <c r="Z49">
        <f>IF(ISNUMBER(SEARCH("Adjustment",$C49)),"excluded",IF($H49="Behind the Meter","excluded",IF(NOT(OR($E49="Bundled",$E49="Energy")),"excluded",IF(OR($H49="Retail Power Marketer",$H49="Community Choice Aggregator",$E49="Energy"),"procurement",IF(OR($H49="Municipal",$H49="Cooperative",$H49="Federal",$H49="State",$H49="Political Subdivision"),"cost_service",IF($H49="Investor Owned",IF(AND(COUNTIF(Parameters!$A$4:$A$33,$G49)&gt;0,COUNTIF(Parameters!$B$4:$B$33,$B49)=0),"procurement","cost_service"),"unclassified"))))))</f>
        <v/>
      </c>
    </row>
    <row r="50">
      <c r="A50" t="n">
        <v>2024</v>
      </c>
      <c r="B50" t="n">
        <v>16082</v>
      </c>
      <c r="C50" t="inlineStr">
        <is>
          <t>City of River Falls</t>
        </is>
      </c>
      <c r="D50" t="inlineStr">
        <is>
          <t>A</t>
        </is>
      </c>
      <c r="E50" t="inlineStr">
        <is>
          <t>Bundled</t>
        </is>
      </c>
      <c r="F50" t="inlineStr">
        <is>
          <t>O</t>
        </is>
      </c>
      <c r="G50" t="inlineStr">
        <is>
          <t>WI</t>
        </is>
      </c>
      <c r="H50" t="inlineStr">
        <is>
          <t>Municipal</t>
        </is>
      </c>
      <c r="I50" t="inlineStr">
        <is>
          <t>MISO</t>
        </is>
      </c>
      <c r="J50" t="n">
        <v>6800.4</v>
      </c>
      <c r="K50" t="n">
        <v>51215</v>
      </c>
      <c r="L50" t="n">
        <v>6709</v>
      </c>
      <c r="M50" t="n">
        <v>7278.1</v>
      </c>
      <c r="N50" t="n">
        <v>64077</v>
      </c>
      <c r="O50" t="n">
        <v>792</v>
      </c>
      <c r="P50" t="n">
        <v>1242.4</v>
      </c>
      <c r="Q50" t="n">
        <v>12921</v>
      </c>
      <c r="R50" t="n">
        <v>3</v>
      </c>
      <c r="S50" t="n">
        <v>0</v>
      </c>
      <c r="T50" t="n">
        <v>0</v>
      </c>
      <c r="U50" t="n">
        <v>0</v>
      </c>
      <c r="V50" t="n">
        <v>15320.9</v>
      </c>
      <c r="W50" t="n">
        <v>128213</v>
      </c>
      <c r="X50" t="n">
        <v>7504</v>
      </c>
      <c r="Y50">
        <f>IF(ISNUMBER($W50),$W50,0)</f>
        <v/>
      </c>
      <c r="Z50">
        <f>IF(ISNUMBER(SEARCH("Adjustment",$C50)),"excluded",IF($H50="Behind the Meter","excluded",IF(NOT(OR($E50="Bundled",$E50="Energy")),"excluded",IF(OR($H50="Retail Power Marketer",$H50="Community Choice Aggregator",$E50="Energy"),"procurement",IF(OR($H50="Municipal",$H50="Cooperative",$H50="Federal",$H50="State",$H50="Political Subdivision"),"cost_service",IF($H50="Investor Owned",IF(AND(COUNTIF(Parameters!$A$4:$A$33,$G50)&gt;0,COUNTIF(Parameters!$B$4:$B$33,$B50)=0),"procurement","cost_service"),"unclassified"))))))</f>
        <v/>
      </c>
    </row>
    <row r="51">
      <c r="A51" t="n">
        <v>2024</v>
      </c>
      <c r="B51" t="n">
        <v>16196</v>
      </c>
      <c r="C51" t="inlineStr">
        <is>
          <t>Rock Energy Cooperative</t>
        </is>
      </c>
      <c r="D51" t="inlineStr">
        <is>
          <t>A</t>
        </is>
      </c>
      <c r="E51" t="inlineStr">
        <is>
          <t>Bundled</t>
        </is>
      </c>
      <c r="F51" t="inlineStr">
        <is>
          <t>O</t>
        </is>
      </c>
      <c r="G51" t="inlineStr">
        <is>
          <t>WI</t>
        </is>
      </c>
      <c r="H51" t="inlineStr">
        <is>
          <t>Cooperative</t>
        </is>
      </c>
      <c r="I51" t="inlineStr">
        <is>
          <t>MISO</t>
        </is>
      </c>
      <c r="J51" t="n">
        <v>12105</v>
      </c>
      <c r="K51" t="n">
        <v>83670</v>
      </c>
      <c r="L51" t="n">
        <v>7310</v>
      </c>
      <c r="M51" t="n">
        <v>5849</v>
      </c>
      <c r="N51" t="n">
        <v>55445</v>
      </c>
      <c r="O51" t="n">
        <v>404</v>
      </c>
      <c r="P51" t="n">
        <v>9267</v>
      </c>
      <c r="Q51" t="n">
        <v>167338</v>
      </c>
      <c r="R51" t="n">
        <v>75</v>
      </c>
      <c r="S51" t="inlineStr">
        <is>
          <t>.</t>
        </is>
      </c>
      <c r="T51" t="inlineStr">
        <is>
          <t>.</t>
        </is>
      </c>
      <c r="U51" t="inlineStr">
        <is>
          <t>.</t>
        </is>
      </c>
      <c r="V51" t="n">
        <v>27221</v>
      </c>
      <c r="W51" t="n">
        <v>306453</v>
      </c>
      <c r="X51" t="n">
        <v>7789</v>
      </c>
      <c r="Y51">
        <f>IF(ISNUMBER($W51),$W51,0)</f>
        <v/>
      </c>
      <c r="Z51">
        <f>IF(ISNUMBER(SEARCH("Adjustment",$C51)),"excluded",IF($H51="Behind the Meter","excluded",IF(NOT(OR($E51="Bundled",$E51="Energy")),"excluded",IF(OR($H51="Retail Power Marketer",$H51="Community Choice Aggregator",$E51="Energy"),"procurement",IF(OR($H51="Municipal",$H51="Cooperative",$H51="Federal",$H51="State",$H51="Political Subdivision"),"cost_service",IF($H51="Investor Owned",IF(AND(COUNTIF(Parameters!$A$4:$A$33,$G51)&gt;0,COUNTIF(Parameters!$B$4:$B$33,$B51)=0),"procurement","cost_service"),"unclassified"))))))</f>
        <v/>
      </c>
    </row>
    <row r="52">
      <c r="A52" t="n">
        <v>2024</v>
      </c>
      <c r="B52" t="n">
        <v>16740</v>
      </c>
      <c r="C52" t="inlineStr">
        <is>
          <t>Scenic Rivers Energy Coop</t>
        </is>
      </c>
      <c r="D52" t="inlineStr">
        <is>
          <t>A</t>
        </is>
      </c>
      <c r="E52" t="inlineStr">
        <is>
          <t>Bundled</t>
        </is>
      </c>
      <c r="F52" t="inlineStr">
        <is>
          <t>O</t>
        </is>
      </c>
      <c r="G52" t="inlineStr">
        <is>
          <t>WI</t>
        </is>
      </c>
      <c r="H52" t="inlineStr">
        <is>
          <t>Cooperative</t>
        </is>
      </c>
      <c r="I52" t="inlineStr">
        <is>
          <t>MISO</t>
        </is>
      </c>
      <c r="J52" t="n">
        <v>27778.1</v>
      </c>
      <c r="K52" t="n">
        <v>182361</v>
      </c>
      <c r="L52" t="n">
        <v>13597</v>
      </c>
      <c r="M52" t="n">
        <v>223.3</v>
      </c>
      <c r="N52" t="n">
        <v>1258</v>
      </c>
      <c r="O52" t="n">
        <v>169</v>
      </c>
      <c r="P52" t="n">
        <v>5155.3</v>
      </c>
      <c r="Q52" t="n">
        <v>42479</v>
      </c>
      <c r="R52" t="n">
        <v>843</v>
      </c>
      <c r="S52" t="inlineStr">
        <is>
          <t>.</t>
        </is>
      </c>
      <c r="T52" t="inlineStr">
        <is>
          <t>.</t>
        </is>
      </c>
      <c r="U52" t="inlineStr">
        <is>
          <t>.</t>
        </is>
      </c>
      <c r="V52" t="n">
        <v>33156.7</v>
      </c>
      <c r="W52" t="n">
        <v>226098</v>
      </c>
      <c r="X52" t="n">
        <v>14609</v>
      </c>
      <c r="Y52">
        <f>IF(ISNUMBER($W52),$W52,0)</f>
        <v/>
      </c>
      <c r="Z52">
        <f>IF(ISNUMBER(SEARCH("Adjustment",$C52)),"excluded",IF($H52="Behind the Meter","excluded",IF(NOT(OR($E52="Bundled",$E52="Energy")),"excluded",IF(OR($H52="Retail Power Marketer",$H52="Community Choice Aggregator",$E52="Energy"),"procurement",IF(OR($H52="Municipal",$H52="Cooperative",$H52="Federal",$H52="State",$H52="Political Subdivision"),"cost_service",IF($H52="Investor Owned",IF(AND(COUNTIF(Parameters!$A$4:$A$33,$G52)&gt;0,COUNTIF(Parameters!$B$4:$B$33,$B52)=0),"procurement","cost_service"),"unclassified"))))))</f>
        <v/>
      </c>
    </row>
    <row r="53">
      <c r="A53" t="n">
        <v>2024</v>
      </c>
      <c r="B53" t="n">
        <v>17011</v>
      </c>
      <c r="C53" t="inlineStr">
        <is>
          <t>Shawano Municipal Utilities</t>
        </is>
      </c>
      <c r="D53" t="inlineStr">
        <is>
          <t>A</t>
        </is>
      </c>
      <c r="E53" t="inlineStr">
        <is>
          <t>Bundled</t>
        </is>
      </c>
      <c r="F53" t="inlineStr">
        <is>
          <t>O</t>
        </is>
      </c>
      <c r="G53" t="inlineStr">
        <is>
          <t>WI</t>
        </is>
      </c>
      <c r="H53" t="inlineStr">
        <is>
          <t>Municipal</t>
        </is>
      </c>
      <c r="I53" t="inlineStr">
        <is>
          <t>MISO</t>
        </is>
      </c>
      <c r="J53" t="n">
        <v>4285</v>
      </c>
      <c r="K53" t="n">
        <v>33862</v>
      </c>
      <c r="L53" t="n">
        <v>4932</v>
      </c>
      <c r="M53" t="n">
        <v>1677.5</v>
      </c>
      <c r="N53" t="n">
        <v>11443</v>
      </c>
      <c r="O53" t="n">
        <v>1007</v>
      </c>
      <c r="P53" t="n">
        <v>19329.8</v>
      </c>
      <c r="Q53" t="n">
        <v>217743</v>
      </c>
      <c r="R53" t="n">
        <v>165</v>
      </c>
      <c r="S53" t="inlineStr">
        <is>
          <t>.</t>
        </is>
      </c>
      <c r="T53" t="inlineStr">
        <is>
          <t>.</t>
        </is>
      </c>
      <c r="U53" t="inlineStr">
        <is>
          <t>.</t>
        </is>
      </c>
      <c r="V53" t="n">
        <v>25292.3</v>
      </c>
      <c r="W53" t="n">
        <v>263048</v>
      </c>
      <c r="X53" t="n">
        <v>6104</v>
      </c>
      <c r="Y53">
        <f>IF(ISNUMBER($W53),$W53,0)</f>
        <v/>
      </c>
      <c r="Z53">
        <f>IF(ISNUMBER(SEARCH("Adjustment",$C53)),"excluded",IF($H53="Behind the Meter","excluded",IF(NOT(OR($E53="Bundled",$E53="Energy")),"excluded",IF(OR($H53="Retail Power Marketer",$H53="Community Choice Aggregator",$E53="Energy"),"procurement",IF(OR($H53="Municipal",$H53="Cooperative",$H53="Federal",$H53="State",$H53="Political Subdivision"),"cost_service",IF($H53="Investor Owned",IF(AND(COUNTIF(Parameters!$A$4:$A$33,$G53)&gt;0,COUNTIF(Parameters!$B$4:$B$33,$B53)=0),"procurement","cost_service"),"unclassified"))))))</f>
        <v/>
      </c>
    </row>
    <row r="54">
      <c r="A54" t="n">
        <v>2024</v>
      </c>
      <c r="B54" t="n">
        <v>17324</v>
      </c>
      <c r="C54" t="inlineStr">
        <is>
          <t>Slinger Utilities</t>
        </is>
      </c>
      <c r="D54" t="inlineStr">
        <is>
          <t>A</t>
        </is>
      </c>
      <c r="E54" t="inlineStr">
        <is>
          <t>Bundled</t>
        </is>
      </c>
      <c r="F54" t="inlineStr">
        <is>
          <t>O</t>
        </is>
      </c>
      <c r="G54" t="inlineStr">
        <is>
          <t>WI</t>
        </is>
      </c>
      <c r="H54" t="inlineStr">
        <is>
          <t>Municipal</t>
        </is>
      </c>
      <c r="I54" t="inlineStr">
        <is>
          <t>MISO</t>
        </is>
      </c>
      <c r="J54" t="n">
        <v>2505.6</v>
      </c>
      <c r="K54" t="n">
        <v>20765</v>
      </c>
      <c r="L54" t="n">
        <v>2586</v>
      </c>
      <c r="M54" t="n">
        <v>2472.4</v>
      </c>
      <c r="N54" t="n">
        <v>21120</v>
      </c>
      <c r="O54" t="n">
        <v>451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4978</v>
      </c>
      <c r="W54" t="n">
        <v>41885</v>
      </c>
      <c r="X54" t="n">
        <v>3037</v>
      </c>
      <c r="Y54">
        <f>IF(ISNUMBER($W54),$W54,0)</f>
        <v/>
      </c>
      <c r="Z54">
        <f>IF(ISNUMBER(SEARCH("Adjustment",$C54)),"excluded",IF($H54="Behind the Meter","excluded",IF(NOT(OR($E54="Bundled",$E54="Energy")),"excluded",IF(OR($H54="Retail Power Marketer",$H54="Community Choice Aggregator",$E54="Energy"),"procurement",IF(OR($H54="Municipal",$H54="Cooperative",$H54="Federal",$H54="State",$H54="Political Subdivision"),"cost_service",IF($H54="Investor Owned",IF(AND(COUNTIF(Parameters!$A$4:$A$33,$G54)&gt;0,COUNTIF(Parameters!$B$4:$B$33,$B54)=0),"procurement","cost_service"),"unclassified"))))))</f>
        <v/>
      </c>
    </row>
    <row r="55">
      <c r="A55" t="n">
        <v>2024</v>
      </c>
      <c r="B55" t="n">
        <v>18181</v>
      </c>
      <c r="C55" t="inlineStr">
        <is>
          <t>City of Stoughton - (WI)</t>
        </is>
      </c>
      <c r="D55" t="inlineStr">
        <is>
          <t>A</t>
        </is>
      </c>
      <c r="E55" t="inlineStr">
        <is>
          <t>Bundled</t>
        </is>
      </c>
      <c r="F55" t="inlineStr">
        <is>
          <t>O</t>
        </is>
      </c>
      <c r="G55" t="inlineStr">
        <is>
          <t>WI</t>
        </is>
      </c>
      <c r="H55" t="inlineStr">
        <is>
          <t>Municipal</t>
        </is>
      </c>
      <c r="I55" t="inlineStr">
        <is>
          <t>MISO</t>
        </is>
      </c>
      <c r="J55" t="n">
        <v>8030.8</v>
      </c>
      <c r="K55" t="n">
        <v>63755</v>
      </c>
      <c r="L55" t="n">
        <v>8391</v>
      </c>
      <c r="M55" t="n">
        <v>6068.2</v>
      </c>
      <c r="N55" t="n">
        <v>57526</v>
      </c>
      <c r="O55" t="n">
        <v>1049</v>
      </c>
      <c r="P55" t="n">
        <v>1718.6</v>
      </c>
      <c r="Q55" t="n">
        <v>18709</v>
      </c>
      <c r="R55" t="n">
        <v>3</v>
      </c>
      <c r="S55" t="n">
        <v>0</v>
      </c>
      <c r="T55" t="n">
        <v>0</v>
      </c>
      <c r="U55" t="n">
        <v>0</v>
      </c>
      <c r="V55" t="n">
        <v>15817.6</v>
      </c>
      <c r="W55" t="n">
        <v>139990</v>
      </c>
      <c r="X55" t="n">
        <v>9443</v>
      </c>
      <c r="Y55">
        <f>IF(ISNUMBER($W55),$W55,0)</f>
        <v/>
      </c>
      <c r="Z55">
        <f>IF(ISNUMBER(SEARCH("Adjustment",$C55)),"excluded",IF($H55="Behind the Meter","excluded",IF(NOT(OR($E55="Bundled",$E55="Energy")),"excluded",IF(OR($H55="Retail Power Marketer",$H55="Community Choice Aggregator",$E55="Energy"),"procurement",IF(OR($H55="Municipal",$H55="Cooperative",$H55="Federal",$H55="State",$H55="Political Subdivision"),"cost_service",IF($H55="Investor Owned",IF(AND(COUNTIF(Parameters!$A$4:$A$33,$G55)&gt;0,COUNTIF(Parameters!$B$4:$B$33,$B55)=0),"procurement","cost_service"),"unclassified"))))))</f>
        <v/>
      </c>
    </row>
    <row r="56">
      <c r="A56" t="n">
        <v>2024</v>
      </c>
      <c r="B56" t="n">
        <v>18249</v>
      </c>
      <c r="C56" t="inlineStr">
        <is>
          <t>City of Sturgeon Bay - (WI)</t>
        </is>
      </c>
      <c r="D56" t="inlineStr">
        <is>
          <t>A</t>
        </is>
      </c>
      <c r="E56" t="inlineStr">
        <is>
          <t>Bundled</t>
        </is>
      </c>
      <c r="F56" t="inlineStr">
        <is>
          <t>O</t>
        </is>
      </c>
      <c r="G56" t="inlineStr">
        <is>
          <t>WI</t>
        </is>
      </c>
      <c r="H56" t="inlineStr">
        <is>
          <t>Municipal</t>
        </is>
      </c>
      <c r="I56" t="inlineStr">
        <is>
          <t>MISO</t>
        </is>
      </c>
      <c r="J56" t="n">
        <v>6673.8</v>
      </c>
      <c r="K56" t="n">
        <v>53539</v>
      </c>
      <c r="L56" t="n">
        <v>7786</v>
      </c>
      <c r="M56" t="n">
        <v>8424.200000000001</v>
      </c>
      <c r="N56" t="n">
        <v>79748</v>
      </c>
      <c r="O56" t="n">
        <v>1842</v>
      </c>
      <c r="P56" t="n">
        <v>1155.8</v>
      </c>
      <c r="Q56" t="n">
        <v>13903</v>
      </c>
      <c r="R56" t="n">
        <v>1</v>
      </c>
      <c r="S56" t="n">
        <v>0</v>
      </c>
      <c r="T56" t="n">
        <v>0</v>
      </c>
      <c r="U56" t="n">
        <v>0</v>
      </c>
      <c r="V56" t="n">
        <v>16253.8</v>
      </c>
      <c r="W56" t="n">
        <v>147190</v>
      </c>
      <c r="X56" t="n">
        <v>9629</v>
      </c>
      <c r="Y56">
        <f>IF(ISNUMBER($W56),$W56,0)</f>
        <v/>
      </c>
      <c r="Z56">
        <f>IF(ISNUMBER(SEARCH("Adjustment",$C56)),"excluded",IF($H56="Behind the Meter","excluded",IF(NOT(OR($E56="Bundled",$E56="Energy")),"excluded",IF(OR($H56="Retail Power Marketer",$H56="Community Choice Aggregator",$E56="Energy"),"procurement",IF(OR($H56="Municipal",$H56="Cooperative",$H56="Federal",$H56="State",$H56="Political Subdivision"),"cost_service",IF($H56="Investor Owned",IF(AND(COUNTIF(Parameters!$A$4:$A$33,$G56)&gt;0,COUNTIF(Parameters!$B$4:$B$33,$B56)=0),"procurement","cost_service"),"unclassified"))))))</f>
        <v/>
      </c>
    </row>
    <row r="57">
      <c r="A57" t="n">
        <v>2024</v>
      </c>
      <c r="B57" t="n">
        <v>18312</v>
      </c>
      <c r="C57" t="inlineStr">
        <is>
          <t>Sun Prairie Utilities</t>
        </is>
      </c>
      <c r="D57" t="inlineStr">
        <is>
          <t>A</t>
        </is>
      </c>
      <c r="E57" t="inlineStr">
        <is>
          <t>Bundled</t>
        </is>
      </c>
      <c r="F57" t="inlineStr">
        <is>
          <t>O</t>
        </is>
      </c>
      <c r="G57" t="inlineStr">
        <is>
          <t>WI</t>
        </is>
      </c>
      <c r="H57" t="inlineStr">
        <is>
          <t>Municipal</t>
        </is>
      </c>
      <c r="I57" t="inlineStr">
        <is>
          <t>MISO</t>
        </is>
      </c>
      <c r="J57" t="n">
        <v>14259.6</v>
      </c>
      <c r="K57" t="n">
        <v>117532</v>
      </c>
      <c r="L57" t="n">
        <v>16647</v>
      </c>
      <c r="M57" t="n">
        <v>14416.6</v>
      </c>
      <c r="N57" t="n">
        <v>141336</v>
      </c>
      <c r="O57" t="n">
        <v>1846</v>
      </c>
      <c r="P57" t="n">
        <v>2579.9</v>
      </c>
      <c r="Q57" t="n">
        <v>31300</v>
      </c>
      <c r="R57" t="n">
        <v>5</v>
      </c>
      <c r="S57" t="n">
        <v>0</v>
      </c>
      <c r="T57" t="n">
        <v>0</v>
      </c>
      <c r="U57" t="n">
        <v>0</v>
      </c>
      <c r="V57" t="n">
        <v>31256.1</v>
      </c>
      <c r="W57" t="n">
        <v>290168</v>
      </c>
      <c r="X57" t="n">
        <v>18498</v>
      </c>
      <c r="Y57">
        <f>IF(ISNUMBER($W57),$W57,0)</f>
        <v/>
      </c>
      <c r="Z57">
        <f>IF(ISNUMBER(SEARCH("Adjustment",$C57)),"excluded",IF($H57="Behind the Meter","excluded",IF(NOT(OR($E57="Bundled",$E57="Energy")),"excluded",IF(OR($H57="Retail Power Marketer",$H57="Community Choice Aggregator",$E57="Energy"),"procurement",IF(OR($H57="Municipal",$H57="Cooperative",$H57="Federal",$H57="State",$H57="Political Subdivision"),"cost_service",IF($H57="Investor Owned",IF(AND(COUNTIF(Parameters!$A$4:$A$33,$G57)&gt;0,COUNTIF(Parameters!$B$4:$B$33,$B57)=0),"procurement","cost_service"),"unclassified"))))))</f>
        <v/>
      </c>
    </row>
    <row r="58">
      <c r="A58" t="n">
        <v>2024</v>
      </c>
      <c r="B58" t="n">
        <v>18336</v>
      </c>
      <c r="C58" t="inlineStr">
        <is>
          <t>Superior Water and Light Co</t>
        </is>
      </c>
      <c r="D58" t="inlineStr">
        <is>
          <t>A</t>
        </is>
      </c>
      <c r="E58" t="inlineStr">
        <is>
          <t>Bundled</t>
        </is>
      </c>
      <c r="F58" t="inlineStr">
        <is>
          <t>O</t>
        </is>
      </c>
      <c r="G58" t="inlineStr">
        <is>
          <t>WI</t>
        </is>
      </c>
      <c r="H58" t="inlineStr">
        <is>
          <t>Investor Owned</t>
        </is>
      </c>
      <c r="I58" t="inlineStr">
        <is>
          <t>MISO</t>
        </is>
      </c>
      <c r="J58" t="n">
        <v>13217.3</v>
      </c>
      <c r="K58" t="n">
        <v>85631</v>
      </c>
      <c r="L58" t="n">
        <v>13072</v>
      </c>
      <c r="M58" t="n">
        <v>14069.1</v>
      </c>
      <c r="N58" t="n">
        <v>119525</v>
      </c>
      <c r="O58" t="n">
        <v>2507</v>
      </c>
      <c r="P58" t="n">
        <v>67168.2</v>
      </c>
      <c r="Q58" t="n">
        <v>818646</v>
      </c>
      <c r="R58" t="n">
        <v>112</v>
      </c>
      <c r="S58" t="n">
        <v>0</v>
      </c>
      <c r="T58" t="n">
        <v>0</v>
      </c>
      <c r="U58" t="n">
        <v>0</v>
      </c>
      <c r="V58" t="n">
        <v>94454.60000000001</v>
      </c>
      <c r="W58" t="n">
        <v>1023802</v>
      </c>
      <c r="X58" t="n">
        <v>15691</v>
      </c>
      <c r="Y58">
        <f>IF(ISNUMBER($W58),$W58,0)</f>
        <v/>
      </c>
      <c r="Z58">
        <f>IF(ISNUMBER(SEARCH("Adjustment",$C58)),"excluded",IF($H58="Behind the Meter","excluded",IF(NOT(OR($E58="Bundled",$E58="Energy")),"excluded",IF(OR($H58="Retail Power Marketer",$H58="Community Choice Aggregator",$E58="Energy"),"procurement",IF(OR($H58="Municipal",$H58="Cooperative",$H58="Federal",$H58="State",$H58="Political Subdivision"),"cost_service",IF($H58="Investor Owned",IF(AND(COUNTIF(Parameters!$A$4:$A$33,$G58)&gt;0,COUNTIF(Parameters!$B$4:$B$33,$B58)=0),"procurement","cost_service"),"unclassified"))))))</f>
        <v/>
      </c>
    </row>
    <row r="59">
      <c r="A59" t="n">
        <v>2024</v>
      </c>
      <c r="B59" t="n">
        <v>19324</v>
      </c>
      <c r="C59" t="inlineStr">
        <is>
          <t>Two Rivers Water &amp; Light</t>
        </is>
      </c>
      <c r="D59" t="inlineStr">
        <is>
          <t>A</t>
        </is>
      </c>
      <c r="E59" t="inlineStr">
        <is>
          <t>Bundled</t>
        </is>
      </c>
      <c r="F59" t="inlineStr">
        <is>
          <t>O</t>
        </is>
      </c>
      <c r="G59" t="inlineStr">
        <is>
          <t>WI</t>
        </is>
      </c>
      <c r="H59" t="inlineStr">
        <is>
          <t>Municipal</t>
        </is>
      </c>
      <c r="I59" t="inlineStr">
        <is>
          <t>MISO</t>
        </is>
      </c>
      <c r="J59" t="n">
        <v>4318.3</v>
      </c>
      <c r="K59" t="n">
        <v>33983</v>
      </c>
      <c r="L59" t="n">
        <v>5573</v>
      </c>
      <c r="M59" t="n">
        <v>4389.8</v>
      </c>
      <c r="N59" t="n">
        <v>41643</v>
      </c>
      <c r="O59" t="n">
        <v>664</v>
      </c>
      <c r="P59" t="n">
        <v>456</v>
      </c>
      <c r="Q59" t="n">
        <v>4584</v>
      </c>
      <c r="R59" t="n">
        <v>1</v>
      </c>
      <c r="S59" t="n">
        <v>0</v>
      </c>
      <c r="T59" t="n">
        <v>0</v>
      </c>
      <c r="U59" t="n">
        <v>0</v>
      </c>
      <c r="V59" t="n">
        <v>9164.1</v>
      </c>
      <c r="W59" t="n">
        <v>80210</v>
      </c>
      <c r="X59" t="n">
        <v>6238</v>
      </c>
      <c r="Y59">
        <f>IF(ISNUMBER($W59),$W59,0)</f>
        <v/>
      </c>
      <c r="Z59">
        <f>IF(ISNUMBER(SEARCH("Adjustment",$C59)),"excluded",IF($H59="Behind the Meter","excluded",IF(NOT(OR($E59="Bundled",$E59="Energy")),"excluded",IF(OR($H59="Retail Power Marketer",$H59="Community Choice Aggregator",$E59="Energy"),"procurement",IF(OR($H59="Municipal",$H59="Cooperative",$H59="Federal",$H59="State",$H59="Political Subdivision"),"cost_service",IF($H59="Investor Owned",IF(AND(COUNTIF(Parameters!$A$4:$A$33,$G59)&gt;0,COUNTIF(Parameters!$B$4:$B$33,$B59)=0),"procurement","cost_service"),"unclassified"))))))</f>
        <v/>
      </c>
    </row>
    <row r="60">
      <c r="A60" t="n">
        <v>2024</v>
      </c>
      <c r="B60" t="n">
        <v>20182</v>
      </c>
      <c r="C60" t="inlineStr">
        <is>
          <t>Waterloo Light &amp; Water Comm</t>
        </is>
      </c>
      <c r="D60" t="inlineStr">
        <is>
          <t>A</t>
        </is>
      </c>
      <c r="E60" t="inlineStr">
        <is>
          <t>Bundled</t>
        </is>
      </c>
      <c r="F60" t="inlineStr">
        <is>
          <t>O</t>
        </is>
      </c>
      <c r="G60" t="inlineStr">
        <is>
          <t>WI</t>
        </is>
      </c>
      <c r="H60" t="inlineStr">
        <is>
          <t>Municipal</t>
        </is>
      </c>
      <c r="I60" t="inlineStr">
        <is>
          <t>MISO</t>
        </is>
      </c>
      <c r="J60" t="n">
        <v>1742.3</v>
      </c>
      <c r="K60" t="n">
        <v>12515</v>
      </c>
      <c r="L60" t="n">
        <v>1626</v>
      </c>
      <c r="M60" t="n">
        <v>2567.4</v>
      </c>
      <c r="N60" t="n">
        <v>19824</v>
      </c>
      <c r="O60" t="n">
        <v>300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4309.7</v>
      </c>
      <c r="W60" t="n">
        <v>32339</v>
      </c>
      <c r="X60" t="n">
        <v>1926</v>
      </c>
      <c r="Y60">
        <f>IF(ISNUMBER($W60),$W60,0)</f>
        <v/>
      </c>
      <c r="Z60">
        <f>IF(ISNUMBER(SEARCH("Adjustment",$C60)),"excluded",IF($H60="Behind the Meter","excluded",IF(NOT(OR($E60="Bundled",$E60="Energy")),"excluded",IF(OR($H60="Retail Power Marketer",$H60="Community Choice Aggregator",$E60="Energy"),"procurement",IF(OR($H60="Municipal",$H60="Cooperative",$H60="Federal",$H60="State",$H60="Political Subdivision"),"cost_service",IF($H60="Investor Owned",IF(AND(COUNTIF(Parameters!$A$4:$A$33,$G60)&gt;0,COUNTIF(Parameters!$B$4:$B$33,$B60)=0),"procurement","cost_service"),"unclassified"))))))</f>
        <v/>
      </c>
    </row>
    <row r="61">
      <c r="A61" t="n">
        <v>2024</v>
      </c>
      <c r="B61" t="n">
        <v>20211</v>
      </c>
      <c r="C61" t="inlineStr">
        <is>
          <t>Village of Waunakee - (WI)</t>
        </is>
      </c>
      <c r="D61" t="inlineStr">
        <is>
          <t>A</t>
        </is>
      </c>
      <c r="E61" t="inlineStr">
        <is>
          <t>Bundled</t>
        </is>
      </c>
      <c r="F61" t="inlineStr">
        <is>
          <t>O</t>
        </is>
      </c>
      <c r="G61" t="inlineStr">
        <is>
          <t>WI</t>
        </is>
      </c>
      <c r="H61" t="inlineStr">
        <is>
          <t>Municipal</t>
        </is>
      </c>
      <c r="I61" t="inlineStr">
        <is>
          <t>MISO</t>
        </is>
      </c>
      <c r="J61" t="n">
        <v>6678.1</v>
      </c>
      <c r="K61" t="n">
        <v>57071</v>
      </c>
      <c r="L61" t="n">
        <v>6677</v>
      </c>
      <c r="M61" t="n">
        <v>5981.9</v>
      </c>
      <c r="N61" t="n">
        <v>55542</v>
      </c>
      <c r="O61" t="n">
        <v>855</v>
      </c>
      <c r="P61" t="n">
        <v>2019.1</v>
      </c>
      <c r="Q61" t="n">
        <v>23980</v>
      </c>
      <c r="R61" t="n">
        <v>4</v>
      </c>
      <c r="S61" t="n">
        <v>0</v>
      </c>
      <c r="T61" t="n">
        <v>0</v>
      </c>
      <c r="U61" t="n">
        <v>0</v>
      </c>
      <c r="V61" t="n">
        <v>14679.1</v>
      </c>
      <c r="W61" t="n">
        <v>136593</v>
      </c>
      <c r="X61" t="n">
        <v>7536</v>
      </c>
      <c r="Y61">
        <f>IF(ISNUMBER($W61),$W61,0)</f>
        <v/>
      </c>
      <c r="Z61">
        <f>IF(ISNUMBER(SEARCH("Adjustment",$C61)),"excluded",IF($H61="Behind the Meter","excluded",IF(NOT(OR($E61="Bundled",$E61="Energy")),"excluded",IF(OR($H61="Retail Power Marketer",$H61="Community Choice Aggregator",$E61="Energy"),"procurement",IF(OR($H61="Municipal",$H61="Cooperative",$H61="Federal",$H61="State",$H61="Political Subdivision"),"cost_service",IF($H61="Investor Owned",IF(AND(COUNTIF(Parameters!$A$4:$A$33,$G61)&gt;0,COUNTIF(Parameters!$B$4:$B$33,$B61)=0),"procurement","cost_service"),"unclassified"))))))</f>
        <v/>
      </c>
    </row>
    <row r="62">
      <c r="A62" t="n">
        <v>2024</v>
      </c>
      <c r="B62" t="n">
        <v>20213</v>
      </c>
      <c r="C62" t="inlineStr">
        <is>
          <t>Waupun Utilities</t>
        </is>
      </c>
      <c r="D62" t="inlineStr">
        <is>
          <t>A</t>
        </is>
      </c>
      <c r="E62" t="inlineStr">
        <is>
          <t>Bundled</t>
        </is>
      </c>
      <c r="F62" t="inlineStr">
        <is>
          <t>O</t>
        </is>
      </c>
      <c r="G62" t="inlineStr">
        <is>
          <t>WI</t>
        </is>
      </c>
      <c r="H62" t="inlineStr">
        <is>
          <t>Municipal</t>
        </is>
      </c>
      <c r="I62" t="inlineStr">
        <is>
          <t>MISO</t>
        </is>
      </c>
      <c r="J62" t="n">
        <v>3800</v>
      </c>
      <c r="K62" t="n">
        <v>32084</v>
      </c>
      <c r="L62" t="n">
        <v>3950</v>
      </c>
      <c r="M62" t="n">
        <v>4105.3</v>
      </c>
      <c r="N62" t="n">
        <v>39280</v>
      </c>
      <c r="O62" t="n">
        <v>591</v>
      </c>
      <c r="P62" t="n">
        <v>2704.5</v>
      </c>
      <c r="Q62" t="n">
        <v>36154</v>
      </c>
      <c r="R62" t="n">
        <v>2</v>
      </c>
      <c r="S62" t="n">
        <v>0</v>
      </c>
      <c r="T62" t="n">
        <v>0</v>
      </c>
      <c r="U62" t="n">
        <v>0</v>
      </c>
      <c r="V62" t="n">
        <v>10609.8</v>
      </c>
      <c r="W62" t="n">
        <v>107518</v>
      </c>
      <c r="X62" t="n">
        <v>4543</v>
      </c>
      <c r="Y62">
        <f>IF(ISNUMBER($W62),$W62,0)</f>
        <v/>
      </c>
      <c r="Z62">
        <f>IF(ISNUMBER(SEARCH("Adjustment",$C62)),"excluded",IF($H62="Behind the Meter","excluded",IF(NOT(OR($E62="Bundled",$E62="Energy")),"excluded",IF(OR($H62="Retail Power Marketer",$H62="Community Choice Aggregator",$E62="Energy"),"procurement",IF(OR($H62="Municipal",$H62="Cooperative",$H62="Federal",$H62="State",$H62="Political Subdivision"),"cost_service",IF($H62="Investor Owned",IF(AND(COUNTIF(Parameters!$A$4:$A$33,$G62)&gt;0,COUNTIF(Parameters!$B$4:$B$33,$B62)=0),"procurement","cost_service"),"unclassified"))))))</f>
        <v/>
      </c>
    </row>
    <row r="63">
      <c r="A63" t="n">
        <v>2024</v>
      </c>
      <c r="B63" t="n">
        <v>20434</v>
      </c>
      <c r="C63" t="inlineStr">
        <is>
          <t>City of Westby</t>
        </is>
      </c>
      <c r="D63" t="inlineStr">
        <is>
          <t>A</t>
        </is>
      </c>
      <c r="E63" t="inlineStr">
        <is>
          <t>Bundled</t>
        </is>
      </c>
      <c r="F63" t="inlineStr">
        <is>
          <t>O</t>
        </is>
      </c>
      <c r="G63" t="inlineStr">
        <is>
          <t>WI</t>
        </is>
      </c>
      <c r="H63" t="inlineStr">
        <is>
          <t>Municipal</t>
        </is>
      </c>
      <c r="I63" t="inlineStr">
        <is>
          <t>MISO</t>
        </is>
      </c>
      <c r="J63" t="n">
        <v>964.4</v>
      </c>
      <c r="K63" t="n">
        <v>8376</v>
      </c>
      <c r="L63" t="n">
        <v>1054</v>
      </c>
      <c r="M63" t="n">
        <v>1693.4</v>
      </c>
      <c r="N63" t="n">
        <v>16145</v>
      </c>
      <c r="O63" t="n">
        <v>221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2657.8</v>
      </c>
      <c r="W63" t="n">
        <v>24521</v>
      </c>
      <c r="X63" t="n">
        <v>1275</v>
      </c>
      <c r="Y63">
        <f>IF(ISNUMBER($W63),$W63,0)</f>
        <v/>
      </c>
      <c r="Z63">
        <f>IF(ISNUMBER(SEARCH("Adjustment",$C63)),"excluded",IF($H63="Behind the Meter","excluded",IF(NOT(OR($E63="Bundled",$E63="Energy")),"excluded",IF(OR($H63="Retail Power Marketer",$H63="Community Choice Aggregator",$E63="Energy"),"procurement",IF(OR($H63="Municipal",$H63="Cooperative",$H63="Federal",$H63="State",$H63="Political Subdivision"),"cost_service",IF($H63="Investor Owned",IF(AND(COUNTIF(Parameters!$A$4:$A$33,$G63)&gt;0,COUNTIF(Parameters!$B$4:$B$33,$B63)=0),"procurement","cost_service"),"unclassified"))))))</f>
        <v/>
      </c>
    </row>
    <row r="64">
      <c r="A64" t="n">
        <v>2024</v>
      </c>
      <c r="B64" t="n">
        <v>20583</v>
      </c>
      <c r="C64" t="inlineStr">
        <is>
          <t>Whitehall Electric Utility</t>
        </is>
      </c>
      <c r="D64" t="inlineStr">
        <is>
          <t>A</t>
        </is>
      </c>
      <c r="E64" t="inlineStr">
        <is>
          <t>Bundled</t>
        </is>
      </c>
      <c r="F64" t="inlineStr">
        <is>
          <t>O</t>
        </is>
      </c>
      <c r="G64" t="inlineStr">
        <is>
          <t>WI</t>
        </is>
      </c>
      <c r="H64" t="inlineStr">
        <is>
          <t>Municipal</t>
        </is>
      </c>
      <c r="I64" t="inlineStr">
        <is>
          <t>MISO</t>
        </is>
      </c>
      <c r="J64" t="n">
        <v>756.9</v>
      </c>
      <c r="K64" t="n">
        <v>6156</v>
      </c>
      <c r="L64" t="n">
        <v>778</v>
      </c>
      <c r="M64" t="n">
        <v>1943.2</v>
      </c>
      <c r="N64" t="n">
        <v>20094</v>
      </c>
      <c r="O64" t="n">
        <v>184</v>
      </c>
      <c r="P64" t="n">
        <v>518.4</v>
      </c>
      <c r="Q64" t="n">
        <v>5988</v>
      </c>
      <c r="R64" t="n">
        <v>1</v>
      </c>
      <c r="S64" t="n">
        <v>0</v>
      </c>
      <c r="T64" t="n">
        <v>0</v>
      </c>
      <c r="U64" t="n">
        <v>0</v>
      </c>
      <c r="V64" t="n">
        <v>3218.5</v>
      </c>
      <c r="W64" t="n">
        <v>32238</v>
      </c>
      <c r="X64" t="n">
        <v>963</v>
      </c>
      <c r="Y64">
        <f>IF(ISNUMBER($W64),$W64,0)</f>
        <v/>
      </c>
      <c r="Z64">
        <f>IF(ISNUMBER(SEARCH("Adjustment",$C64)),"excluded",IF($H64="Behind the Meter","excluded",IF(NOT(OR($E64="Bundled",$E64="Energy")),"excluded",IF(OR($H64="Retail Power Marketer",$H64="Community Choice Aggregator",$E64="Energy"),"procurement",IF(OR($H64="Municipal",$H64="Cooperative",$H64="Federal",$H64="State",$H64="Political Subdivision"),"cost_service",IF($H64="Investor Owned",IF(AND(COUNTIF(Parameters!$A$4:$A$33,$G64)&gt;0,COUNTIF(Parameters!$B$4:$B$33,$B64)=0),"procurement","cost_service"),"unclassified"))))))</f>
        <v/>
      </c>
    </row>
    <row r="65">
      <c r="A65" t="n">
        <v>2024</v>
      </c>
      <c r="B65" t="n">
        <v>20847</v>
      </c>
      <c r="C65" t="inlineStr">
        <is>
          <t>Wisconsin Electric Power Co</t>
        </is>
      </c>
      <c r="D65" t="inlineStr">
        <is>
          <t>A</t>
        </is>
      </c>
      <c r="E65" t="inlineStr">
        <is>
          <t>Bundled</t>
        </is>
      </c>
      <c r="F65" t="inlineStr">
        <is>
          <t>O</t>
        </is>
      </c>
      <c r="G65" t="inlineStr">
        <is>
          <t>WI</t>
        </is>
      </c>
      <c r="H65" t="inlineStr">
        <is>
          <t>Investor Owned</t>
        </is>
      </c>
      <c r="I65" t="inlineStr">
        <is>
          <t>MISO</t>
        </is>
      </c>
      <c r="J65" t="n">
        <v>1512017.5</v>
      </c>
      <c r="K65" t="n">
        <v>7861068</v>
      </c>
      <c r="L65" t="n">
        <v>1048148</v>
      </c>
      <c r="M65" t="n">
        <v>1209999.4</v>
      </c>
      <c r="N65" t="n">
        <v>8752660</v>
      </c>
      <c r="O65" t="n">
        <v>121553</v>
      </c>
      <c r="P65" t="n">
        <v>604938</v>
      </c>
      <c r="Q65" t="n">
        <v>6497522</v>
      </c>
      <c r="R65" t="n">
        <v>615</v>
      </c>
      <c r="S65" t="n">
        <v>239.9</v>
      </c>
      <c r="T65" t="n">
        <v>1307</v>
      </c>
      <c r="U65" t="n">
        <v>2</v>
      </c>
      <c r="V65" t="n">
        <v>3327194.8</v>
      </c>
      <c r="W65" t="n">
        <v>23112557</v>
      </c>
      <c r="X65" t="n">
        <v>1170318</v>
      </c>
      <c r="Y65">
        <f>IF(ISNUMBER($W65),$W65,0)</f>
        <v/>
      </c>
      <c r="Z65">
        <f>IF(ISNUMBER(SEARCH("Adjustment",$C65)),"excluded",IF($H65="Behind the Meter","excluded",IF(NOT(OR($E65="Bundled",$E65="Energy")),"excluded",IF(OR($H65="Retail Power Marketer",$H65="Community Choice Aggregator",$E65="Energy"),"procurement",IF(OR($H65="Municipal",$H65="Cooperative",$H65="Federal",$H65="State",$H65="Political Subdivision"),"cost_service",IF($H65="Investor Owned",IF(AND(COUNTIF(Parameters!$A$4:$A$33,$G65)&gt;0,COUNTIF(Parameters!$B$4:$B$33,$B65)=0),"procurement","cost_service"),"unclassified"))))))</f>
        <v/>
      </c>
    </row>
    <row r="66">
      <c r="A66" t="n">
        <v>2024</v>
      </c>
      <c r="B66" t="n">
        <v>20856</v>
      </c>
      <c r="C66" t="inlineStr">
        <is>
          <t>Wisconsin Power &amp; Light Co</t>
        </is>
      </c>
      <c r="D66" t="inlineStr">
        <is>
          <t>A</t>
        </is>
      </c>
      <c r="E66" t="inlineStr">
        <is>
          <t>Bundled</t>
        </is>
      </c>
      <c r="F66" t="inlineStr">
        <is>
          <t>O</t>
        </is>
      </c>
      <c r="G66" t="inlineStr">
        <is>
          <t>WI</t>
        </is>
      </c>
      <c r="H66" t="inlineStr">
        <is>
          <t>Investor Owned</t>
        </is>
      </c>
      <c r="I66" t="inlineStr">
        <is>
          <t>MISO</t>
        </is>
      </c>
      <c r="J66" t="n">
        <v>596530</v>
      </c>
      <c r="K66" t="n">
        <v>3530976</v>
      </c>
      <c r="L66" t="n">
        <v>437211</v>
      </c>
      <c r="M66" t="n">
        <v>302132</v>
      </c>
      <c r="N66" t="n">
        <v>2354882</v>
      </c>
      <c r="O66" t="n">
        <v>63281</v>
      </c>
      <c r="P66" t="n">
        <v>455118</v>
      </c>
      <c r="Q66" t="n">
        <v>5088387</v>
      </c>
      <c r="R66" t="n">
        <v>1152</v>
      </c>
      <c r="S66" t="n">
        <v>0</v>
      </c>
      <c r="T66" t="n">
        <v>0</v>
      </c>
      <c r="U66" t="n">
        <v>0</v>
      </c>
      <c r="V66" t="n">
        <v>1353780</v>
      </c>
      <c r="W66" t="n">
        <v>10974245</v>
      </c>
      <c r="X66" t="n">
        <v>501644</v>
      </c>
      <c r="Y66">
        <f>IF(ISNUMBER($W66),$W66,0)</f>
        <v/>
      </c>
      <c r="Z66">
        <f>IF(ISNUMBER(SEARCH("Adjustment",$C66)),"excluded",IF($H66="Behind the Meter","excluded",IF(NOT(OR($E66="Bundled",$E66="Energy")),"excluded",IF(OR($H66="Retail Power Marketer",$H66="Community Choice Aggregator",$E66="Energy"),"procurement",IF(OR($H66="Municipal",$H66="Cooperative",$H66="Federal",$H66="State",$H66="Political Subdivision"),"cost_service",IF($H66="Investor Owned",IF(AND(COUNTIF(Parameters!$A$4:$A$33,$G66)&gt;0,COUNTIF(Parameters!$B$4:$B$33,$B66)=0),"procurement","cost_service"),"unclassified"))))))</f>
        <v/>
      </c>
    </row>
    <row r="67">
      <c r="A67" t="n">
        <v>2024</v>
      </c>
      <c r="B67" t="n">
        <v>20860</v>
      </c>
      <c r="C67" t="inlineStr">
        <is>
          <t>Wisconsin Public Service Corp</t>
        </is>
      </c>
      <c r="D67" t="inlineStr">
        <is>
          <t>A</t>
        </is>
      </c>
      <c r="E67" t="inlineStr">
        <is>
          <t>Bundled</t>
        </is>
      </c>
      <c r="F67" t="inlineStr">
        <is>
          <t>O</t>
        </is>
      </c>
      <c r="G67" t="inlineStr">
        <is>
          <t>WI</t>
        </is>
      </c>
      <c r="H67" t="inlineStr">
        <is>
          <t>Investor Owned</t>
        </is>
      </c>
      <c r="I67" t="inlineStr">
        <is>
          <t>MISO</t>
        </is>
      </c>
      <c r="J67" t="n">
        <v>477309.8</v>
      </c>
      <c r="K67" t="n">
        <v>2940351</v>
      </c>
      <c r="L67" t="n">
        <v>411775</v>
      </c>
      <c r="M67" t="n">
        <v>453690.9</v>
      </c>
      <c r="N67" t="n">
        <v>4051564</v>
      </c>
      <c r="O67" t="n">
        <v>55942</v>
      </c>
      <c r="P67" t="n">
        <v>274041</v>
      </c>
      <c r="Q67" t="n">
        <v>3810867</v>
      </c>
      <c r="R67" t="n">
        <v>193</v>
      </c>
      <c r="S67" t="n">
        <v>0</v>
      </c>
      <c r="T67" t="n">
        <v>0</v>
      </c>
      <c r="U67" t="n">
        <v>0</v>
      </c>
      <c r="V67" t="n">
        <v>1205041.7</v>
      </c>
      <c r="W67" t="n">
        <v>10802782</v>
      </c>
      <c r="X67" t="n">
        <v>467910</v>
      </c>
      <c r="Y67">
        <f>IF(ISNUMBER($W67),$W67,0)</f>
        <v/>
      </c>
      <c r="Z67">
        <f>IF(ISNUMBER(SEARCH("Adjustment",$C67)),"excluded",IF($H67="Behind the Meter","excluded",IF(NOT(OR($E67="Bundled",$E67="Energy")),"excluded",IF(OR($H67="Retail Power Marketer",$H67="Community Choice Aggregator",$E67="Energy"),"procurement",IF(OR($H67="Municipal",$H67="Cooperative",$H67="Federal",$H67="State",$H67="Political Subdivision"),"cost_service",IF($H67="Investor Owned",IF(AND(COUNTIF(Parameters!$A$4:$A$33,$G67)&gt;0,COUNTIF(Parameters!$B$4:$B$33,$B67)=0),"procurement","cost_service"),"unclassified"))))))</f>
        <v/>
      </c>
    </row>
    <row r="68">
      <c r="A68" t="n">
        <v>2024</v>
      </c>
      <c r="B68" t="n">
        <v>20862</v>
      </c>
      <c r="C68" t="inlineStr">
        <is>
          <t>Wisconsin Rapids W W &amp; L Comm</t>
        </is>
      </c>
      <c r="D68" t="inlineStr">
        <is>
          <t>A</t>
        </is>
      </c>
      <c r="E68" t="inlineStr">
        <is>
          <t>Bundled</t>
        </is>
      </c>
      <c r="F68" t="inlineStr">
        <is>
          <t>O</t>
        </is>
      </c>
      <c r="G68" t="inlineStr">
        <is>
          <t>WI</t>
        </is>
      </c>
      <c r="H68" t="inlineStr">
        <is>
          <t>Municipal</t>
        </is>
      </c>
      <c r="I68" t="inlineStr">
        <is>
          <t>MISO</t>
        </is>
      </c>
      <c r="J68" t="n">
        <v>12602</v>
      </c>
      <c r="K68" t="n">
        <v>94221</v>
      </c>
      <c r="L68" t="n">
        <v>12395</v>
      </c>
      <c r="M68" t="n">
        <v>13716</v>
      </c>
      <c r="N68" t="n">
        <v>111031</v>
      </c>
      <c r="O68" t="n">
        <v>2167</v>
      </c>
      <c r="P68" t="n">
        <v>4324</v>
      </c>
      <c r="Q68" t="n">
        <v>48336</v>
      </c>
      <c r="R68" t="n">
        <v>6</v>
      </c>
      <c r="S68" t="inlineStr">
        <is>
          <t>.</t>
        </is>
      </c>
      <c r="T68" t="inlineStr">
        <is>
          <t>.</t>
        </is>
      </c>
      <c r="U68" t="inlineStr">
        <is>
          <t>.</t>
        </is>
      </c>
      <c r="V68" t="n">
        <v>30642</v>
      </c>
      <c r="W68" t="n">
        <v>253588</v>
      </c>
      <c r="X68" t="n">
        <v>14568</v>
      </c>
      <c r="Y68">
        <f>IF(ISNUMBER($W68),$W68,0)</f>
        <v/>
      </c>
      <c r="Z68">
        <f>IF(ISNUMBER(SEARCH("Adjustment",$C68)),"excluded",IF($H68="Behind the Meter","excluded",IF(NOT(OR($E68="Bundled",$E68="Energy")),"excluded",IF(OR($H68="Retail Power Marketer",$H68="Community Choice Aggregator",$E68="Energy"),"procurement",IF(OR($H68="Municipal",$H68="Cooperative",$H68="Federal",$H68="State",$H68="Political Subdivision"),"cost_service",IF($H68="Investor Owned",IF(AND(COUNTIF(Parameters!$A$4:$A$33,$G68)&gt;0,COUNTIF(Parameters!$B$4:$B$33,$B68)=0),"procurement","cost_service"),"unclassified"))))))</f>
        <v/>
      </c>
    </row>
    <row r="69">
      <c r="A69" t="n">
        <v>2024</v>
      </c>
      <c r="B69" t="n">
        <v>40036</v>
      </c>
      <c r="C69" t="inlineStr">
        <is>
          <t>Westfield Electric Company</t>
        </is>
      </c>
      <c r="D69" t="inlineStr">
        <is>
          <t>A</t>
        </is>
      </c>
      <c r="E69" t="inlineStr">
        <is>
          <t>Bundled</t>
        </is>
      </c>
      <c r="F69" t="inlineStr">
        <is>
          <t>O</t>
        </is>
      </c>
      <c r="G69" t="inlineStr">
        <is>
          <t>WI</t>
        </is>
      </c>
      <c r="H69" t="inlineStr">
        <is>
          <t>Investor Owned</t>
        </is>
      </c>
      <c r="I69" t="inlineStr">
        <is>
          <t>MISO</t>
        </is>
      </c>
      <c r="J69" t="n">
        <v>758</v>
      </c>
      <c r="K69" t="n">
        <v>4226</v>
      </c>
      <c r="L69" t="n">
        <v>622</v>
      </c>
      <c r="M69" t="n">
        <v>770</v>
      </c>
      <c r="N69" t="n">
        <v>4538</v>
      </c>
      <c r="O69" t="n">
        <v>143</v>
      </c>
      <c r="P69" t="n">
        <v>782</v>
      </c>
      <c r="Q69" t="n">
        <v>4526</v>
      </c>
      <c r="R69" t="n">
        <v>30</v>
      </c>
      <c r="S69" t="n">
        <v>0</v>
      </c>
      <c r="T69" t="n">
        <v>0</v>
      </c>
      <c r="U69" t="n">
        <v>0</v>
      </c>
      <c r="V69" t="n">
        <v>2310</v>
      </c>
      <c r="W69" t="n">
        <v>13290</v>
      </c>
      <c r="X69" t="n">
        <v>795</v>
      </c>
      <c r="Y69">
        <f>IF(ISNUMBER($W69),$W69,0)</f>
        <v/>
      </c>
      <c r="Z69">
        <f>IF(ISNUMBER(SEARCH("Adjustment",$C69)),"excluded",IF($H69="Behind the Meter","excluded",IF(NOT(OR($E69="Bundled",$E69="Energy")),"excluded",IF(OR($H69="Retail Power Marketer",$H69="Community Choice Aggregator",$E69="Energy"),"procurement",IF(OR($H69="Municipal",$H69="Cooperative",$H69="Federal",$H69="State",$H69="Political Subdivision"),"cost_service",IF($H69="Investor Owned",IF(AND(COUNTIF(Parameters!$A$4:$A$33,$G69)&gt;0,COUNTIF(Parameters!$B$4:$B$33,$B69)=0),"procurement","cost_service"),"unclassified"))))))</f>
        <v/>
      </c>
    </row>
    <row r="70">
      <c r="A70" t="n">
        <v>2024</v>
      </c>
      <c r="B70" t="n">
        <v>59579</v>
      </c>
      <c r="C70" t="inlineStr">
        <is>
          <t>Sunnova</t>
        </is>
      </c>
      <c r="D70" t="inlineStr">
        <is>
          <t>A</t>
        </is>
      </c>
      <c r="E70" t="inlineStr">
        <is>
          <t>Bundled</t>
        </is>
      </c>
      <c r="F70" t="inlineStr">
        <is>
          <t>O</t>
        </is>
      </c>
      <c r="G70" t="inlineStr">
        <is>
          <t>WI</t>
        </is>
      </c>
      <c r="H70" t="inlineStr">
        <is>
          <t>Behind the Meter</t>
        </is>
      </c>
      <c r="I70" t="inlineStr">
        <is>
          <t>MISO</t>
        </is>
      </c>
      <c r="J70" t="n">
        <v>0</v>
      </c>
      <c r="K70" t="n">
        <v>0</v>
      </c>
      <c r="L70" t="n">
        <v>0</v>
      </c>
      <c r="M70" t="inlineStr">
        <is>
          <t>.</t>
        </is>
      </c>
      <c r="N70" t="inlineStr">
        <is>
          <t>.</t>
        </is>
      </c>
      <c r="O70" t="inlineStr">
        <is>
          <t>.</t>
        </is>
      </c>
      <c r="P70" t="inlineStr">
        <is>
          <t>.</t>
        </is>
      </c>
      <c r="Q70" t="inlineStr">
        <is>
          <t>.</t>
        </is>
      </c>
      <c r="R70" t="inlineStr">
        <is>
          <t>.</t>
        </is>
      </c>
      <c r="S70" t="inlineStr">
        <is>
          <t>.</t>
        </is>
      </c>
      <c r="T70" t="inlineStr">
        <is>
          <t>.</t>
        </is>
      </c>
      <c r="U70" t="inlineStr">
        <is>
          <t>.</t>
        </is>
      </c>
      <c r="V70" t="n">
        <v>0</v>
      </c>
      <c r="W70" t="n">
        <v>0</v>
      </c>
      <c r="X70" t="n">
        <v>0</v>
      </c>
      <c r="Y70">
        <f>IF(ISNUMBER($W70),$W70,0)</f>
        <v/>
      </c>
      <c r="Z70">
        <f>IF(ISNUMBER(SEARCH("Adjustment",$C70)),"excluded",IF($H70="Behind the Meter","excluded",IF(NOT(OR($E70="Bundled",$E70="Energy")),"excluded",IF(OR($H70="Retail Power Marketer",$H70="Community Choice Aggregator",$E70="Energy"),"procurement",IF(OR($H70="Municipal",$H70="Cooperative",$H70="Federal",$H70="State",$H70="Political Subdivision"),"cost_service",IF($H70="Investor Owned",IF(AND(COUNTIF(Parameters!$A$4:$A$33,$G70)&gt;0,COUNTIF(Parameters!$B$4:$B$33,$B70)=0),"procurement","cost_service"),"unclassified"))))))</f>
        <v/>
      </c>
    </row>
    <row r="71">
      <c r="A71" t="n">
        <v>2024</v>
      </c>
      <c r="B71" t="n">
        <v>99999</v>
      </c>
      <c r="C71" t="inlineStr">
        <is>
          <t>Adjustment 2024</t>
        </is>
      </c>
      <c r="D71" t="inlineStr">
        <is>
          <t>A</t>
        </is>
      </c>
      <c r="E71" t="inlineStr">
        <is>
          <t>Bundled</t>
        </is>
      </c>
      <c r="F71" t="inlineStr">
        <is>
          <t>I</t>
        </is>
      </c>
      <c r="G71" t="inlineStr">
        <is>
          <t>WI</t>
        </is>
      </c>
      <c r="H71" t="inlineStr"/>
      <c r="I71" t="inlineStr">
        <is>
          <t>MISO</t>
        </is>
      </c>
      <c r="J71" t="n">
        <v>259070.2</v>
      </c>
      <c r="K71" t="n">
        <v>1639244</v>
      </c>
      <c r="L71" t="n">
        <v>170766</v>
      </c>
      <c r="M71" t="n">
        <v>84292.2</v>
      </c>
      <c r="N71" t="n">
        <v>718040</v>
      </c>
      <c r="O71" t="n">
        <v>15797</v>
      </c>
      <c r="P71" t="n">
        <v>83223.10000000001</v>
      </c>
      <c r="Q71" t="n">
        <v>879929</v>
      </c>
      <c r="R71" t="n">
        <v>791</v>
      </c>
      <c r="S71" t="n">
        <v>0</v>
      </c>
      <c r="T71" t="n">
        <v>0</v>
      </c>
      <c r="U71" t="n">
        <v>0</v>
      </c>
      <c r="V71" t="n">
        <v>426585.5</v>
      </c>
      <c r="W71" t="n">
        <v>3237213</v>
      </c>
      <c r="X71" t="n">
        <v>187354</v>
      </c>
      <c r="Y71">
        <f>IF(ISNUMBER($W71),$W71,0)</f>
        <v/>
      </c>
      <c r="Z71">
        <f>IF(ISNUMBER(SEARCH("Adjustment",$C71)),"excluded",IF($H71="Behind the Meter","excluded",IF(NOT(OR($E71="Bundled",$E71="Energy")),"excluded",IF(OR($H71="Retail Power Marketer",$H71="Community Choice Aggregator",$E71="Energy"),"procurement",IF(OR($H71="Municipal",$H71="Cooperative",$H71="Federal",$H71="State",$H71="Political Subdivision"),"cost_service",IF($H71="Investor Owned",IF(AND(COUNTIF(Parameters!$A$4:$A$33,$G71)&gt;0,COUNTIF(Parameters!$B$4:$B$33,$B71)=0),"procurement","cost_service"),"unclassified"))))))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7" t="inlineStr">
        <is>
          <t>region</t>
        </is>
      </c>
      <c r="B1" s="7" t="inlineStr">
        <is>
          <t>cost_service_mwh</t>
        </is>
      </c>
      <c r="C1" s="7" t="inlineStr">
        <is>
          <t>procurement_mwh</t>
        </is>
      </c>
      <c r="D1" s="7" t="inlineStr">
        <is>
          <t>total_mwh</t>
        </is>
      </c>
      <c r="E1" s="7" t="inlineStr">
        <is>
          <t>share_cost_service</t>
        </is>
      </c>
      <c r="F1" s="7" t="inlineStr">
        <is>
          <t>share_procurement</t>
        </is>
      </c>
    </row>
    <row r="2">
      <c r="A2" t="inlineStr">
        <is>
          <t>WI</t>
        </is>
      </c>
      <c r="B2">
        <f>SUMIFS('EIA-861 Sales 2024'!$Y$4:$Y$71,'EIA-861 Sales 2024'!$Z$4:$Z$71,"cost_service")</f>
        <v/>
      </c>
      <c r="C2">
        <f>SUMIFS('EIA-861 Sales 2024'!$Y$4:$Y$71,'EIA-861 Sales 2024'!$Z$4:$Z$71,"procurement")</f>
        <v/>
      </c>
      <c r="D2">
        <f>B2+C2</f>
        <v/>
      </c>
      <c r="E2">
        <f>IF($D2=0,0,B2/$D2)</f>
        <v/>
      </c>
      <c r="F2">
        <f>IF($D2=0,0,C2/$D2)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E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Unit: dimensionless (% of demand)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</row>
    <row r="2">
      <c r="A2" t="inlineStr">
        <is>
          <t>Share that is Cost of Service</t>
        </is>
      </c>
      <c r="B2">
        <f>ROUND('Share'!$E$2,3)</f>
        <v/>
      </c>
      <c r="C2">
        <f>ROUND('Share'!$E$2,3)</f>
        <v/>
      </c>
      <c r="D2">
        <f>ROUND('Share'!$E$2,3)</f>
        <v/>
      </c>
      <c r="E2">
        <f>ROUND('Share'!$E$2,3)</f>
        <v/>
      </c>
      <c r="F2">
        <f>ROUND('Share'!$E$2,3)</f>
        <v/>
      </c>
      <c r="G2">
        <f>ROUND('Share'!$E$2,3)</f>
        <v/>
      </c>
      <c r="H2">
        <f>ROUND('Share'!$E$2,3)</f>
        <v/>
      </c>
      <c r="I2">
        <f>ROUND('Share'!$E$2,3)</f>
        <v/>
      </c>
      <c r="J2">
        <f>ROUND('Share'!$E$2,3)</f>
        <v/>
      </c>
      <c r="K2">
        <f>ROUND('Share'!$E$2,3)</f>
        <v/>
      </c>
      <c r="L2">
        <f>ROUND('Share'!$E$2,3)</f>
        <v/>
      </c>
      <c r="M2">
        <f>ROUND('Share'!$E$2,3)</f>
        <v/>
      </c>
      <c r="N2">
        <f>ROUND('Share'!$E$2,3)</f>
        <v/>
      </c>
      <c r="O2">
        <f>ROUND('Share'!$E$2,3)</f>
        <v/>
      </c>
      <c r="P2">
        <f>ROUND('Share'!$E$2,3)</f>
        <v/>
      </c>
      <c r="Q2">
        <f>ROUND('Share'!$E$2,3)</f>
        <v/>
      </c>
      <c r="R2">
        <f>ROUND('Share'!$E$2,3)</f>
        <v/>
      </c>
      <c r="S2">
        <f>ROUND('Share'!$E$2,3)</f>
        <v/>
      </c>
      <c r="T2">
        <f>ROUND('Share'!$E$2,3)</f>
        <v/>
      </c>
      <c r="U2">
        <f>ROUND('Share'!$E$2,3)</f>
        <v/>
      </c>
      <c r="V2">
        <f>ROUND('Share'!$E$2,3)</f>
        <v/>
      </c>
      <c r="W2">
        <f>ROUND('Share'!$E$2,3)</f>
        <v/>
      </c>
      <c r="X2">
        <f>ROUND('Share'!$E$2,3)</f>
        <v/>
      </c>
      <c r="Y2">
        <f>ROUND('Share'!$E$2,3)</f>
        <v/>
      </c>
      <c r="Z2">
        <f>ROUND('Share'!$E$2,3)</f>
        <v/>
      </c>
      <c r="AA2">
        <f>ROUND('Share'!$E$2,3)</f>
        <v/>
      </c>
      <c r="AB2">
        <f>ROUND('Share'!$E$2,3)</f>
        <v/>
      </c>
      <c r="AC2">
        <f>ROUND('Share'!$E$2,3)</f>
        <v/>
      </c>
      <c r="AD2">
        <f>ROUND('Share'!$E$2,3)</f>
        <v/>
      </c>
      <c r="AE2">
        <f>ROUND('Share'!$E$2,3)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2026-06-02T20:15:33Z</dcterms:created>
  <dcterms:modified xmlns:dcterms="http://purl.org/dc/terms/" xmlns:xsi="http://www.w3.org/2001/XMLSchema-instance" xsi:type="dcterms:W3CDTF">2026-06-02T20:15:33Z</dcterms:modified>
</cp:coreProperties>
</file>