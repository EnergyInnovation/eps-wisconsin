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I\add-outputs\HOIpTP\"/>
    </mc:Choice>
  </mc:AlternateContent>
  <xr:revisionPtr revIDLastSave="0" documentId="8_{9BC2D310-98D0-4A48-B3ED-3A5D15C53BE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F8" i="19"/>
  <c r="B8" i="19"/>
  <c r="L8" i="19" s="1"/>
  <c r="U7" i="19"/>
  <c r="L7" i="19"/>
  <c r="B7" i="19"/>
  <c r="AA7" i="19" s="1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V3" i="19"/>
  <c r="F3" i="19"/>
  <c r="E3" i="19"/>
  <c r="B3" i="19"/>
  <c r="AB2" i="19"/>
  <c r="W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Q17" i="18"/>
  <c r="N17" i="18"/>
  <c r="M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Z15" i="18" s="1"/>
  <c r="AA14" i="18"/>
  <c r="Y14" i="18"/>
  <c r="U14" i="18"/>
  <c r="R14" i="18"/>
  <c r="H14" i="18"/>
  <c r="B14" i="18"/>
  <c r="AB14" i="18" s="1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Y8" i="18"/>
  <c r="X8" i="18"/>
  <c r="V8" i="18"/>
  <c r="U8" i="18"/>
  <c r="R8" i="18"/>
  <c r="Q8" i="18"/>
  <c r="N8" i="18"/>
  <c r="E8" i="18"/>
  <c r="B8" i="18"/>
  <c r="AA8" i="18" s="1"/>
  <c r="AB7" i="18"/>
  <c r="AA7" i="18"/>
  <c r="H7" i="18"/>
  <c r="D7" i="18"/>
  <c r="C7" i="18"/>
  <c r="B7" i="18"/>
  <c r="G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Z2" i="18"/>
  <c r="V2" i="18"/>
  <c r="U2" i="18"/>
  <c r="P2" i="18"/>
  <c r="K2" i="18"/>
  <c r="J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C15" i="17"/>
  <c r="B15" i="17"/>
  <c r="M15" i="17" s="1"/>
  <c r="B14" i="17"/>
  <c r="C14" i="17" s="1"/>
  <c r="X13" i="17"/>
  <c r="W13" i="17"/>
  <c r="S13" i="17"/>
  <c r="R13" i="17"/>
  <c r="D13" i="17"/>
  <c r="C13" i="17"/>
  <c r="B13" i="17"/>
  <c r="AA13" i="17" s="1"/>
  <c r="Z12" i="17"/>
  <c r="S12" i="17"/>
  <c r="R12" i="17"/>
  <c r="P12" i="17"/>
  <c r="M12" i="17"/>
  <c r="J12" i="17"/>
  <c r="H12" i="17"/>
  <c r="G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F8" i="17"/>
  <c r="D8" i="17"/>
  <c r="C8" i="17"/>
  <c r="B8" i="17"/>
  <c r="AB8" i="17" s="1"/>
  <c r="Z7" i="17"/>
  <c r="X7" i="17"/>
  <c r="W7" i="17"/>
  <c r="U7" i="17"/>
  <c r="T7" i="17"/>
  <c r="P7" i="17"/>
  <c r="O7" i="17"/>
  <c r="K7" i="17"/>
  <c r="H7" i="17"/>
  <c r="B7" i="17"/>
  <c r="Y7" i="17" s="1"/>
  <c r="Q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B2" i="17"/>
  <c r="Z2" i="17" s="1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B15" i="16"/>
  <c r="Y15" i="16" s="1"/>
  <c r="G14" i="16"/>
  <c r="F14" i="16"/>
  <c r="C14" i="16"/>
  <c r="B14" i="16"/>
  <c r="AB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B7" i="16"/>
  <c r="W6" i="16"/>
  <c r="T6" i="16"/>
  <c r="S6" i="16"/>
  <c r="N6" i="16"/>
  <c r="M6" i="16"/>
  <c r="L6" i="16"/>
  <c r="J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R3" i="16"/>
  <c r="O3" i="16"/>
  <c r="C3" i="16"/>
  <c r="B3" i="16"/>
  <c r="Z3" i="16" s="1"/>
  <c r="AA2" i="16"/>
  <c r="T2" i="16"/>
  <c r="Q2" i="16"/>
  <c r="P2" i="16"/>
  <c r="K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AB14" i="15"/>
  <c r="O14" i="15"/>
  <c r="N14" i="15"/>
  <c r="M14" i="15"/>
  <c r="E14" i="15"/>
  <c r="D14" i="15"/>
  <c r="B14" i="15"/>
  <c r="W13" i="15"/>
  <c r="V13" i="15"/>
  <c r="T13" i="15"/>
  <c r="S13" i="15"/>
  <c r="R13" i="15"/>
  <c r="Q13" i="15"/>
  <c r="O13" i="15"/>
  <c r="N13" i="15"/>
  <c r="L13" i="15"/>
  <c r="K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K12" i="15"/>
  <c r="J12" i="15"/>
  <c r="I12" i="15"/>
  <c r="H12" i="15"/>
  <c r="G12" i="15"/>
  <c r="D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R8" i="15"/>
  <c r="O8" i="15"/>
  <c r="H8" i="15"/>
  <c r="F8" i="15"/>
  <c r="B8" i="15"/>
  <c r="AA7" i="15"/>
  <c r="Z7" i="15"/>
  <c r="Y7" i="15"/>
  <c r="S7" i="15"/>
  <c r="R7" i="15"/>
  <c r="P7" i="15"/>
  <c r="N7" i="15"/>
  <c r="M7" i="15"/>
  <c r="L7" i="15"/>
  <c r="C7" i="15"/>
  <c r="B7" i="15"/>
  <c r="AB7" i="15" s="1"/>
  <c r="V6" i="15"/>
  <c r="U6" i="15"/>
  <c r="S6" i="15"/>
  <c r="R6" i="15"/>
  <c r="Q6" i="15"/>
  <c r="P6" i="15"/>
  <c r="O6" i="15"/>
  <c r="M6" i="15"/>
  <c r="L6" i="15"/>
  <c r="J6" i="15"/>
  <c r="I6" i="15"/>
  <c r="E6" i="15"/>
  <c r="D6" i="15"/>
  <c r="B6" i="15"/>
  <c r="T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B15" i="14"/>
  <c r="E15" i="14" s="1"/>
  <c r="AB14" i="14"/>
  <c r="S14" i="14"/>
  <c r="R14" i="14"/>
  <c r="B14" i="14"/>
  <c r="Y14" i="14" s="1"/>
  <c r="X13" i="14"/>
  <c r="S13" i="14"/>
  <c r="Q13" i="14"/>
  <c r="N13" i="14"/>
  <c r="G13" i="14"/>
  <c r="E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V7" i="14"/>
  <c r="S7" i="14"/>
  <c r="R7" i="14"/>
  <c r="E7" i="14"/>
  <c r="B7" i="14"/>
  <c r="AA6" i="14"/>
  <c r="X6" i="14"/>
  <c r="W6" i="14"/>
  <c r="S6" i="14"/>
  <c r="R6" i="14"/>
  <c r="Q6" i="14"/>
  <c r="P6" i="14"/>
  <c r="O6" i="14"/>
  <c r="N6" i="14"/>
  <c r="H6" i="14"/>
  <c r="G6" i="14"/>
  <c r="F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W3" i="14"/>
  <c r="V3" i="14"/>
  <c r="U3" i="14"/>
  <c r="S3" i="14"/>
  <c r="P3" i="14"/>
  <c r="N3" i="14"/>
  <c r="D3" i="14"/>
  <c r="B3" i="14"/>
  <c r="AB2" i="14"/>
  <c r="AA2" i="14"/>
  <c r="Z2" i="14"/>
  <c r="X2" i="14"/>
  <c r="V2" i="14"/>
  <c r="U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M15" i="13"/>
  <c r="L15" i="13"/>
  <c r="K15" i="13"/>
  <c r="J15" i="13"/>
  <c r="I15" i="13"/>
  <c r="C15" i="13"/>
  <c r="B15" i="13"/>
  <c r="AB15" i="13" s="1"/>
  <c r="AA14" i="13"/>
  <c r="Y14" i="13"/>
  <c r="W14" i="13"/>
  <c r="V14" i="13"/>
  <c r="T14" i="13"/>
  <c r="Q14" i="13"/>
  <c r="P14" i="13"/>
  <c r="O14" i="13"/>
  <c r="N14" i="13"/>
  <c r="M14" i="13"/>
  <c r="L14" i="13"/>
  <c r="K14" i="13"/>
  <c r="J14" i="13"/>
  <c r="H14" i="13"/>
  <c r="F14" i="13"/>
  <c r="E14" i="13"/>
  <c r="B14" i="13"/>
  <c r="U14" i="13" s="1"/>
  <c r="Z13" i="13"/>
  <c r="Y13" i="13"/>
  <c r="V13" i="13"/>
  <c r="U13" i="13"/>
  <c r="T13" i="13"/>
  <c r="F13" i="13"/>
  <c r="B13" i="13"/>
  <c r="S12" i="13"/>
  <c r="R12" i="13"/>
  <c r="O12" i="13"/>
  <c r="M12" i="13"/>
  <c r="L12" i="13"/>
  <c r="B12" i="13"/>
  <c r="W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W7" i="13"/>
  <c r="U7" i="13"/>
  <c r="S7" i="13"/>
  <c r="R7" i="13"/>
  <c r="M7" i="13"/>
  <c r="L7" i="13"/>
  <c r="H7" i="13"/>
  <c r="G7" i="13"/>
  <c r="F7" i="13"/>
  <c r="E7" i="13"/>
  <c r="D7" i="13"/>
  <c r="C7" i="13"/>
  <c r="B7" i="13"/>
  <c r="Y7" i="13" s="1"/>
  <c r="O6" i="13"/>
  <c r="M6" i="13"/>
  <c r="K6" i="13"/>
  <c r="J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J3" i="13"/>
  <c r="I3" i="13"/>
  <c r="F3" i="13"/>
  <c r="E3" i="13"/>
  <c r="C3" i="13"/>
  <c r="B3" i="13"/>
  <c r="N3" i="13" s="1"/>
  <c r="Z2" i="13"/>
  <c r="Y2" i="13"/>
  <c r="X2" i="13"/>
  <c r="V2" i="13"/>
  <c r="U2" i="13"/>
  <c r="R2" i="13"/>
  <c r="H2" i="13"/>
  <c r="G2" i="13"/>
  <c r="F2" i="13"/>
  <c r="E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G17" i="12"/>
  <c r="B17" i="12"/>
  <c r="AB16" i="12"/>
  <c r="AA16" i="12"/>
  <c r="Z16" i="12"/>
  <c r="J16" i="12"/>
  <c r="C16" i="12"/>
  <c r="B16" i="12"/>
  <c r="Z15" i="12"/>
  <c r="Y15" i="12"/>
  <c r="B15" i="12"/>
  <c r="AB14" i="12"/>
  <c r="Y14" i="12"/>
  <c r="X14" i="12"/>
  <c r="W14" i="12"/>
  <c r="V14" i="12"/>
  <c r="R14" i="12"/>
  <c r="Q14" i="12"/>
  <c r="K14" i="12"/>
  <c r="B14" i="12"/>
  <c r="L14" i="12" s="1"/>
  <c r="B13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Z8" i="12"/>
  <c r="Y8" i="12"/>
  <c r="P8" i="12"/>
  <c r="M8" i="12"/>
  <c r="J8" i="12"/>
  <c r="I8" i="12"/>
  <c r="H8" i="12"/>
  <c r="F8" i="12"/>
  <c r="D8" i="12"/>
  <c r="B8" i="12"/>
  <c r="AA8" i="12" s="1"/>
  <c r="AB7" i="12"/>
  <c r="AA7" i="12"/>
  <c r="Z7" i="12"/>
  <c r="F7" i="12"/>
  <c r="E7" i="12"/>
  <c r="B7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L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B17" i="11"/>
  <c r="C17" i="11" s="1"/>
  <c r="AB16" i="11"/>
  <c r="Y16" i="11"/>
  <c r="W16" i="11"/>
  <c r="V16" i="11"/>
  <c r="D16" i="11"/>
  <c r="B16" i="11"/>
  <c r="AA16" i="11" s="1"/>
  <c r="W15" i="11"/>
  <c r="R15" i="11"/>
  <c r="B15" i="11"/>
  <c r="M14" i="11"/>
  <c r="J14" i="11"/>
  <c r="I14" i="11"/>
  <c r="H14" i="1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Z12" i="11"/>
  <c r="Y12" i="11"/>
  <c r="X12" i="11"/>
  <c r="U12" i="11"/>
  <c r="T12" i="11"/>
  <c r="P12" i="11"/>
  <c r="O12" i="11"/>
  <c r="L12" i="11"/>
  <c r="K12" i="11"/>
  <c r="I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R8" i="11"/>
  <c r="Q8" i="11"/>
  <c r="P8" i="11"/>
  <c r="O8" i="11"/>
  <c r="N8" i="11"/>
  <c r="K8" i="11"/>
  <c r="J8" i="11"/>
  <c r="I8" i="11"/>
  <c r="D8" i="11"/>
  <c r="C8" i="11"/>
  <c r="B8" i="11"/>
  <c r="AB8" i="11" s="1"/>
  <c r="AB7" i="11"/>
  <c r="G7" i="11"/>
  <c r="D7" i="11"/>
  <c r="B7" i="11"/>
  <c r="X6" i="11"/>
  <c r="U6" i="11"/>
  <c r="T6" i="11"/>
  <c r="Q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Q3" i="11"/>
  <c r="L3" i="11"/>
  <c r="K3" i="11"/>
  <c r="J3" i="11"/>
  <c r="I3" i="11"/>
  <c r="H3" i="11"/>
  <c r="B3" i="11"/>
  <c r="N2" i="11"/>
  <c r="G2" i="11"/>
  <c r="B2" i="11"/>
  <c r="I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AB14" i="10"/>
  <c r="Z14" i="10"/>
  <c r="W14" i="10"/>
  <c r="V14" i="10"/>
  <c r="U14" i="10"/>
  <c r="L14" i="10"/>
  <c r="E14" i="10"/>
  <c r="D14" i="10"/>
  <c r="B14" i="10"/>
  <c r="AA14" i="10" s="1"/>
  <c r="AA13" i="10"/>
  <c r="Z13" i="10"/>
  <c r="Y13" i="10"/>
  <c r="M13" i="10"/>
  <c r="F13" i="10"/>
  <c r="D13" i="10"/>
  <c r="B13" i="10"/>
  <c r="H13" i="10" s="1"/>
  <c r="AA12" i="10"/>
  <c r="Z12" i="10"/>
  <c r="G12" i="10"/>
  <c r="B12" i="10"/>
  <c r="AB12" i="10" s="1"/>
  <c r="C11" i="10"/>
  <c r="B11" i="10"/>
  <c r="B10" i="10"/>
  <c r="B9" i="10"/>
  <c r="N8" i="10"/>
  <c r="K8" i="10"/>
  <c r="I8" i="10"/>
  <c r="G8" i="10"/>
  <c r="C8" i="10"/>
  <c r="B8" i="10"/>
  <c r="X7" i="10"/>
  <c r="B7" i="10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P2" i="10"/>
  <c r="K2" i="10"/>
  <c r="J2" i="10"/>
  <c r="H2" i="10"/>
  <c r="G2" i="10"/>
  <c r="F2" i="10"/>
  <c r="E2" i="10"/>
  <c r="C2" i="10"/>
  <c r="B2" i="10"/>
  <c r="U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O17" i="9"/>
  <c r="M17" i="9"/>
  <c r="K17" i="9"/>
  <c r="J17" i="9"/>
  <c r="G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4" i="9"/>
  <c r="Z14" i="9"/>
  <c r="Y14" i="9"/>
  <c r="W14" i="9"/>
  <c r="V14" i="9"/>
  <c r="T14" i="9"/>
  <c r="S14" i="9"/>
  <c r="Q14" i="9"/>
  <c r="P14" i="9"/>
  <c r="O14" i="9"/>
  <c r="N14" i="9"/>
  <c r="M14" i="9"/>
  <c r="L14" i="9"/>
  <c r="K14" i="9"/>
  <c r="J14" i="9"/>
  <c r="G14" i="9"/>
  <c r="F14" i="9"/>
  <c r="B14" i="9"/>
  <c r="U14" i="9" s="1"/>
  <c r="Y13" i="9"/>
  <c r="M13" i="9"/>
  <c r="D13" i="9"/>
  <c r="C13" i="9"/>
  <c r="B13" i="9"/>
  <c r="AB12" i="9"/>
  <c r="AA12" i="9"/>
  <c r="Z12" i="9"/>
  <c r="W12" i="9"/>
  <c r="U12" i="9"/>
  <c r="S12" i="9"/>
  <c r="O12" i="9"/>
  <c r="J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S8" i="9"/>
  <c r="R8" i="9"/>
  <c r="Q8" i="9"/>
  <c r="P8" i="9"/>
  <c r="O8" i="9"/>
  <c r="F8" i="9"/>
  <c r="E8" i="9"/>
  <c r="C8" i="9"/>
  <c r="B8" i="9"/>
  <c r="AA7" i="9"/>
  <c r="X7" i="9"/>
  <c r="U7" i="9"/>
  <c r="T7" i="9"/>
  <c r="S7" i="9"/>
  <c r="R7" i="9"/>
  <c r="Q7" i="9"/>
  <c r="P7" i="9"/>
  <c r="N7" i="9"/>
  <c r="M7" i="9"/>
  <c r="L7" i="9"/>
  <c r="J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B3" i="9"/>
  <c r="O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U15" i="8"/>
  <c r="L15" i="8"/>
  <c r="K15" i="8"/>
  <c r="J15" i="8"/>
  <c r="I15" i="8"/>
  <c r="G15" i="8"/>
  <c r="E15" i="8"/>
  <c r="B15" i="8"/>
  <c r="B14" i="8"/>
  <c r="AB14" i="8" s="1"/>
  <c r="AA13" i="8"/>
  <c r="X13" i="8"/>
  <c r="W13" i="8"/>
  <c r="V13" i="8"/>
  <c r="U13" i="8"/>
  <c r="T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C13" i="8"/>
  <c r="B13" i="8"/>
  <c r="S13" i="8" s="1"/>
  <c r="V12" i="8"/>
  <c r="R12" i="8"/>
  <c r="O12" i="8"/>
  <c r="N12" i="8"/>
  <c r="H12" i="8"/>
  <c r="E12" i="8"/>
  <c r="D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T7" i="8"/>
  <c r="O7" i="8"/>
  <c r="K7" i="8"/>
  <c r="G7" i="8"/>
  <c r="B7" i="8"/>
  <c r="P6" i="8"/>
  <c r="O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R3" i="8"/>
  <c r="P3" i="8"/>
  <c r="B3" i="8"/>
  <c r="W2" i="8"/>
  <c r="V2" i="8"/>
  <c r="U2" i="8"/>
  <c r="T2" i="8"/>
  <c r="S2" i="8"/>
  <c r="R2" i="8"/>
  <c r="Q2" i="8"/>
  <c r="P2" i="8"/>
  <c r="N2" i="8"/>
  <c r="M2" i="8"/>
  <c r="L2" i="8"/>
  <c r="K2" i="8"/>
  <c r="B2" i="8"/>
  <c r="F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Z17" i="7" s="1"/>
  <c r="N16" i="7"/>
  <c r="M16" i="7"/>
  <c r="L16" i="7"/>
  <c r="J16" i="7"/>
  <c r="H16" i="7"/>
  <c r="G16" i="7"/>
  <c r="B16" i="7"/>
  <c r="AA16" i="7" s="1"/>
  <c r="B15" i="7"/>
  <c r="L15" i="7" s="1"/>
  <c r="X14" i="7"/>
  <c r="M14" i="7"/>
  <c r="B14" i="7"/>
  <c r="D14" i="7" s="1"/>
  <c r="B13" i="7"/>
  <c r="AB13" i="7" s="1"/>
  <c r="AB12" i="7"/>
  <c r="Y12" i="7"/>
  <c r="X12" i="7"/>
  <c r="W12" i="7"/>
  <c r="V12" i="7"/>
  <c r="T12" i="7"/>
  <c r="S12" i="7"/>
  <c r="R12" i="7"/>
  <c r="P12" i="7"/>
  <c r="O12" i="7"/>
  <c r="M12" i="7"/>
  <c r="E12" i="7"/>
  <c r="C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U8" i="7"/>
  <c r="T8" i="7"/>
  <c r="R8" i="7"/>
  <c r="Q8" i="7"/>
  <c r="P8" i="7"/>
  <c r="N8" i="7"/>
  <c r="M8" i="7"/>
  <c r="L8" i="7"/>
  <c r="K8" i="7"/>
  <c r="J8" i="7"/>
  <c r="H8" i="7"/>
  <c r="G8" i="7"/>
  <c r="B8" i="7"/>
  <c r="E8" i="7" s="1"/>
  <c r="AA7" i="7"/>
  <c r="Z7" i="7"/>
  <c r="Y7" i="7"/>
  <c r="V7" i="7"/>
  <c r="U7" i="7"/>
  <c r="S7" i="7"/>
  <c r="R7" i="7"/>
  <c r="Q7" i="7"/>
  <c r="P7" i="7"/>
  <c r="O7" i="7"/>
  <c r="N7" i="7"/>
  <c r="M7" i="7"/>
  <c r="K7" i="7"/>
  <c r="J7" i="7"/>
  <c r="I7" i="7"/>
  <c r="B7" i="7"/>
  <c r="W7" i="7" s="1"/>
  <c r="AB6" i="7"/>
  <c r="Z6" i="7"/>
  <c r="X6" i="7"/>
  <c r="R6" i="7"/>
  <c r="P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Z3" i="7"/>
  <c r="B3" i="7"/>
  <c r="R2" i="7"/>
  <c r="Q2" i="7"/>
  <c r="O2" i="7"/>
  <c r="N2" i="7"/>
  <c r="M2" i="7"/>
  <c r="K2" i="7"/>
  <c r="B2" i="7"/>
  <c r="G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X17" i="6"/>
  <c r="W17" i="6"/>
  <c r="V17" i="6"/>
  <c r="U17" i="6"/>
  <c r="T17" i="6"/>
  <c r="R17" i="6"/>
  <c r="Q17" i="6"/>
  <c r="P17" i="6"/>
  <c r="O17" i="6"/>
  <c r="M17" i="6"/>
  <c r="K17" i="6"/>
  <c r="J17" i="6"/>
  <c r="H17" i="6"/>
  <c r="G17" i="6"/>
  <c r="F17" i="6"/>
  <c r="E17" i="6"/>
  <c r="D17" i="6"/>
  <c r="B17" i="6"/>
  <c r="Z17" i="6" s="1"/>
  <c r="E16" i="6"/>
  <c r="D16" i="6"/>
  <c r="C16" i="6"/>
  <c r="B16" i="6"/>
  <c r="AB15" i="6"/>
  <c r="AA15" i="6"/>
  <c r="Z15" i="6"/>
  <c r="W15" i="6"/>
  <c r="V15" i="6"/>
  <c r="U15" i="6"/>
  <c r="T15" i="6"/>
  <c r="R15" i="6"/>
  <c r="Q15" i="6"/>
  <c r="P15" i="6"/>
  <c r="O15" i="6"/>
  <c r="N15" i="6"/>
  <c r="M15" i="6"/>
  <c r="L15" i="6"/>
  <c r="K15" i="6"/>
  <c r="C15" i="6"/>
  <c r="B15" i="6"/>
  <c r="C14" i="6"/>
  <c r="B14" i="6"/>
  <c r="V13" i="6"/>
  <c r="T13" i="6"/>
  <c r="R13" i="6"/>
  <c r="Q13" i="6"/>
  <c r="P13" i="6"/>
  <c r="O13" i="6"/>
  <c r="N13" i="6"/>
  <c r="M13" i="6"/>
  <c r="K13" i="6"/>
  <c r="I13" i="6"/>
  <c r="H13" i="6"/>
  <c r="G13" i="6"/>
  <c r="B13" i="6"/>
  <c r="Y13" i="6" s="1"/>
  <c r="B12" i="6"/>
  <c r="L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C8" i="6"/>
  <c r="B8" i="6"/>
  <c r="B7" i="6"/>
  <c r="J7" i="6" s="1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S17" i="5"/>
  <c r="R17" i="5"/>
  <c r="Q17" i="5"/>
  <c r="D17" i="5"/>
  <c r="B17" i="5"/>
  <c r="B16" i="5"/>
  <c r="M15" i="5"/>
  <c r="L15" i="5"/>
  <c r="J15" i="5"/>
  <c r="I15" i="5"/>
  <c r="H15" i="5"/>
  <c r="G15" i="5"/>
  <c r="F15" i="5"/>
  <c r="B15" i="5"/>
  <c r="AB15" i="5" s="1"/>
  <c r="AB14" i="5"/>
  <c r="AA14" i="5"/>
  <c r="Z14" i="5"/>
  <c r="B14" i="5"/>
  <c r="D14" i="5" s="1"/>
  <c r="B13" i="5"/>
  <c r="F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Z7" i="5"/>
  <c r="X7" i="5"/>
  <c r="V7" i="5"/>
  <c r="U7" i="5"/>
  <c r="N7" i="5"/>
  <c r="I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S3" i="5"/>
  <c r="N3" i="5"/>
  <c r="B3" i="5"/>
  <c r="B2" i="5"/>
  <c r="F2" i="5" s="1"/>
  <c r="B2" i="1"/>
  <c r="D15" i="7" l="1"/>
  <c r="I13" i="7"/>
  <c r="E6" i="5"/>
  <c r="D12" i="6"/>
  <c r="U14" i="6"/>
  <c r="W14" i="6"/>
  <c r="K14" i="6"/>
  <c r="J14" i="6"/>
  <c r="E14" i="6"/>
  <c r="I14" i="6"/>
  <c r="H14" i="6"/>
  <c r="F14" i="6"/>
  <c r="AB14" i="6"/>
  <c r="P2" i="7"/>
  <c r="S13" i="7"/>
  <c r="F15" i="7"/>
  <c r="K17" i="7"/>
  <c r="E14" i="8"/>
  <c r="C15" i="14"/>
  <c r="C17" i="7"/>
  <c r="V13" i="7"/>
  <c r="H15" i="7"/>
  <c r="Z7" i="16"/>
  <c r="C7" i="16"/>
  <c r="AB7" i="16"/>
  <c r="V7" i="16"/>
  <c r="U7" i="16"/>
  <c r="P7" i="16"/>
  <c r="M7" i="16"/>
  <c r="L7" i="16"/>
  <c r="J7" i="16"/>
  <c r="I7" i="16"/>
  <c r="E7" i="16"/>
  <c r="Y7" i="16"/>
  <c r="X7" i="16"/>
  <c r="T7" i="16"/>
  <c r="S7" i="16"/>
  <c r="R7" i="16"/>
  <c r="O7" i="16"/>
  <c r="H7" i="16"/>
  <c r="Z3" i="18"/>
  <c r="I3" i="18"/>
  <c r="D3" i="18"/>
  <c r="Y3" i="18"/>
  <c r="V3" i="18"/>
  <c r="S3" i="18"/>
  <c r="R3" i="18"/>
  <c r="Q3" i="18"/>
  <c r="P3" i="18"/>
  <c r="M3" i="18"/>
  <c r="K3" i="18"/>
  <c r="W3" i="18"/>
  <c r="N3" i="18"/>
  <c r="J3" i="18"/>
  <c r="H3" i="18"/>
  <c r="AB13" i="5"/>
  <c r="M13" i="5"/>
  <c r="H13" i="7"/>
  <c r="E15" i="7"/>
  <c r="H13" i="5"/>
  <c r="M17" i="7"/>
  <c r="G14" i="8"/>
  <c r="K6" i="5"/>
  <c r="I13" i="5"/>
  <c r="N15" i="5"/>
  <c r="L14" i="6"/>
  <c r="Z2" i="7"/>
  <c r="W13" i="7"/>
  <c r="I15" i="7"/>
  <c r="Q17" i="7"/>
  <c r="H14" i="8"/>
  <c r="D7" i="16"/>
  <c r="E3" i="18"/>
  <c r="J6" i="5"/>
  <c r="J13" i="5"/>
  <c r="X3" i="7"/>
  <c r="U3" i="7"/>
  <c r="M3" i="7"/>
  <c r="K3" i="7"/>
  <c r="L3" i="7"/>
  <c r="J3" i="7"/>
  <c r="H3" i="7"/>
  <c r="G3" i="7"/>
  <c r="X13" i="7"/>
  <c r="S17" i="7"/>
  <c r="I14" i="8"/>
  <c r="Y3" i="12"/>
  <c r="K3" i="12"/>
  <c r="J3" i="12"/>
  <c r="I3" i="12"/>
  <c r="G3" i="12"/>
  <c r="F3" i="12"/>
  <c r="AA3" i="12"/>
  <c r="O17" i="12"/>
  <c r="T17" i="12"/>
  <c r="F7" i="16"/>
  <c r="X12" i="6"/>
  <c r="N12" i="6"/>
  <c r="AB12" i="6"/>
  <c r="Y12" i="6"/>
  <c r="W12" i="6"/>
  <c r="V12" i="6"/>
  <c r="P12" i="6"/>
  <c r="D14" i="8"/>
  <c r="D14" i="6"/>
  <c r="M14" i="6"/>
  <c r="X15" i="10"/>
  <c r="O15" i="10"/>
  <c r="G15" i="10"/>
  <c r="E15" i="10"/>
  <c r="D15" i="10"/>
  <c r="AA15" i="10"/>
  <c r="V15" i="10"/>
  <c r="U15" i="10"/>
  <c r="N15" i="10"/>
  <c r="T15" i="10"/>
  <c r="R15" i="10"/>
  <c r="Q15" i="10"/>
  <c r="P15" i="10"/>
  <c r="L15" i="10"/>
  <c r="K15" i="10"/>
  <c r="I15" i="10"/>
  <c r="X2" i="15"/>
  <c r="K2" i="15"/>
  <c r="H2" i="15"/>
  <c r="Z2" i="15"/>
  <c r="Y2" i="15"/>
  <c r="V2" i="15"/>
  <c r="U2" i="15"/>
  <c r="AB2" i="15"/>
  <c r="AA2" i="15"/>
  <c r="S2" i="15"/>
  <c r="R2" i="15"/>
  <c r="Q2" i="15"/>
  <c r="P2" i="15"/>
  <c r="O2" i="15"/>
  <c r="N2" i="15"/>
  <c r="M2" i="15"/>
  <c r="L2" i="15"/>
  <c r="J2" i="15"/>
  <c r="I2" i="15"/>
  <c r="G2" i="15"/>
  <c r="F2" i="15"/>
  <c r="E2" i="15"/>
  <c r="D2" i="15"/>
  <c r="C2" i="15"/>
  <c r="G7" i="16"/>
  <c r="X15" i="7"/>
  <c r="R15" i="7"/>
  <c r="T15" i="7"/>
  <c r="Q15" i="7"/>
  <c r="O15" i="7"/>
  <c r="S15" i="7"/>
  <c r="P15" i="7"/>
  <c r="N15" i="7"/>
  <c r="K15" i="7"/>
  <c r="J15" i="7"/>
  <c r="C14" i="8"/>
  <c r="G13" i="5"/>
  <c r="P6" i="6"/>
  <c r="AA6" i="6"/>
  <c r="K13" i="5"/>
  <c r="F3" i="7"/>
  <c r="W6" i="5"/>
  <c r="V15" i="5"/>
  <c r="U15" i="7"/>
  <c r="U17" i="7"/>
  <c r="K14" i="8"/>
  <c r="C15" i="10"/>
  <c r="M3" i="12"/>
  <c r="P3" i="15"/>
  <c r="J3" i="15"/>
  <c r="F3" i="15"/>
  <c r="AA3" i="15"/>
  <c r="Z3" i="15"/>
  <c r="Y3" i="15"/>
  <c r="X3" i="15"/>
  <c r="W3" i="15"/>
  <c r="U3" i="15"/>
  <c r="T3" i="15"/>
  <c r="Q3" i="15"/>
  <c r="N3" i="15"/>
  <c r="M3" i="15"/>
  <c r="L3" i="15"/>
  <c r="K3" i="15"/>
  <c r="I3" i="15"/>
  <c r="I6" i="5"/>
  <c r="N14" i="6"/>
  <c r="C2" i="5"/>
  <c r="J3" i="8"/>
  <c r="E3" i="8"/>
  <c r="L3" i="8"/>
  <c r="I3" i="8"/>
  <c r="G3" i="8"/>
  <c r="D3" i="8"/>
  <c r="K3" i="8"/>
  <c r="H3" i="8"/>
  <c r="L14" i="8"/>
  <c r="F15" i="10"/>
  <c r="N3" i="12"/>
  <c r="C3" i="15"/>
  <c r="C15" i="7"/>
  <c r="R6" i="5"/>
  <c r="J14" i="8"/>
  <c r="AA6" i="7"/>
  <c r="K6" i="7"/>
  <c r="W6" i="7"/>
  <c r="D2" i="5"/>
  <c r="X6" i="5"/>
  <c r="W15" i="5"/>
  <c r="T2" i="6"/>
  <c r="L6" i="6"/>
  <c r="T12" i="6"/>
  <c r="P14" i="6"/>
  <c r="O3" i="7"/>
  <c r="F6" i="7"/>
  <c r="V15" i="7"/>
  <c r="V17" i="7"/>
  <c r="E2" i="5"/>
  <c r="Z6" i="5"/>
  <c r="Y13" i="5"/>
  <c r="Y15" i="5"/>
  <c r="Z2" i="6"/>
  <c r="M6" i="6"/>
  <c r="U12" i="6"/>
  <c r="Q14" i="6"/>
  <c r="P3" i="7"/>
  <c r="H6" i="7"/>
  <c r="W15" i="7"/>
  <c r="C3" i="8"/>
  <c r="W12" i="8"/>
  <c r="X12" i="8"/>
  <c r="AB12" i="8"/>
  <c r="Y12" i="8"/>
  <c r="AA12" i="8"/>
  <c r="Z12" i="8"/>
  <c r="T12" i="8"/>
  <c r="S12" i="8"/>
  <c r="M14" i="8"/>
  <c r="H15" i="10"/>
  <c r="P3" i="12"/>
  <c r="D3" i="15"/>
  <c r="AB6" i="18"/>
  <c r="W6" i="18"/>
  <c r="Q6" i="18"/>
  <c r="O6" i="18"/>
  <c r="K6" i="18"/>
  <c r="J6" i="18"/>
  <c r="I6" i="18"/>
  <c r="E6" i="18"/>
  <c r="AB17" i="7"/>
  <c r="G17" i="7"/>
  <c r="J17" i="7"/>
  <c r="H17" i="7"/>
  <c r="E17" i="7"/>
  <c r="D17" i="7"/>
  <c r="I17" i="7"/>
  <c r="F17" i="7"/>
  <c r="X6" i="18"/>
  <c r="D13" i="5"/>
  <c r="L17" i="7"/>
  <c r="M6" i="5"/>
  <c r="O15" i="5"/>
  <c r="U15" i="5"/>
  <c r="R12" i="6"/>
  <c r="M15" i="7"/>
  <c r="R13" i="5"/>
  <c r="X13" i="5"/>
  <c r="Z14" i="7"/>
  <c r="U14" i="7"/>
  <c r="V14" i="7"/>
  <c r="S14" i="7"/>
  <c r="Q14" i="7"/>
  <c r="O14" i="7"/>
  <c r="T14" i="7"/>
  <c r="R14" i="7"/>
  <c r="L14" i="7"/>
  <c r="J14" i="7"/>
  <c r="Z13" i="5"/>
  <c r="Z15" i="5"/>
  <c r="AA2" i="6"/>
  <c r="N6" i="6"/>
  <c r="R14" i="6"/>
  <c r="S3" i="7"/>
  <c r="I6" i="7"/>
  <c r="F14" i="7"/>
  <c r="Y15" i="7"/>
  <c r="AA17" i="7"/>
  <c r="M3" i="8"/>
  <c r="W7" i="8"/>
  <c r="U7" i="8"/>
  <c r="C12" i="8"/>
  <c r="R14" i="8"/>
  <c r="M15" i="10"/>
  <c r="T3" i="12"/>
  <c r="E3" i="15"/>
  <c r="Z13" i="7"/>
  <c r="R13" i="7"/>
  <c r="Q13" i="7"/>
  <c r="N13" i="7"/>
  <c r="K13" i="7"/>
  <c r="J13" i="7"/>
  <c r="O13" i="7"/>
  <c r="M13" i="7"/>
  <c r="F13" i="7"/>
  <c r="E13" i="7"/>
  <c r="AB12" i="16"/>
  <c r="W12" i="16"/>
  <c r="K12" i="16"/>
  <c r="Y12" i="16"/>
  <c r="X12" i="16"/>
  <c r="I12" i="16"/>
  <c r="C12" i="16"/>
  <c r="J6" i="6"/>
  <c r="AA13" i="7"/>
  <c r="K6" i="6"/>
  <c r="S12" i="6"/>
  <c r="O14" i="6"/>
  <c r="N3" i="7"/>
  <c r="O6" i="6"/>
  <c r="S14" i="6"/>
  <c r="T3" i="7"/>
  <c r="N6" i="7"/>
  <c r="H14" i="7"/>
  <c r="Z15" i="7"/>
  <c r="N3" i="8"/>
  <c r="Z14" i="8"/>
  <c r="W15" i="10"/>
  <c r="Q7" i="11"/>
  <c r="H7" i="11"/>
  <c r="E7" i="11"/>
  <c r="U7" i="11"/>
  <c r="S7" i="11"/>
  <c r="R7" i="11"/>
  <c r="X7" i="11"/>
  <c r="W7" i="11"/>
  <c r="V7" i="11"/>
  <c r="N7" i="11"/>
  <c r="T7" i="11"/>
  <c r="P7" i="11"/>
  <c r="O7" i="11"/>
  <c r="M7" i="11"/>
  <c r="L7" i="11"/>
  <c r="K7" i="11"/>
  <c r="J7" i="11"/>
  <c r="U3" i="12"/>
  <c r="W6" i="12"/>
  <c r="F6" i="12"/>
  <c r="G3" i="15"/>
  <c r="K12" i="6"/>
  <c r="I6" i="6"/>
  <c r="O12" i="6"/>
  <c r="T17" i="7"/>
  <c r="W3" i="5"/>
  <c r="V3" i="5"/>
  <c r="U3" i="5"/>
  <c r="M3" i="5"/>
  <c r="AA15" i="5"/>
  <c r="AB2" i="6"/>
  <c r="L3" i="5"/>
  <c r="AB6" i="6"/>
  <c r="T14" i="6"/>
  <c r="V3" i="7"/>
  <c r="O6" i="7"/>
  <c r="I14" i="7"/>
  <c r="AA15" i="7"/>
  <c r="O3" i="8"/>
  <c r="J7" i="8"/>
  <c r="AA14" i="8"/>
  <c r="Y15" i="10"/>
  <c r="C7" i="11"/>
  <c r="Z3" i="12"/>
  <c r="D15" i="18"/>
  <c r="C15" i="18"/>
  <c r="AB15" i="18"/>
  <c r="AA15" i="18"/>
  <c r="Y15" i="18"/>
  <c r="X15" i="18"/>
  <c r="W15" i="18"/>
  <c r="S15" i="18"/>
  <c r="Q15" i="18"/>
  <c r="M15" i="18"/>
  <c r="K15" i="18"/>
  <c r="J15" i="18"/>
  <c r="E15" i="18"/>
  <c r="Z15" i="10"/>
  <c r="V17" i="16"/>
  <c r="J17" i="16"/>
  <c r="D17" i="16"/>
  <c r="C17" i="16"/>
  <c r="Z17" i="16"/>
  <c r="AB17" i="16"/>
  <c r="Y17" i="16"/>
  <c r="J12" i="6"/>
  <c r="Q3" i="5"/>
  <c r="O17" i="5"/>
  <c r="X17" i="5"/>
  <c r="W17" i="5"/>
  <c r="V17" i="5"/>
  <c r="T17" i="5"/>
  <c r="U17" i="5"/>
  <c r="L17" i="5"/>
  <c r="AB8" i="6"/>
  <c r="I8" i="6"/>
  <c r="H8" i="6"/>
  <c r="G8" i="6"/>
  <c r="E8" i="6"/>
  <c r="D8" i="6"/>
  <c r="Y14" i="6"/>
  <c r="AB3" i="7"/>
  <c r="Q6" i="7"/>
  <c r="N14" i="7"/>
  <c r="Q3" i="8"/>
  <c r="M7" i="8"/>
  <c r="Z15" i="8"/>
  <c r="N15" i="8"/>
  <c r="Y15" i="8"/>
  <c r="AA15" i="8"/>
  <c r="P15" i="8"/>
  <c r="O15" i="8"/>
  <c r="M15" i="8"/>
  <c r="AB15" i="10"/>
  <c r="F7" i="11"/>
  <c r="G17" i="16"/>
  <c r="G15" i="7"/>
  <c r="S14" i="11"/>
  <c r="AA14" i="11"/>
  <c r="V14" i="11"/>
  <c r="N14" i="11"/>
  <c r="L14" i="11"/>
  <c r="K14" i="11"/>
  <c r="C14" i="11"/>
  <c r="AB14" i="11"/>
  <c r="X14" i="11"/>
  <c r="W14" i="11"/>
  <c r="T14" i="11"/>
  <c r="U14" i="11"/>
  <c r="R14" i="11"/>
  <c r="Q14" i="11"/>
  <c r="P14" i="11"/>
  <c r="O14" i="11"/>
  <c r="H17" i="16"/>
  <c r="AA6" i="18"/>
  <c r="T13" i="7"/>
  <c r="X15" i="5"/>
  <c r="T15" i="5"/>
  <c r="S15" i="5"/>
  <c r="R15" i="5"/>
  <c r="Q15" i="5"/>
  <c r="P15" i="5"/>
  <c r="K15" i="5"/>
  <c r="AA14" i="6"/>
  <c r="X15" i="12"/>
  <c r="P15" i="12"/>
  <c r="M15" i="12"/>
  <c r="F15" i="12"/>
  <c r="E15" i="12"/>
  <c r="AB15" i="12"/>
  <c r="D15" i="12"/>
  <c r="AA15" i="12"/>
  <c r="C15" i="12"/>
  <c r="V15" i="12"/>
  <c r="T15" i="12"/>
  <c r="S15" i="12"/>
  <c r="R15" i="12"/>
  <c r="Q15" i="12"/>
  <c r="O15" i="12"/>
  <c r="N15" i="12"/>
  <c r="L15" i="12"/>
  <c r="K15" i="12"/>
  <c r="J15" i="12"/>
  <c r="I15" i="12"/>
  <c r="T3" i="5"/>
  <c r="C15" i="5"/>
  <c r="J17" i="5"/>
  <c r="J8" i="6"/>
  <c r="X15" i="6"/>
  <c r="S15" i="6"/>
  <c r="J15" i="6"/>
  <c r="I15" i="6"/>
  <c r="E15" i="6"/>
  <c r="H15" i="6"/>
  <c r="F15" i="6"/>
  <c r="G15" i="6"/>
  <c r="Y15" i="6"/>
  <c r="S6" i="7"/>
  <c r="Y14" i="7"/>
  <c r="S3" i="8"/>
  <c r="P7" i="8"/>
  <c r="Q12" i="8"/>
  <c r="F15" i="8"/>
  <c r="I7" i="11"/>
  <c r="E14" i="11"/>
  <c r="G15" i="12"/>
  <c r="R17" i="16"/>
  <c r="X15" i="14"/>
  <c r="T15" i="14"/>
  <c r="Q15" i="14"/>
  <c r="J15" i="14"/>
  <c r="I15" i="14"/>
  <c r="H15" i="14"/>
  <c r="G15" i="14"/>
  <c r="AB15" i="14"/>
  <c r="AA15" i="14"/>
  <c r="Z15" i="14"/>
  <c r="Y15" i="14"/>
  <c r="W15" i="14"/>
  <c r="V15" i="14"/>
  <c r="U15" i="14"/>
  <c r="S15" i="14"/>
  <c r="R15" i="14"/>
  <c r="P15" i="14"/>
  <c r="O15" i="14"/>
  <c r="N15" i="14"/>
  <c r="M15" i="14"/>
  <c r="L15" i="14"/>
  <c r="K15" i="14"/>
  <c r="F15" i="14"/>
  <c r="D15" i="5"/>
  <c r="AA14" i="7"/>
  <c r="V3" i="8"/>
  <c r="Q7" i="8"/>
  <c r="X14" i="10"/>
  <c r="R14" i="10"/>
  <c r="K14" i="10"/>
  <c r="I14" i="10"/>
  <c r="H14" i="10"/>
  <c r="Y14" i="10"/>
  <c r="T14" i="10"/>
  <c r="S14" i="10"/>
  <c r="Q14" i="10"/>
  <c r="P14" i="10"/>
  <c r="O14" i="10"/>
  <c r="N14" i="10"/>
  <c r="M14" i="10"/>
  <c r="J14" i="10"/>
  <c r="G14" i="10"/>
  <c r="F14" i="10"/>
  <c r="Z7" i="11"/>
  <c r="F14" i="11"/>
  <c r="H15" i="12"/>
  <c r="U17" i="16"/>
  <c r="X14" i="8"/>
  <c r="P14" i="8"/>
  <c r="Y14" i="8"/>
  <c r="W14" i="8"/>
  <c r="V14" i="8"/>
  <c r="U14" i="8"/>
  <c r="T14" i="8"/>
  <c r="S14" i="8"/>
  <c r="Q14" i="8"/>
  <c r="O14" i="8"/>
  <c r="N14" i="8"/>
  <c r="P6" i="18"/>
  <c r="D15" i="14"/>
  <c r="F14" i="8"/>
  <c r="X14" i="6"/>
  <c r="AB15" i="7"/>
  <c r="Y2" i="7"/>
  <c r="L2" i="7"/>
  <c r="S2" i="7"/>
  <c r="K17" i="5"/>
  <c r="U8" i="6"/>
  <c r="H2" i="7"/>
  <c r="U6" i="7"/>
  <c r="E15" i="5"/>
  <c r="P17" i="5"/>
  <c r="D15" i="6"/>
  <c r="I2" i="7"/>
  <c r="V6" i="7"/>
  <c r="AB14" i="7"/>
  <c r="W3" i="8"/>
  <c r="S7" i="8"/>
  <c r="U12" i="8"/>
  <c r="H15" i="8"/>
  <c r="S13" i="9"/>
  <c r="AA13" i="9"/>
  <c r="Z13" i="9"/>
  <c r="X13" i="9"/>
  <c r="W13" i="9"/>
  <c r="Q13" i="9"/>
  <c r="Q8" i="10"/>
  <c r="AB8" i="10"/>
  <c r="Z8" i="10"/>
  <c r="C14" i="10"/>
  <c r="AA7" i="11"/>
  <c r="G14" i="11"/>
  <c r="W15" i="12"/>
  <c r="S17" i="6"/>
  <c r="V8" i="7"/>
  <c r="Z2" i="8"/>
  <c r="L2" i="10"/>
  <c r="Q8" i="12"/>
  <c r="S2" i="13"/>
  <c r="D2" i="13"/>
  <c r="AB2" i="13"/>
  <c r="Q2" i="13"/>
  <c r="P2" i="13"/>
  <c r="O2" i="13"/>
  <c r="N2" i="13"/>
  <c r="K3" i="13"/>
  <c r="T12" i="13"/>
  <c r="N15" i="13"/>
  <c r="AA2" i="8"/>
  <c r="W8" i="9"/>
  <c r="I8" i="9"/>
  <c r="Y8" i="9"/>
  <c r="X8" i="9"/>
  <c r="M2" i="10"/>
  <c r="W7" i="12"/>
  <c r="V7" i="12"/>
  <c r="S7" i="12"/>
  <c r="P7" i="12"/>
  <c r="R8" i="12"/>
  <c r="L3" i="13"/>
  <c r="V12" i="13"/>
  <c r="O15" i="13"/>
  <c r="Z7" i="14"/>
  <c r="AB7" i="14"/>
  <c r="W7" i="14"/>
  <c r="M7" i="14"/>
  <c r="L7" i="14"/>
  <c r="K7" i="14"/>
  <c r="J7" i="14"/>
  <c r="G8" i="15"/>
  <c r="D8" i="15"/>
  <c r="Y8" i="15"/>
  <c r="X8" i="15"/>
  <c r="W8" i="15"/>
  <c r="T8" i="15"/>
  <c r="N2" i="10"/>
  <c r="D7" i="12"/>
  <c r="S8" i="12"/>
  <c r="M3" i="13"/>
  <c r="P15" i="13"/>
  <c r="L3" i="14"/>
  <c r="I3" i="14"/>
  <c r="AB3" i="14"/>
  <c r="Z3" i="14"/>
  <c r="Y3" i="14"/>
  <c r="X3" i="14"/>
  <c r="C7" i="14"/>
  <c r="C8" i="15"/>
  <c r="AA17" i="17"/>
  <c r="Z17" i="17"/>
  <c r="W17" i="17"/>
  <c r="U17" i="17"/>
  <c r="Q17" i="17"/>
  <c r="O17" i="17"/>
  <c r="M17" i="17"/>
  <c r="L17" i="17"/>
  <c r="E17" i="17"/>
  <c r="W13" i="13"/>
  <c r="S13" i="13"/>
  <c r="R13" i="13"/>
  <c r="Q13" i="13"/>
  <c r="P13" i="13"/>
  <c r="V15" i="13"/>
  <c r="C3" i="14"/>
  <c r="D7" i="14"/>
  <c r="X7" i="15"/>
  <c r="K7" i="15"/>
  <c r="H7" i="15"/>
  <c r="W7" i="15"/>
  <c r="V7" i="15"/>
  <c r="U7" i="15"/>
  <c r="T7" i="15"/>
  <c r="E8" i="15"/>
  <c r="R17" i="17"/>
  <c r="W15" i="13"/>
  <c r="X17" i="17"/>
  <c r="G7" i="7"/>
  <c r="L7" i="7"/>
  <c r="AB7" i="7"/>
  <c r="Y12" i="9"/>
  <c r="X12" i="9"/>
  <c r="Y2" i="10"/>
  <c r="Q2" i="11"/>
  <c r="M12" i="11"/>
  <c r="J12" i="11"/>
  <c r="G7" i="12"/>
  <c r="H12" i="12"/>
  <c r="G13" i="13"/>
  <c r="Y15" i="13"/>
  <c r="E3" i="14"/>
  <c r="G7" i="14"/>
  <c r="D7" i="15"/>
  <c r="Y17" i="17"/>
  <c r="C7" i="7"/>
  <c r="Y7" i="9"/>
  <c r="G7" i="9"/>
  <c r="W7" i="9"/>
  <c r="V7" i="9"/>
  <c r="G8" i="9"/>
  <c r="Y7" i="5"/>
  <c r="O14" i="5"/>
  <c r="D7" i="7"/>
  <c r="C8" i="7"/>
  <c r="H12" i="7"/>
  <c r="C3" i="9"/>
  <c r="C7" i="9"/>
  <c r="K8" i="9"/>
  <c r="C12" i="9"/>
  <c r="X14" i="9"/>
  <c r="R14" i="9"/>
  <c r="I14" i="9"/>
  <c r="H14" i="9"/>
  <c r="AB14" i="9"/>
  <c r="Z2" i="10"/>
  <c r="R3" i="11"/>
  <c r="P3" i="11"/>
  <c r="M3" i="11"/>
  <c r="C12" i="11"/>
  <c r="I7" i="12"/>
  <c r="Z12" i="12"/>
  <c r="I2" i="13"/>
  <c r="H13" i="13"/>
  <c r="Z15" i="13"/>
  <c r="F3" i="14"/>
  <c r="H7" i="14"/>
  <c r="AB13" i="14"/>
  <c r="R13" i="14"/>
  <c r="E7" i="15"/>
  <c r="J8" i="15"/>
  <c r="AB17" i="17"/>
  <c r="F3" i="9"/>
  <c r="D7" i="9"/>
  <c r="L8" i="9"/>
  <c r="D12" i="9"/>
  <c r="C14" i="9"/>
  <c r="AA15" i="9"/>
  <c r="Y15" i="9"/>
  <c r="M15" i="9"/>
  <c r="AA2" i="10"/>
  <c r="C3" i="11"/>
  <c r="E12" i="11"/>
  <c r="J7" i="12"/>
  <c r="AA12" i="12"/>
  <c r="J2" i="13"/>
  <c r="K13" i="13"/>
  <c r="AA15" i="13"/>
  <c r="G3" i="14"/>
  <c r="I7" i="14"/>
  <c r="F7" i="15"/>
  <c r="K8" i="15"/>
  <c r="O2" i="8"/>
  <c r="D2" i="8"/>
  <c r="E7" i="7"/>
  <c r="N17" i="6"/>
  <c r="L17" i="6"/>
  <c r="AB17" i="6"/>
  <c r="F7" i="7"/>
  <c r="K12" i="7"/>
  <c r="H2" i="8"/>
  <c r="E6" i="8"/>
  <c r="G3" i="9"/>
  <c r="F7" i="9"/>
  <c r="M8" i="9"/>
  <c r="E12" i="9"/>
  <c r="D14" i="9"/>
  <c r="K15" i="9"/>
  <c r="D3" i="11"/>
  <c r="F12" i="11"/>
  <c r="K7" i="12"/>
  <c r="L2" i="13"/>
  <c r="M13" i="13"/>
  <c r="J3" i="14"/>
  <c r="N7" i="14"/>
  <c r="G7" i="15"/>
  <c r="L8" i="15"/>
  <c r="X12" i="17"/>
  <c r="O12" i="17"/>
  <c r="I12" i="17"/>
  <c r="F12" i="17"/>
  <c r="E12" i="17"/>
  <c r="AB12" i="17"/>
  <c r="Y12" i="17"/>
  <c r="W12" i="17"/>
  <c r="V12" i="17"/>
  <c r="U12" i="17"/>
  <c r="T12" i="17"/>
  <c r="Q12" i="17"/>
  <c r="F12" i="7"/>
  <c r="X8" i="7"/>
  <c r="I8" i="7"/>
  <c r="AB8" i="7"/>
  <c r="G12" i="7"/>
  <c r="C2" i="8"/>
  <c r="V14" i="5"/>
  <c r="D8" i="7"/>
  <c r="J12" i="7"/>
  <c r="G2" i="8"/>
  <c r="AA7" i="5"/>
  <c r="W14" i="5"/>
  <c r="AB7" i="5"/>
  <c r="Y14" i="5"/>
  <c r="AB13" i="6"/>
  <c r="S13" i="6"/>
  <c r="C17" i="6"/>
  <c r="H7" i="7"/>
  <c r="F8" i="7"/>
  <c r="L12" i="7"/>
  <c r="I2" i="8"/>
  <c r="F6" i="8"/>
  <c r="AB13" i="8"/>
  <c r="K3" i="9"/>
  <c r="I7" i="9"/>
  <c r="N8" i="9"/>
  <c r="H12" i="9"/>
  <c r="E14" i="9"/>
  <c r="Z15" i="9"/>
  <c r="Z17" i="9"/>
  <c r="P17" i="9"/>
  <c r="E3" i="11"/>
  <c r="G12" i="11"/>
  <c r="X7" i="12"/>
  <c r="M2" i="13"/>
  <c r="N13" i="13"/>
  <c r="K3" i="14"/>
  <c r="U6" i="14"/>
  <c r="Z6" i="14"/>
  <c r="T6" i="14"/>
  <c r="M6" i="14"/>
  <c r="L6" i="14"/>
  <c r="K6" i="14"/>
  <c r="J6" i="14"/>
  <c r="O7" i="14"/>
  <c r="K13" i="14"/>
  <c r="I7" i="15"/>
  <c r="M8" i="15"/>
  <c r="Z6" i="16"/>
  <c r="V6" i="16"/>
  <c r="Q6" i="16"/>
  <c r="O6" i="16"/>
  <c r="K6" i="16"/>
  <c r="I6" i="16"/>
  <c r="H6" i="16"/>
  <c r="G6" i="16"/>
  <c r="F6" i="16"/>
  <c r="C12" i="17"/>
  <c r="Y7" i="12"/>
  <c r="O13" i="13"/>
  <c r="M3" i="14"/>
  <c r="P7" i="14"/>
  <c r="G6" i="15"/>
  <c r="N6" i="15"/>
  <c r="K6" i="15"/>
  <c r="AB6" i="15"/>
  <c r="AA6" i="15"/>
  <c r="X6" i="15"/>
  <c r="W6" i="15"/>
  <c r="J7" i="15"/>
  <c r="N8" i="15"/>
  <c r="D12" i="17"/>
  <c r="X15" i="13"/>
  <c r="H15" i="13"/>
  <c r="E15" i="13"/>
  <c r="T15" i="13"/>
  <c r="S15" i="13"/>
  <c r="R15" i="13"/>
  <c r="Q15" i="13"/>
  <c r="E6" i="17"/>
  <c r="L6" i="17"/>
  <c r="W2" i="10"/>
  <c r="D2" i="10"/>
  <c r="X2" i="10"/>
  <c r="V2" i="10"/>
  <c r="P13" i="10"/>
  <c r="G8" i="12"/>
  <c r="C8" i="12"/>
  <c r="X8" i="12"/>
  <c r="W8" i="12"/>
  <c r="V8" i="12"/>
  <c r="U8" i="12"/>
  <c r="X13" i="13"/>
  <c r="D15" i="13"/>
  <c r="T3" i="14"/>
  <c r="X7" i="14"/>
  <c r="O7" i="15"/>
  <c r="AA8" i="15"/>
  <c r="C6" i="17"/>
  <c r="AB6" i="13"/>
  <c r="AA6" i="13"/>
  <c r="Z6" i="13"/>
  <c r="P6" i="13"/>
  <c r="F15" i="13"/>
  <c r="G6" i="17"/>
  <c r="AA3" i="13"/>
  <c r="D3" i="13"/>
  <c r="AB3" i="13"/>
  <c r="W3" i="13"/>
  <c r="V3" i="13"/>
  <c r="P3" i="13"/>
  <c r="G6" i="13"/>
  <c r="AB12" i="13"/>
  <c r="X12" i="13"/>
  <c r="U12" i="13"/>
  <c r="J12" i="13"/>
  <c r="I12" i="13"/>
  <c r="H12" i="13"/>
  <c r="D12" i="13"/>
  <c r="G15" i="13"/>
  <c r="Q7" i="15"/>
  <c r="M6" i="17"/>
  <c r="O3" i="19"/>
  <c r="J3" i="19"/>
  <c r="I3" i="19"/>
  <c r="H3" i="19"/>
  <c r="G3" i="19"/>
  <c r="D3" i="19"/>
  <c r="AB3" i="19"/>
  <c r="C3" i="19"/>
  <c r="Y3" i="19"/>
  <c r="W3" i="19"/>
  <c r="U3" i="19"/>
  <c r="T3" i="19"/>
  <c r="S3" i="19"/>
  <c r="R3" i="19"/>
  <c r="Q3" i="19"/>
  <c r="P3" i="19"/>
  <c r="N3" i="19"/>
  <c r="M3" i="19"/>
  <c r="K3" i="19"/>
  <c r="AB8" i="18"/>
  <c r="Y12" i="18"/>
  <c r="W17" i="18"/>
  <c r="H2" i="19"/>
  <c r="N6" i="19"/>
  <c r="M8" i="19"/>
  <c r="C12" i="19"/>
  <c r="K13" i="19"/>
  <c r="T14" i="19"/>
  <c r="F2" i="18"/>
  <c r="C8" i="18"/>
  <c r="Z12" i="18"/>
  <c r="Y17" i="18"/>
  <c r="M2" i="19"/>
  <c r="O6" i="19"/>
  <c r="N8" i="19"/>
  <c r="E12" i="19"/>
  <c r="L13" i="19"/>
  <c r="U14" i="19"/>
  <c r="G2" i="18"/>
  <c r="D8" i="18"/>
  <c r="AB12" i="18"/>
  <c r="AA17" i="18"/>
  <c r="N2" i="19"/>
  <c r="R6" i="19"/>
  <c r="O8" i="19"/>
  <c r="F12" i="19"/>
  <c r="M13" i="19"/>
  <c r="V14" i="19"/>
  <c r="AB17" i="18"/>
  <c r="O2" i="19"/>
  <c r="W6" i="19"/>
  <c r="P8" i="19"/>
  <c r="G12" i="19"/>
  <c r="O13" i="19"/>
  <c r="AB14" i="19"/>
  <c r="F15" i="17"/>
  <c r="F8" i="18"/>
  <c r="G13" i="18"/>
  <c r="P2" i="19"/>
  <c r="Q8" i="19"/>
  <c r="P13" i="19"/>
  <c r="O6" i="11"/>
  <c r="S8" i="11"/>
  <c r="R14" i="13"/>
  <c r="Y2" i="14"/>
  <c r="Z12" i="15"/>
  <c r="Z13" i="15"/>
  <c r="AA15" i="15"/>
  <c r="U2" i="16"/>
  <c r="J14" i="16"/>
  <c r="F2" i="17"/>
  <c r="D7" i="17"/>
  <c r="H8" i="17"/>
  <c r="H15" i="17"/>
  <c r="L2" i="18"/>
  <c r="G8" i="18"/>
  <c r="H13" i="18"/>
  <c r="C17" i="18"/>
  <c r="R2" i="19"/>
  <c r="C7" i="19"/>
  <c r="R8" i="19"/>
  <c r="I12" i="19"/>
  <c r="Q13" i="19"/>
  <c r="C15" i="19"/>
  <c r="P6" i="11"/>
  <c r="T8" i="11"/>
  <c r="S14" i="13"/>
  <c r="AA12" i="15"/>
  <c r="AA13" i="15"/>
  <c r="W2" i="16"/>
  <c r="Y14" i="16"/>
  <c r="G2" i="17"/>
  <c r="E7" i="17"/>
  <c r="J8" i="17"/>
  <c r="I15" i="17"/>
  <c r="M2" i="18"/>
  <c r="J8" i="18"/>
  <c r="P13" i="18"/>
  <c r="D17" i="18"/>
  <c r="S2" i="19"/>
  <c r="F7" i="19"/>
  <c r="S8" i="19"/>
  <c r="J12" i="19"/>
  <c r="T13" i="19"/>
  <c r="E15" i="19"/>
  <c r="AB13" i="15"/>
  <c r="X2" i="16"/>
  <c r="I2" i="17"/>
  <c r="F7" i="17"/>
  <c r="N8" i="17"/>
  <c r="N15" i="17"/>
  <c r="N2" i="18"/>
  <c r="K8" i="18"/>
  <c r="E17" i="18"/>
  <c r="U2" i="19"/>
  <c r="G7" i="19"/>
  <c r="T8" i="19"/>
  <c r="L12" i="19"/>
  <c r="V13" i="19"/>
  <c r="F15" i="19"/>
  <c r="R6" i="11"/>
  <c r="C12" i="15"/>
  <c r="Y2" i="16"/>
  <c r="K15" i="16"/>
  <c r="J2" i="17"/>
  <c r="G7" i="17"/>
  <c r="O8" i="17"/>
  <c r="O2" i="18"/>
  <c r="M8" i="18"/>
  <c r="G17" i="18"/>
  <c r="V2" i="19"/>
  <c r="H7" i="19"/>
  <c r="V8" i="19"/>
  <c r="P12" i="19"/>
  <c r="W13" i="19"/>
  <c r="G15" i="19"/>
  <c r="W2" i="17"/>
  <c r="J7" i="17"/>
  <c r="Q8" i="17"/>
  <c r="R2" i="18"/>
  <c r="O8" i="18"/>
  <c r="L14" i="18"/>
  <c r="J17" i="18"/>
  <c r="X2" i="19"/>
  <c r="M7" i="19"/>
  <c r="Y8" i="19"/>
  <c r="R12" i="19"/>
  <c r="Z13" i="19"/>
  <c r="L15" i="19"/>
  <c r="C17" i="19"/>
  <c r="S2" i="18"/>
  <c r="P8" i="18"/>
  <c r="Q14" i="18"/>
  <c r="L17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S3" i="16"/>
  <c r="R7" i="17"/>
  <c r="U8" i="17"/>
  <c r="N13" i="17"/>
  <c r="X2" i="18"/>
  <c r="S8" i="18"/>
  <c r="V14" i="18"/>
  <c r="O17" i="18"/>
  <c r="C8" i="19"/>
  <c r="Y12" i="19"/>
  <c r="G14" i="19"/>
  <c r="Q15" i="19"/>
  <c r="M17" i="19"/>
  <c r="I7" i="13"/>
  <c r="L12" i="15"/>
  <c r="J13" i="15"/>
  <c r="L17" i="15"/>
  <c r="T3" i="16"/>
  <c r="S7" i="17"/>
  <c r="V8" i="17"/>
  <c r="Q13" i="17"/>
  <c r="Y2" i="18"/>
  <c r="T8" i="18"/>
  <c r="X14" i="18"/>
  <c r="P17" i="18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E8" i="11"/>
  <c r="N7" i="13"/>
  <c r="O12" i="15"/>
  <c r="M13" i="15"/>
  <c r="V7" i="17"/>
  <c r="AA8" i="17"/>
  <c r="U13" i="17"/>
  <c r="W8" i="18"/>
  <c r="S17" i="18"/>
  <c r="E6" i="19"/>
  <c r="G8" i="19"/>
  <c r="C13" i="19"/>
  <c r="L14" i="19"/>
  <c r="AB15" i="19"/>
  <c r="V17" i="19"/>
  <c r="G6" i="19"/>
  <c r="H8" i="19"/>
  <c r="D13" i="19"/>
  <c r="O14" i="19"/>
  <c r="Y17" i="19"/>
  <c r="U17" i="18"/>
  <c r="C2" i="19"/>
  <c r="H6" i="19"/>
  <c r="J8" i="19"/>
  <c r="E13" i="19"/>
  <c r="Q14" i="19"/>
  <c r="AA17" i="19"/>
  <c r="V17" i="18"/>
  <c r="F2" i="19"/>
  <c r="J6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<sst xmlns="http://schemas.openxmlformats.org/spreadsheetml/2006/main" count="3113" uniqueCount="587">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</sst>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181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WI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1.6013640757628643E-2</v>
      </c>
      <c r="C2" s="7">
        <f>$B2 * IFERROR(VLOOKUP("transport|PM25|Premature mortality", US_national_yearly!$D:$AM, 11, FALSE) / VLOOKUP("transport|PM25|Premature mortality", US_national_yearly!$D:$AM, 10, FALSE), 1)</f>
        <v>1.6212174809351564E-2</v>
      </c>
      <c r="D2" s="7">
        <f>$B2 * IFERROR(VLOOKUP("transport|PM25|Premature mortality", US_national_yearly!$D:$AM, 12, FALSE) / VLOOKUP("transport|PM25|Premature mortality", US_national_yearly!$D:$AM, 10, FALSE), 1)</f>
        <v>1.6410708861074482E-2</v>
      </c>
      <c r="E2" s="7">
        <f>$B2 * IFERROR(VLOOKUP("transport|PM25|Premature mortality", US_national_yearly!$D:$AM, 13, FALSE) / VLOOKUP("transport|PM25|Premature mortality", US_national_yearly!$D:$AM, 10, FALSE), 1)</f>
        <v>1.66092429127974E-2</v>
      </c>
      <c r="F2" s="7">
        <f>$B2 * IFERROR(VLOOKUP("transport|PM25|Premature mortality", US_national_yearly!$D:$AM, 14, FALSE) / VLOOKUP("transport|PM25|Premature mortality", US_national_yearly!$D:$AM, 10, FALSE), 1)</f>
        <v>1.6807776964520318E-2</v>
      </c>
      <c r="G2" s="7">
        <f>$B2 * IFERROR(VLOOKUP("transport|PM25|Premature mortality", US_national_yearly!$D:$AM, 15, FALSE) / VLOOKUP("transport|PM25|Premature mortality", US_national_yearly!$D:$AM, 10, FALSE), 1)</f>
        <v>1.7194420532942328E-2</v>
      </c>
      <c r="H2" s="7">
        <f>$B2 * IFERROR(VLOOKUP("transport|PM25|Premature mortality", US_national_yearly!$D:$AM, 16, FALSE) / VLOOKUP("transport|PM25|Premature mortality", US_national_yearly!$D:$AM, 10, FALSE), 1)</f>
        <v>1.7581064101364337E-2</v>
      </c>
      <c r="I2" s="7">
        <f>$B2 * IFERROR(VLOOKUP("transport|PM25|Premature mortality", US_national_yearly!$D:$AM, 17, FALSE) / VLOOKUP("transport|PM25|Premature mortality", US_national_yearly!$D:$AM, 10, FALSE), 1)</f>
        <v>1.783502787291729E-2</v>
      </c>
      <c r="J2" s="7">
        <f>$B2 * IFERROR(VLOOKUP("transport|PM25|Premature mortality", US_national_yearly!$D:$AM, 18, FALSE) / VLOOKUP("transport|PM25|Premature mortality", US_national_yearly!$D:$AM, 10, FALSE), 1)</f>
        <v>1.808899164447025E-2</v>
      </c>
      <c r="K2" s="7">
        <f>$B2 * IFERROR(VLOOKUP("transport|PM25|Premature mortality", US_national_yearly!$D:$AM, 19, FALSE) / VLOOKUP("transport|PM25|Premature mortality", US_national_yearly!$D:$AM, 10, FALSE), 1)</f>
        <v>1.8342955416023203E-2</v>
      </c>
      <c r="L2" s="7">
        <f>$B2 * IFERROR(VLOOKUP("transport|PM25|Premature mortality", US_national_yearly!$D:$AM, 20, FALSE) / VLOOKUP("transport|PM25|Premature mortality", US_national_yearly!$D:$AM, 10, FALSE), 1)</f>
        <v>1.8596919187576163E-2</v>
      </c>
      <c r="M2" s="7">
        <f>$B2 * IFERROR(VLOOKUP("transport|PM25|Premature mortality", US_national_yearly!$D:$AM, 21, FALSE) / VLOOKUP("transport|PM25|Premature mortality", US_national_yearly!$D:$AM, 10, FALSE), 1)</f>
        <v>1.8850882959129119E-2</v>
      </c>
      <c r="N2" s="7">
        <f>$B2 * IFERROR(VLOOKUP("transport|PM25|Premature mortality", US_national_yearly!$D:$AM, 22, FALSE) / VLOOKUP("transport|PM25|Premature mortality", US_national_yearly!$D:$AM, 10, FALSE), 1)</f>
        <v>1.9048069664459707E-2</v>
      </c>
      <c r="O2" s="7">
        <f>$B2 * IFERROR(VLOOKUP("transport|PM25|Premature mortality", US_national_yearly!$D:$AM, 23, FALSE) / VLOOKUP("transport|PM25|Premature mortality", US_national_yearly!$D:$AM, 10, FALSE), 1)</f>
        <v>1.9245256369790291E-2</v>
      </c>
      <c r="P2" s="7">
        <f>$B2 * IFERROR(VLOOKUP("transport|PM25|Premature mortality", US_national_yearly!$D:$AM, 24, FALSE) / VLOOKUP("transport|PM25|Premature mortality", US_national_yearly!$D:$AM, 10, FALSE), 1)</f>
        <v>1.9442443075120875E-2</v>
      </c>
      <c r="Q2" s="7">
        <f>$B2 * IFERROR(VLOOKUP("transport|PM25|Premature mortality", US_national_yearly!$D:$AM, 25, FALSE) / VLOOKUP("transport|PM25|Premature mortality", US_national_yearly!$D:$AM, 10, FALSE), 1)</f>
        <v>1.9639629780451463E-2</v>
      </c>
      <c r="R2" s="7">
        <f>$B2 * IFERROR(VLOOKUP("transport|PM25|Premature mortality", US_national_yearly!$D:$AM, 26, FALSE) / VLOOKUP("transport|PM25|Premature mortality", US_national_yearly!$D:$AM, 10, FALSE), 1)</f>
        <v>1.983681648578205E-2</v>
      </c>
      <c r="S2" s="7">
        <f>$B2 * IFERROR(VLOOKUP("transport|PM25|Premature mortality", US_national_yearly!$D:$AM, 27, FALSE) / VLOOKUP("transport|PM25|Premature mortality", US_national_yearly!$D:$AM, 10, FALSE), 1)</f>
        <v>1.9941280143653907E-2</v>
      </c>
      <c r="T2" s="7">
        <f>$B2 * IFERROR(VLOOKUP("transport|PM25|Premature mortality", US_national_yearly!$D:$AM, 28, FALSE) / VLOOKUP("transport|PM25|Premature mortality", US_national_yearly!$D:$AM, 10, FALSE), 1)</f>
        <v>2.0045743801525764E-2</v>
      </c>
      <c r="U2" s="7">
        <f>$B2 * IFERROR(VLOOKUP("transport|PM25|Premature mortality", US_national_yearly!$D:$AM, 29, FALSE) / VLOOKUP("transport|PM25|Premature mortality", US_national_yearly!$D:$AM, 10, FALSE), 1)</f>
        <v>2.0150207459397617E-2</v>
      </c>
      <c r="V2" s="7">
        <f>$B2 * IFERROR(VLOOKUP("transport|PM25|Premature mortality", US_national_yearly!$D:$AM, 30, FALSE) / VLOOKUP("transport|PM25|Premature mortality", US_national_yearly!$D:$AM, 10, FALSE), 1)</f>
        <v>2.025467111726947E-2</v>
      </c>
      <c r="W2" s="7">
        <f>$B2 * IFERROR(VLOOKUP("transport|PM25|Premature mortality", US_national_yearly!$D:$AM, 31, FALSE) / VLOOKUP("transport|PM25|Premature mortality", US_national_yearly!$D:$AM, 10, FALSE), 1)</f>
        <v>2.0359134775141327E-2</v>
      </c>
      <c r="X2" s="7">
        <f>$B2 * IFERROR(VLOOKUP("transport|PM25|Premature mortality", US_national_yearly!$D:$AM, 32, FALSE) / VLOOKUP("transport|PM25|Premature mortality", US_national_yearly!$D:$AM, 10, FALSE), 1)</f>
        <v>2.0377401053802591E-2</v>
      </c>
      <c r="Y2" s="7">
        <f>$B2 * IFERROR(VLOOKUP("transport|PM25|Premature mortality", US_national_yearly!$D:$AM, 33, FALSE) / VLOOKUP("transport|PM25|Premature mortality", US_national_yearly!$D:$AM, 10, FALSE), 1)</f>
        <v>2.0395667332463861E-2</v>
      </c>
      <c r="Z2" s="7">
        <f>$B2 * IFERROR(VLOOKUP("transport|PM25|Premature mortality", US_national_yearly!$D:$AM, 34, FALSE) / VLOOKUP("transport|PM25|Premature mortality", US_national_yearly!$D:$AM, 10, FALSE), 1)</f>
        <v>2.0413933611125128E-2</v>
      </c>
      <c r="AA2" s="7">
        <f>$B2 * IFERROR(VLOOKUP("transport|PM25|Premature mortality", US_national_yearly!$D:$AM, 35, FALSE) / VLOOKUP("transport|PM25|Premature mortality", US_national_yearly!$D:$AM, 10, FALSE), 1)</f>
        <v>2.0432199889786399E-2</v>
      </c>
      <c r="AB2" s="7">
        <f>$B2 * IFERROR(VLOOKUP("transport|PM25|Premature mortality", US_national_yearly!$D:$AM, 36, FALSE) / VLOOKUP("transport|PM25|Premature mortality", US_national_yearly!$D:$AM, 10, FALSE), 1)</f>
        <v>2.0450466168447666E-2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2.9045379903340056E-5</v>
      </c>
      <c r="C3" s="7">
        <f>$B3 * IFERROR(VLOOKUP("transport|PM25|Infant mortality", US_national_yearly!$D:$AM, 11, FALSE) / VLOOKUP("transport|PM25|Infant mortality", US_national_yearly!$D:$AM, 10, FALSE), 1)</f>
        <v>2.8792130694681007E-5</v>
      </c>
      <c r="D3" s="7">
        <f>$B3 * IFERROR(VLOOKUP("transport|PM25|Infant mortality", US_national_yearly!$D:$AM, 12, FALSE) / VLOOKUP("transport|PM25|Infant mortality", US_national_yearly!$D:$AM, 10, FALSE), 1)</f>
        <v>2.8538881486021959E-5</v>
      </c>
      <c r="E3" s="7">
        <f>$B3 * IFERROR(VLOOKUP("transport|PM25|Infant mortality", US_national_yearly!$D:$AM, 13, FALSE) / VLOOKUP("transport|PM25|Infant mortality", US_national_yearly!$D:$AM, 10, FALSE), 1)</f>
        <v>2.828563227736291E-5</v>
      </c>
      <c r="F3" s="7">
        <f>$B3 * IFERROR(VLOOKUP("transport|PM25|Infant mortality", US_national_yearly!$D:$AM, 14, FALSE) / VLOOKUP("transport|PM25|Infant mortality", US_national_yearly!$D:$AM, 10, FALSE), 1)</f>
        <v>2.8032383068703858E-5</v>
      </c>
      <c r="G3" s="7">
        <f>$B3 * IFERROR(VLOOKUP("transport|PM25|Infant mortality", US_national_yearly!$D:$AM, 15, FALSE) / VLOOKUP("transport|PM25|Infant mortality", US_national_yearly!$D:$AM, 10, FALSE), 1)</f>
        <v>1.8643034247692106E-5</v>
      </c>
      <c r="H3" s="7">
        <f>$B3 * IFERROR(VLOOKUP("transport|PM25|Infant mortality", US_national_yearly!$D:$AM, 16, FALSE) / VLOOKUP("transport|PM25|Infant mortality", US_national_yearly!$D:$AM, 10, FALSE), 1)</f>
        <v>9.2536854266803465E-6</v>
      </c>
      <c r="I3" s="7">
        <f>$B3 * IFERROR(VLOOKUP("transport|PM25|Infant mortality", US_national_yearly!$D:$AM, 17, FALSE) / VLOOKUP("transport|PM25|Infant mortality", US_national_yearly!$D:$AM, 10, FALSE), 1)</f>
        <v>9.1931973066918486E-6</v>
      </c>
      <c r="J3" s="7">
        <f>$B3 * IFERROR(VLOOKUP("transport|PM25|Infant mortality", US_national_yearly!$D:$AM, 18, FALSE) / VLOOKUP("transport|PM25|Infant mortality", US_national_yearly!$D:$AM, 10, FALSE), 1)</f>
        <v>9.1327091867033473E-6</v>
      </c>
      <c r="K3" s="7">
        <f>$B3 * IFERROR(VLOOKUP("transport|PM25|Infant mortality", US_national_yearly!$D:$AM, 19, FALSE) / VLOOKUP("transport|PM25|Infant mortality", US_national_yearly!$D:$AM, 10, FALSE), 1)</f>
        <v>9.0722210667148476E-6</v>
      </c>
      <c r="L3" s="7">
        <f>$B3 * IFERROR(VLOOKUP("transport|PM25|Infant mortality", US_national_yearly!$D:$AM, 20, FALSE) / VLOOKUP("transport|PM25|Infant mortality", US_national_yearly!$D:$AM, 10, FALSE), 1)</f>
        <v>9.011732946726348E-6</v>
      </c>
      <c r="M3" s="7">
        <f>$B3 * IFERROR(VLOOKUP("transport|PM25|Infant mortality", US_national_yearly!$D:$AM, 21, FALSE) / VLOOKUP("transport|PM25|Infant mortality", US_national_yearly!$D:$AM, 10, FALSE), 1)</f>
        <v>8.9512448267378501E-6</v>
      </c>
      <c r="N3" s="7">
        <f>$B3 * IFERROR(VLOOKUP("transport|PM25|Infant mortality", US_national_yearly!$D:$AM, 22, FALSE) / VLOOKUP("transport|PM25|Infant mortality", US_national_yearly!$D:$AM, 10, FALSE), 1)</f>
        <v>8.9132515906961601E-6</v>
      </c>
      <c r="O3" s="7">
        <f>$B3 * IFERROR(VLOOKUP("transport|PM25|Infant mortality", US_national_yearly!$D:$AM, 23, FALSE) / VLOOKUP("transport|PM25|Infant mortality", US_national_yearly!$D:$AM, 10, FALSE), 1)</f>
        <v>8.8752583546544717E-6</v>
      </c>
      <c r="P3" s="7">
        <f>$B3 * IFERROR(VLOOKUP("transport|PM25|Infant mortality", US_national_yearly!$D:$AM, 24, FALSE) / VLOOKUP("transport|PM25|Infant mortality", US_national_yearly!$D:$AM, 10, FALSE), 1)</f>
        <v>8.8372651186127817E-6</v>
      </c>
      <c r="Q3" s="7">
        <f>$B3 * IFERROR(VLOOKUP("transport|PM25|Infant mortality", US_national_yearly!$D:$AM, 25, FALSE) / VLOOKUP("transport|PM25|Infant mortality", US_national_yearly!$D:$AM, 10, FALSE), 1)</f>
        <v>8.7992718825710934E-6</v>
      </c>
      <c r="R3" s="7">
        <f>$B3 * IFERROR(VLOOKUP("transport|PM25|Infant mortality", US_national_yearly!$D:$AM, 26, FALSE) / VLOOKUP("transport|PM25|Infant mortality", US_national_yearly!$D:$AM, 10, FALSE), 1)</f>
        <v>8.761278646529405E-6</v>
      </c>
      <c r="S3" s="7">
        <f>$B3 * IFERROR(VLOOKUP("transport|PM25|Infant mortality", US_national_yearly!$D:$AM, 27, FALSE) / VLOOKUP("transport|PM25|Infant mortality", US_national_yearly!$D:$AM, 10, FALSE), 1)</f>
        <v>8.713919300970991E-6</v>
      </c>
      <c r="T3" s="7">
        <f>$B3 * IFERROR(VLOOKUP("transport|PM25|Infant mortality", US_national_yearly!$D:$AM, 28, FALSE) / VLOOKUP("transport|PM25|Infant mortality", US_national_yearly!$D:$AM, 10, FALSE), 1)</f>
        <v>8.6665599554125769E-6</v>
      </c>
      <c r="U3" s="7">
        <f>$B3 * IFERROR(VLOOKUP("transport|PM25|Infant mortality", US_national_yearly!$D:$AM, 29, FALSE) / VLOOKUP("transport|PM25|Infant mortality", US_national_yearly!$D:$AM, 10, FALSE), 1)</f>
        <v>8.6192006098541628E-6</v>
      </c>
      <c r="V3" s="7">
        <f>$B3 * IFERROR(VLOOKUP("transport|PM25|Infant mortality", US_national_yearly!$D:$AM, 30, FALSE) / VLOOKUP("transport|PM25|Infant mortality", US_national_yearly!$D:$AM, 10, FALSE), 1)</f>
        <v>8.5718412642957505E-6</v>
      </c>
      <c r="W3" s="7">
        <f>$B3 * IFERROR(VLOOKUP("transport|PM25|Infant mortality", US_national_yearly!$D:$AM, 31, FALSE) / VLOOKUP("transport|PM25|Infant mortality", US_national_yearly!$D:$AM, 10, FALSE), 1)</f>
        <v>8.5244819187373347E-6</v>
      </c>
      <c r="X3" s="7">
        <f>$B3 * IFERROR(VLOOKUP("transport|PM25|Infant mortality", US_national_yearly!$D:$AM, 32, FALSE) / VLOOKUP("transport|PM25|Infant mortality", US_national_yearly!$D:$AM, 10, FALSE), 1)</f>
        <v>8.4734225917801118E-6</v>
      </c>
      <c r="Y3" s="7">
        <f>$B3 * IFERROR(VLOOKUP("transport|PM25|Infant mortality", US_national_yearly!$D:$AM, 33, FALSE) / VLOOKUP("transport|PM25|Infant mortality", US_national_yearly!$D:$AM, 10, FALSE), 1)</f>
        <v>8.4223632648228855E-6</v>
      </c>
      <c r="Z3" s="7">
        <f>$B3 * IFERROR(VLOOKUP("transport|PM25|Infant mortality", US_national_yearly!$D:$AM, 34, FALSE) / VLOOKUP("transport|PM25|Infant mortality", US_national_yearly!$D:$AM, 10, FALSE), 1)</f>
        <v>8.3713039378656626E-6</v>
      </c>
      <c r="AA3" s="7">
        <f>$B3 * IFERROR(VLOOKUP("transport|PM25|Infant mortality", US_national_yearly!$D:$AM, 35, FALSE) / VLOOKUP("transport|PM25|Infant mortality", US_national_yearly!$D:$AM, 10, FALSE), 1)</f>
        <v>8.320244610908438E-6</v>
      </c>
      <c r="AB3" s="7">
        <f>$B3 * IFERROR(VLOOKUP("transport|PM25|Infant mortality", US_national_yearly!$D:$AM, 36, FALSE) / VLOOKUP("transport|PM25|Infant mortality", US_national_yearly!$D:$AM, 10, FALSE), 1)</f>
        <v>8.2691852839512151E-6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3.8810022873533363E-2</v>
      </c>
      <c r="C6" s="7">
        <f>$B6 * IFERROR(VLOOKUP("transport|PM25|Asthma symptoms cough", US_national_yearly!$D:$AM, 11, FALSE) / VLOOKUP("transport|PM25|Asthma symptoms cough", US_national_yearly!$D:$AM, 10, FALSE), 1)</f>
        <v>3.8810022873533363E-2</v>
      </c>
      <c r="D6" s="7">
        <f>$B6 * IFERROR(VLOOKUP("transport|PM25|Asthma symptoms cough", US_national_yearly!$D:$AM, 12, FALSE) / VLOOKUP("transport|PM25|Asthma symptoms cough", US_national_yearly!$D:$AM, 10, FALSE), 1)</f>
        <v>3.8810022873533363E-2</v>
      </c>
      <c r="E6" s="7">
        <f>$B6 * IFERROR(VLOOKUP("transport|PM25|Asthma symptoms cough", US_national_yearly!$D:$AM, 13, FALSE) / VLOOKUP("transport|PM25|Asthma symptoms cough", US_national_yearly!$D:$AM, 10, FALSE), 1)</f>
        <v>3.8810022873533363E-2</v>
      </c>
      <c r="F6" s="7">
        <f>$B6 * IFERROR(VLOOKUP("transport|PM25|Asthma symptoms cough", US_national_yearly!$D:$AM, 14, FALSE) / VLOOKUP("transport|PM25|Asthma symptoms cough", US_national_yearly!$D:$AM, 10, FALSE), 1)</f>
        <v>3.8810022873533363E-2</v>
      </c>
      <c r="G6" s="7">
        <f>$B6 * IFERROR(VLOOKUP("transport|PM25|Asthma symptoms cough", US_national_yearly!$D:$AM, 15, FALSE) / VLOOKUP("transport|PM25|Asthma symptoms cough", US_national_yearly!$D:$AM, 10, FALSE), 1)</f>
        <v>3.8810022873533363E-2</v>
      </c>
      <c r="H6" s="7">
        <f>$B6 * IFERROR(VLOOKUP("transport|PM25|Asthma symptoms cough", US_national_yearly!$D:$AM, 16, FALSE) / VLOOKUP("transport|PM25|Asthma symptoms cough", US_national_yearly!$D:$AM, 10, FALSE), 1)</f>
        <v>3.8810022873533363E-2</v>
      </c>
      <c r="I6" s="7">
        <f>$B6 * IFERROR(VLOOKUP("transport|PM25|Asthma symptoms cough", US_national_yearly!$D:$AM, 17, FALSE) / VLOOKUP("transport|PM25|Asthma symptoms cough", US_national_yearly!$D:$AM, 10, FALSE), 1)</f>
        <v>3.8810022873533363E-2</v>
      </c>
      <c r="J6" s="7">
        <f>$B6 * IFERROR(VLOOKUP("transport|PM25|Asthma symptoms cough", US_national_yearly!$D:$AM, 18, FALSE) / VLOOKUP("transport|PM25|Asthma symptoms cough", US_national_yearly!$D:$AM, 10, FALSE), 1)</f>
        <v>3.8810022873533363E-2</v>
      </c>
      <c r="K6" s="7">
        <f>$B6 * IFERROR(VLOOKUP("transport|PM25|Asthma symptoms cough", US_national_yearly!$D:$AM, 19, FALSE) / VLOOKUP("transport|PM25|Asthma symptoms cough", US_national_yearly!$D:$AM, 10, FALSE), 1)</f>
        <v>3.8810022873533363E-2</v>
      </c>
      <c r="L6" s="7">
        <f>$B6 * IFERROR(VLOOKUP("transport|PM25|Asthma symptoms cough", US_national_yearly!$D:$AM, 20, FALSE) / VLOOKUP("transport|PM25|Asthma symptoms cough", US_national_yearly!$D:$AM, 10, FALSE), 1)</f>
        <v>3.8810022873533363E-2</v>
      </c>
      <c r="M6" s="7">
        <f>$B6 * IFERROR(VLOOKUP("transport|PM25|Asthma symptoms cough", US_national_yearly!$D:$AM, 21, FALSE) / VLOOKUP("transport|PM25|Asthma symptoms cough", US_national_yearly!$D:$AM, 10, FALSE), 1)</f>
        <v>3.8810022873533363E-2</v>
      </c>
      <c r="N6" s="7">
        <f>$B6 * IFERROR(VLOOKUP("transport|PM25|Asthma symptoms cough", US_national_yearly!$D:$AM, 22, FALSE) / VLOOKUP("transport|PM25|Asthma symptoms cough", US_national_yearly!$D:$AM, 10, FALSE), 1)</f>
        <v>3.8810022873533363E-2</v>
      </c>
      <c r="O6" s="7">
        <f>$B6 * IFERROR(VLOOKUP("transport|PM25|Asthma symptoms cough", US_national_yearly!$D:$AM, 23, FALSE) / VLOOKUP("transport|PM25|Asthma symptoms cough", US_national_yearly!$D:$AM, 10, FALSE), 1)</f>
        <v>3.8810022873533363E-2</v>
      </c>
      <c r="P6" s="7">
        <f>$B6 * IFERROR(VLOOKUP("transport|PM25|Asthma symptoms cough", US_national_yearly!$D:$AM, 24, FALSE) / VLOOKUP("transport|PM25|Asthma symptoms cough", US_national_yearly!$D:$AM, 10, FALSE), 1)</f>
        <v>3.8810022873533363E-2</v>
      </c>
      <c r="Q6" s="7">
        <f>$B6 * IFERROR(VLOOKUP("transport|PM25|Asthma symptoms cough", US_national_yearly!$D:$AM, 25, FALSE) / VLOOKUP("transport|PM25|Asthma symptoms cough", US_national_yearly!$D:$AM, 10, FALSE), 1)</f>
        <v>3.8810022873533363E-2</v>
      </c>
      <c r="R6" s="7">
        <f>$B6 * IFERROR(VLOOKUP("transport|PM25|Asthma symptoms cough", US_national_yearly!$D:$AM, 26, FALSE) / VLOOKUP("transport|PM25|Asthma symptoms cough", US_national_yearly!$D:$AM, 10, FALSE), 1)</f>
        <v>3.8810022873533363E-2</v>
      </c>
      <c r="S6" s="7">
        <f>$B6 * IFERROR(VLOOKUP("transport|PM25|Asthma symptoms cough", US_national_yearly!$D:$AM, 27, FALSE) / VLOOKUP("transport|PM25|Asthma symptoms cough", US_national_yearly!$D:$AM, 10, FALSE), 1)</f>
        <v>3.8810022873533363E-2</v>
      </c>
      <c r="T6" s="7">
        <f>$B6 * IFERROR(VLOOKUP("transport|PM25|Asthma symptoms cough", US_national_yearly!$D:$AM, 28, FALSE) / VLOOKUP("transport|PM25|Asthma symptoms cough", US_national_yearly!$D:$AM, 10, FALSE), 1)</f>
        <v>3.8810022873533363E-2</v>
      </c>
      <c r="U6" s="7">
        <f>$B6 * IFERROR(VLOOKUP("transport|PM25|Asthma symptoms cough", US_national_yearly!$D:$AM, 29, FALSE) / VLOOKUP("transport|PM25|Asthma symptoms cough", US_national_yearly!$D:$AM, 10, FALSE), 1)</f>
        <v>3.8810022873533363E-2</v>
      </c>
      <c r="V6" s="7">
        <f>$B6 * IFERROR(VLOOKUP("transport|PM25|Asthma symptoms cough", US_national_yearly!$D:$AM, 30, FALSE) / VLOOKUP("transport|PM25|Asthma symptoms cough", US_national_yearly!$D:$AM, 10, FALSE), 1)</f>
        <v>3.8810022873533363E-2</v>
      </c>
      <c r="W6" s="7">
        <f>$B6 * IFERROR(VLOOKUP("transport|PM25|Asthma symptoms cough", US_national_yearly!$D:$AM, 31, FALSE) / VLOOKUP("transport|PM25|Asthma symptoms cough", US_national_yearly!$D:$AM, 10, FALSE), 1)</f>
        <v>3.8810022873533363E-2</v>
      </c>
      <c r="X6" s="7">
        <f>$B6 * IFERROR(VLOOKUP("transport|PM25|Asthma symptoms cough", US_national_yearly!$D:$AM, 32, FALSE) / VLOOKUP("transport|PM25|Asthma symptoms cough", US_national_yearly!$D:$AM, 10, FALSE), 1)</f>
        <v>3.8810022873533363E-2</v>
      </c>
      <c r="Y6" s="7">
        <f>$B6 * IFERROR(VLOOKUP("transport|PM25|Asthma symptoms cough", US_national_yearly!$D:$AM, 33, FALSE) / VLOOKUP("transport|PM25|Asthma symptoms cough", US_national_yearly!$D:$AM, 10, FALSE), 1)</f>
        <v>3.8810022873533363E-2</v>
      </c>
      <c r="Z6" s="7">
        <f>$B6 * IFERROR(VLOOKUP("transport|PM25|Asthma symptoms cough", US_national_yearly!$D:$AM, 34, FALSE) / VLOOKUP("transport|PM25|Asthma symptoms cough", US_national_yearly!$D:$AM, 10, FALSE), 1)</f>
        <v>3.8810022873533363E-2</v>
      </c>
      <c r="AA6" s="7">
        <f>$B6 * IFERROR(VLOOKUP("transport|PM25|Asthma symptoms cough", US_national_yearly!$D:$AM, 35, FALSE) / VLOOKUP("transport|PM25|Asthma symptoms cough", US_national_yearly!$D:$AM, 10, FALSE), 1)</f>
        <v>3.8810022873533363E-2</v>
      </c>
      <c r="AB6" s="7">
        <f>$B6 * IFERROR(VLOOKUP("transport|PM25|Asthma symptoms cough", US_national_yearly!$D:$AM, 36, FALSE) / VLOOKUP("transport|PM25|Asthma symptoms cough", US_national_yearly!$D:$AM, 10, FALSE), 1)</f>
        <v>3.8810022873533363E-2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5.2262704840563272E-2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5.2262704840563272E-2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5.2262704840563272E-2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5.2262704840563272E-2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5.2262704840563272E-2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5.2262704840563272E-2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5.2262704840563272E-2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5.2262704840563272E-2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5.2262704840563272E-2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5.2262704840563272E-2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5.2262704840563272E-2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5.2262704840563272E-2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5.2262704840563272E-2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5.2262704840563272E-2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5.2262704840563272E-2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5.2262704840563272E-2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5.2262704840563272E-2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5.2262704840563272E-2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5.2262704840563272E-2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5.2262704840563272E-2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5.2262704840563272E-2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5.2262704840563272E-2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5.2262704840563272E-2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5.2262704840563272E-2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5.2262704840563272E-2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5.2262704840563272E-2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5.2262704840563272E-2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7.9850775675103042E-2</v>
      </c>
      <c r="C8" s="7">
        <f>$B8 * IFERROR(VLOOKUP("transport|PM25|Asthma symptoms wheeze", US_national_yearly!$D:$AM, 11, FALSE) / VLOOKUP("transport|PM25|Asthma symptoms wheeze", US_national_yearly!$D:$AM, 10, FALSE), 1)</f>
        <v>7.9850775675103042E-2</v>
      </c>
      <c r="D8" s="7">
        <f>$B8 * IFERROR(VLOOKUP("transport|PM25|Asthma symptoms wheeze", US_national_yearly!$D:$AM, 12, FALSE) / VLOOKUP("transport|PM25|Asthma symptoms wheeze", US_national_yearly!$D:$AM, 10, FALSE), 1)</f>
        <v>7.9850775675103042E-2</v>
      </c>
      <c r="E8" s="7">
        <f>$B8 * IFERROR(VLOOKUP("transport|PM25|Asthma symptoms wheeze", US_national_yearly!$D:$AM, 13, FALSE) / VLOOKUP("transport|PM25|Asthma symptoms wheeze", US_national_yearly!$D:$AM, 10, FALSE), 1)</f>
        <v>7.9850775675103042E-2</v>
      </c>
      <c r="F8" s="7">
        <f>$B8 * IFERROR(VLOOKUP("transport|PM25|Asthma symptoms wheeze", US_national_yearly!$D:$AM, 14, FALSE) / VLOOKUP("transport|PM25|Asthma symptoms wheeze", US_national_yearly!$D:$AM, 10, FALSE), 1)</f>
        <v>7.9850775675103042E-2</v>
      </c>
      <c r="G8" s="7">
        <f>$B8 * IFERROR(VLOOKUP("transport|PM25|Asthma symptoms wheeze", US_national_yearly!$D:$AM, 15, FALSE) / VLOOKUP("transport|PM25|Asthma symptoms wheeze", US_national_yearly!$D:$AM, 10, FALSE), 1)</f>
        <v>7.9850775675103042E-2</v>
      </c>
      <c r="H8" s="7">
        <f>$B8 * IFERROR(VLOOKUP("transport|PM25|Asthma symptoms wheeze", US_national_yearly!$D:$AM, 16, FALSE) / VLOOKUP("transport|PM25|Asthma symptoms wheeze", US_national_yearly!$D:$AM, 10, FALSE), 1)</f>
        <v>7.9850775675103042E-2</v>
      </c>
      <c r="I8" s="7">
        <f>$B8 * IFERROR(VLOOKUP("transport|PM25|Asthma symptoms wheeze", US_national_yearly!$D:$AM, 17, FALSE) / VLOOKUP("transport|PM25|Asthma symptoms wheeze", US_national_yearly!$D:$AM, 10, FALSE), 1)</f>
        <v>7.9850775675103042E-2</v>
      </c>
      <c r="J8" s="7">
        <f>$B8 * IFERROR(VLOOKUP("transport|PM25|Asthma symptoms wheeze", US_national_yearly!$D:$AM, 18, FALSE) / VLOOKUP("transport|PM25|Asthma symptoms wheeze", US_national_yearly!$D:$AM, 10, FALSE), 1)</f>
        <v>7.9850775675103042E-2</v>
      </c>
      <c r="K8" s="7">
        <f>$B8 * IFERROR(VLOOKUP("transport|PM25|Asthma symptoms wheeze", US_national_yearly!$D:$AM, 19, FALSE) / VLOOKUP("transport|PM25|Asthma symptoms wheeze", US_national_yearly!$D:$AM, 10, FALSE), 1)</f>
        <v>7.9850775675103042E-2</v>
      </c>
      <c r="L8" s="7">
        <f>$B8 * IFERROR(VLOOKUP("transport|PM25|Asthma symptoms wheeze", US_national_yearly!$D:$AM, 20, FALSE) / VLOOKUP("transport|PM25|Asthma symptoms wheeze", US_national_yearly!$D:$AM, 10, FALSE), 1)</f>
        <v>7.9850775675103042E-2</v>
      </c>
      <c r="M8" s="7">
        <f>$B8 * IFERROR(VLOOKUP("transport|PM25|Asthma symptoms wheeze", US_national_yearly!$D:$AM, 21, FALSE) / VLOOKUP("transport|PM25|Asthma symptoms wheeze", US_national_yearly!$D:$AM, 10, FALSE), 1)</f>
        <v>7.9850775675103042E-2</v>
      </c>
      <c r="N8" s="7">
        <f>$B8 * IFERROR(VLOOKUP("transport|PM25|Asthma symptoms wheeze", US_national_yearly!$D:$AM, 22, FALSE) / VLOOKUP("transport|PM25|Asthma symptoms wheeze", US_national_yearly!$D:$AM, 10, FALSE), 1)</f>
        <v>7.9850775675103042E-2</v>
      </c>
      <c r="O8" s="7">
        <f>$B8 * IFERROR(VLOOKUP("transport|PM25|Asthma symptoms wheeze", US_national_yearly!$D:$AM, 23, FALSE) / VLOOKUP("transport|PM25|Asthma symptoms wheeze", US_national_yearly!$D:$AM, 10, FALSE), 1)</f>
        <v>7.9850775675103042E-2</v>
      </c>
      <c r="P8" s="7">
        <f>$B8 * IFERROR(VLOOKUP("transport|PM25|Asthma symptoms wheeze", US_national_yearly!$D:$AM, 24, FALSE) / VLOOKUP("transport|PM25|Asthma symptoms wheeze", US_national_yearly!$D:$AM, 10, FALSE), 1)</f>
        <v>7.9850775675103042E-2</v>
      </c>
      <c r="Q8" s="7">
        <f>$B8 * IFERROR(VLOOKUP("transport|PM25|Asthma symptoms wheeze", US_national_yearly!$D:$AM, 25, FALSE) / VLOOKUP("transport|PM25|Asthma symptoms wheeze", US_national_yearly!$D:$AM, 10, FALSE), 1)</f>
        <v>7.9850775675103042E-2</v>
      </c>
      <c r="R8" s="7">
        <f>$B8 * IFERROR(VLOOKUP("transport|PM25|Asthma symptoms wheeze", US_national_yearly!$D:$AM, 26, FALSE) / VLOOKUP("transport|PM25|Asthma symptoms wheeze", US_national_yearly!$D:$AM, 10, FALSE), 1)</f>
        <v>7.9850775675103042E-2</v>
      </c>
      <c r="S8" s="7">
        <f>$B8 * IFERROR(VLOOKUP("transport|PM25|Asthma symptoms wheeze", US_national_yearly!$D:$AM, 27, FALSE) / VLOOKUP("transport|PM25|Asthma symptoms wheeze", US_national_yearly!$D:$AM, 10, FALSE), 1)</f>
        <v>7.9850775675103042E-2</v>
      </c>
      <c r="T8" s="7">
        <f>$B8 * IFERROR(VLOOKUP("transport|PM25|Asthma symptoms wheeze", US_national_yearly!$D:$AM, 28, FALSE) / VLOOKUP("transport|PM25|Asthma symptoms wheeze", US_national_yearly!$D:$AM, 10, FALSE), 1)</f>
        <v>7.9850775675103042E-2</v>
      </c>
      <c r="U8" s="7">
        <f>$B8 * IFERROR(VLOOKUP("transport|PM25|Asthma symptoms wheeze", US_national_yearly!$D:$AM, 29, FALSE) / VLOOKUP("transport|PM25|Asthma symptoms wheeze", US_national_yearly!$D:$AM, 10, FALSE), 1)</f>
        <v>7.9850775675103042E-2</v>
      </c>
      <c r="V8" s="7">
        <f>$B8 * IFERROR(VLOOKUP("transport|PM25|Asthma symptoms wheeze", US_national_yearly!$D:$AM, 30, FALSE) / VLOOKUP("transport|PM25|Asthma symptoms wheeze", US_national_yearly!$D:$AM, 10, FALSE), 1)</f>
        <v>7.9850775675103042E-2</v>
      </c>
      <c r="W8" s="7">
        <f>$B8 * IFERROR(VLOOKUP("transport|PM25|Asthma symptoms wheeze", US_national_yearly!$D:$AM, 31, FALSE) / VLOOKUP("transport|PM25|Asthma symptoms wheeze", US_national_yearly!$D:$AM, 10, FALSE), 1)</f>
        <v>7.9850775675103042E-2</v>
      </c>
      <c r="X8" s="7">
        <f>$B8 * IFERROR(VLOOKUP("transport|PM25|Asthma symptoms wheeze", US_national_yearly!$D:$AM, 32, FALSE) / VLOOKUP("transport|PM25|Asthma symptoms wheeze", US_national_yearly!$D:$AM, 10, FALSE), 1)</f>
        <v>7.9850775675103042E-2</v>
      </c>
      <c r="Y8" s="7">
        <f>$B8 * IFERROR(VLOOKUP("transport|PM25|Asthma symptoms wheeze", US_national_yearly!$D:$AM, 33, FALSE) / VLOOKUP("transport|PM25|Asthma symptoms wheeze", US_national_yearly!$D:$AM, 10, FALSE), 1)</f>
        <v>7.9850775675103042E-2</v>
      </c>
      <c r="Z8" s="7">
        <f>$B8 * IFERROR(VLOOKUP("transport|PM25|Asthma symptoms wheeze", US_national_yearly!$D:$AM, 34, FALSE) / VLOOKUP("transport|PM25|Asthma symptoms wheeze", US_national_yearly!$D:$AM, 10, FALSE), 1)</f>
        <v>7.9850775675103042E-2</v>
      </c>
      <c r="AA8" s="7">
        <f>$B8 * IFERROR(VLOOKUP("transport|PM25|Asthma symptoms wheeze", US_national_yearly!$D:$AM, 35, FALSE) / VLOOKUP("transport|PM25|Asthma symptoms wheeze", US_national_yearly!$D:$AM, 10, FALSE), 1)</f>
        <v>7.9850775675103042E-2</v>
      </c>
      <c r="AB8" s="7">
        <f>$B8 * IFERROR(VLOOKUP("transport|PM25|Asthma symptoms wheeze", US_national_yearly!$D:$AM, 36, FALSE) / VLOOKUP("transport|PM25|Asthma symptoms wheeze", US_national_yearly!$D:$AM, 10, FALSE), 1)</f>
        <v>7.9850775675103042E-2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9.299607952532173E-4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9.352909557044447E-4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9.4062111615567199E-4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9.4595127660689938E-4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9.5128143705812667E-4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9.5703823770491565E-4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9.6279503835170464E-4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9.6829544264863724E-4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9.7379584694557016E-4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9.7929625124250287E-4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9.8479665553943591E-4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9.9029705983636829E-4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9.9424486051213467E-4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9.9819266118790083E-4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1.002140461863667E-3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1.0060882625394332E-3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1.0100360632151995E-3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1.0137948896518155E-3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1.0175537160884319E-3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1.0213125425250478E-3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1.025071368961664E-3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1.0288301953982801E-3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1.0324462343785344E-3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1.0360622733587884E-3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1.0396783123390427E-3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1.0432943513192967E-3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1.0469103902995508E-3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6.1979111403519856E-3</v>
      </c>
      <c r="C13" s="7">
        <f>$B13 * IFERROR(VLOOKUP("transport|PM25|Non-fatal heart attacks", US_national_yearly!$D:$AM, 11, FALSE) / VLOOKUP("transport|PM25|Non-fatal heart attacks", US_national_yearly!$D:$AM, 10, FALSE), 1)</f>
        <v>6.3781008645757836E-3</v>
      </c>
      <c r="D13" s="7">
        <f>$B13 * IFERROR(VLOOKUP("transport|PM25|Non-fatal heart attacks", US_national_yearly!$D:$AM, 12, FALSE) / VLOOKUP("transport|PM25|Non-fatal heart attacks", US_national_yearly!$D:$AM, 10, FALSE), 1)</f>
        <v>6.5582905887995816E-3</v>
      </c>
      <c r="E13" s="7">
        <f>$B13 * IFERROR(VLOOKUP("transport|PM25|Non-fatal heart attacks", US_national_yearly!$D:$AM, 13, FALSE) / VLOOKUP("transport|PM25|Non-fatal heart attacks", US_national_yearly!$D:$AM, 10, FALSE), 1)</f>
        <v>6.7384803130233779E-3</v>
      </c>
      <c r="F13" s="7">
        <f>$B13 * IFERROR(VLOOKUP("transport|PM25|Non-fatal heart attacks", US_national_yearly!$D:$AM, 14, FALSE) / VLOOKUP("transport|PM25|Non-fatal heart attacks", US_national_yearly!$D:$AM, 10, FALSE), 1)</f>
        <v>6.9186700372471776E-3</v>
      </c>
      <c r="G13" s="7">
        <f>$B13 * IFERROR(VLOOKUP("transport|PM25|Non-fatal heart attacks", US_national_yearly!$D:$AM, 15, FALSE) / VLOOKUP("transport|PM25|Non-fatal heart attacks", US_national_yearly!$D:$AM, 10, FALSE), 1)</f>
        <v>7.0886003385637383E-3</v>
      </c>
      <c r="H13" s="7">
        <f>$B13 * IFERROR(VLOOKUP("transport|PM25|Non-fatal heart attacks", US_national_yearly!$D:$AM, 16, FALSE) / VLOOKUP("transport|PM25|Non-fatal heart attacks", US_national_yearly!$D:$AM, 10, FALSE), 1)</f>
        <v>7.2585306398802972E-3</v>
      </c>
      <c r="I13" s="7">
        <f>$B13 * IFERROR(VLOOKUP("transport|PM25|Non-fatal heart attacks", US_national_yearly!$D:$AM, 17, FALSE) / VLOOKUP("transport|PM25|Non-fatal heart attacks", US_national_yearly!$D:$AM, 10, FALSE), 1)</f>
        <v>7.3950980569804474E-3</v>
      </c>
      <c r="J13" s="7">
        <f>$B13 * IFERROR(VLOOKUP("transport|PM25|Non-fatal heart attacks", US_national_yearly!$D:$AM, 18, FALSE) / VLOOKUP("transport|PM25|Non-fatal heart attacks", US_national_yearly!$D:$AM, 10, FALSE), 1)</f>
        <v>7.5316654740805967E-3</v>
      </c>
      <c r="K13" s="7">
        <f>$B13 * IFERROR(VLOOKUP("transport|PM25|Non-fatal heart attacks", US_national_yearly!$D:$AM, 19, FALSE) / VLOOKUP("transport|PM25|Non-fatal heart attacks", US_national_yearly!$D:$AM, 10, FALSE), 1)</f>
        <v>7.6682328911807478E-3</v>
      </c>
      <c r="L13" s="7">
        <f>$B13 * IFERROR(VLOOKUP("transport|PM25|Non-fatal heart attacks", US_national_yearly!$D:$AM, 20, FALSE) / VLOOKUP("transport|PM25|Non-fatal heart attacks", US_national_yearly!$D:$AM, 10, FALSE), 1)</f>
        <v>7.8048003082808971E-3</v>
      </c>
      <c r="M13" s="7">
        <f>$B13 * IFERROR(VLOOKUP("transport|PM25|Non-fatal heart attacks", US_national_yearly!$D:$AM, 21, FALSE) / VLOOKUP("transport|PM25|Non-fatal heart attacks", US_national_yearly!$D:$AM, 10, FALSE), 1)</f>
        <v>7.9413677253810482E-3</v>
      </c>
      <c r="N13" s="7">
        <f>$B13 * IFERROR(VLOOKUP("transport|PM25|Non-fatal heart attacks", US_national_yearly!$D:$AM, 22, FALSE) / VLOOKUP("transport|PM25|Non-fatal heart attacks", US_national_yearly!$D:$AM, 10, FALSE), 1)</f>
        <v>8.0294402239955345E-3</v>
      </c>
      <c r="O13" s="7">
        <f>$B13 * IFERROR(VLOOKUP("transport|PM25|Non-fatal heart attacks", US_national_yearly!$D:$AM, 23, FALSE) / VLOOKUP("transport|PM25|Non-fatal heart attacks", US_national_yearly!$D:$AM, 10, FALSE), 1)</f>
        <v>8.1175127226100225E-3</v>
      </c>
      <c r="P13" s="7">
        <f>$B13 * IFERROR(VLOOKUP("transport|PM25|Non-fatal heart attacks", US_national_yearly!$D:$AM, 24, FALSE) / VLOOKUP("transport|PM25|Non-fatal heart attacks", US_national_yearly!$D:$AM, 10, FALSE), 1)</f>
        <v>8.2055852212245123E-3</v>
      </c>
      <c r="Q13" s="7">
        <f>$B13 * IFERROR(VLOOKUP("transport|PM25|Non-fatal heart attacks", US_national_yearly!$D:$AM, 25, FALSE) / VLOOKUP("transport|PM25|Non-fatal heart attacks", US_national_yearly!$D:$AM, 10, FALSE), 1)</f>
        <v>8.2936577198389986E-3</v>
      </c>
      <c r="R13" s="7">
        <f>$B13 * IFERROR(VLOOKUP("transport|PM25|Non-fatal heart attacks", US_national_yearly!$D:$AM, 26, FALSE) / VLOOKUP("transport|PM25|Non-fatal heart attacks", US_national_yearly!$D:$AM, 10, FALSE), 1)</f>
        <v>8.3817302184534866E-3</v>
      </c>
      <c r="S13" s="7">
        <f>$B13 * IFERROR(VLOOKUP("transport|PM25|Non-fatal heart attacks", US_national_yearly!$D:$AM, 27, FALSE) / VLOOKUP("transport|PM25|Non-fatal heart attacks", US_national_yearly!$D:$AM, 10, FALSE), 1)</f>
        <v>8.4281117124359577E-3</v>
      </c>
      <c r="T13" s="7">
        <f>$B13 * IFERROR(VLOOKUP("transport|PM25|Non-fatal heart attacks", US_national_yearly!$D:$AM, 28, FALSE) / VLOOKUP("transport|PM25|Non-fatal heart attacks", US_national_yearly!$D:$AM, 10, FALSE), 1)</f>
        <v>8.4744932064184323E-3</v>
      </c>
      <c r="U13" s="7">
        <f>$B13 * IFERROR(VLOOKUP("transport|PM25|Non-fatal heart attacks", US_national_yearly!$D:$AM, 29, FALSE) / VLOOKUP("transport|PM25|Non-fatal heart attacks", US_national_yearly!$D:$AM, 10, FALSE), 1)</f>
        <v>8.5208747004009051E-3</v>
      </c>
      <c r="V13" s="7">
        <f>$B13 * IFERROR(VLOOKUP("transport|PM25|Non-fatal heart attacks", US_national_yearly!$D:$AM, 30, FALSE) / VLOOKUP("transport|PM25|Non-fatal heart attacks", US_national_yearly!$D:$AM, 10, FALSE), 1)</f>
        <v>8.567256194383378E-3</v>
      </c>
      <c r="W13" s="7">
        <f>$B13 * IFERROR(VLOOKUP("transport|PM25|Non-fatal heart attacks", US_national_yearly!$D:$AM, 31, FALSE) / VLOOKUP("transport|PM25|Non-fatal heart attacks", US_national_yearly!$D:$AM, 10, FALSE), 1)</f>
        <v>8.6136376883658508E-3</v>
      </c>
      <c r="X13" s="7">
        <f>$B13 * IFERROR(VLOOKUP("transport|PM25|Non-fatal heart attacks", US_national_yearly!$D:$AM, 32, FALSE) / VLOOKUP("transport|PM25|Non-fatal heart attacks", US_national_yearly!$D:$AM, 10, FALSE), 1)</f>
        <v>8.648847948924742E-3</v>
      </c>
      <c r="Y13" s="7">
        <f>$B13 * IFERROR(VLOOKUP("transport|PM25|Non-fatal heart attacks", US_national_yearly!$D:$AM, 33, FALSE) / VLOOKUP("transport|PM25|Non-fatal heart attacks", US_national_yearly!$D:$AM, 10, FALSE), 1)</f>
        <v>8.6840582094836367E-3</v>
      </c>
      <c r="Z13" s="7">
        <f>$B13 * IFERROR(VLOOKUP("transport|PM25|Non-fatal heart attacks", US_national_yearly!$D:$AM, 34, FALSE) / VLOOKUP("transport|PM25|Non-fatal heart attacks", US_national_yearly!$D:$AM, 10, FALSE), 1)</f>
        <v>8.719268470042528E-3</v>
      </c>
      <c r="AA13" s="7">
        <f>$B13 * IFERROR(VLOOKUP("transport|PM25|Non-fatal heart attacks", US_national_yearly!$D:$AM, 35, FALSE) / VLOOKUP("transport|PM25|Non-fatal heart attacks", US_national_yearly!$D:$AM, 10, FALSE), 1)</f>
        <v>8.7544787306014209E-3</v>
      </c>
      <c r="AB13" s="7">
        <f>$B13 * IFERROR(VLOOKUP("transport|PM25|Non-fatal heart attacks", US_national_yearly!$D:$AM, 36, FALSE) / VLOOKUP("transport|PM25|Non-fatal heart attacks", US_national_yearly!$D:$AM, 10, FALSE), 1)</f>
        <v>8.7896889911603139E-3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4.7793875489509858</v>
      </c>
      <c r="C14" s="7">
        <f>$B14 * IFERROR(VLOOKUP("transport|PM25|Minor restricted activity days", US_national_yearly!$D:$AM, 11, FALSE) / VLOOKUP("transport|PM25|Minor restricted activity days", US_national_yearly!$D:$AM, 10, FALSE), 1)</f>
        <v>4.7910593801373178</v>
      </c>
      <c r="D14" s="7">
        <f>$B14 * IFERROR(VLOOKUP("transport|PM25|Minor restricted activity days", US_national_yearly!$D:$AM, 12, FALSE) / VLOOKUP("transport|PM25|Minor restricted activity days", US_national_yearly!$D:$AM, 10, FALSE), 1)</f>
        <v>4.8027312113236498</v>
      </c>
      <c r="E14" s="7">
        <f>$B14 * IFERROR(VLOOKUP("transport|PM25|Minor restricted activity days", US_national_yearly!$D:$AM, 13, FALSE) / VLOOKUP("transport|PM25|Minor restricted activity days", US_national_yearly!$D:$AM, 10, FALSE), 1)</f>
        <v>4.8144030425099826</v>
      </c>
      <c r="F14" s="7">
        <f>$B14 * IFERROR(VLOOKUP("transport|PM25|Minor restricted activity days", US_national_yearly!$D:$AM, 14, FALSE) / VLOOKUP("transport|PM25|Minor restricted activity days", US_national_yearly!$D:$AM, 10, FALSE), 1)</f>
        <v>4.8260748736963137</v>
      </c>
      <c r="G14" s="7">
        <f>$B14 * IFERROR(VLOOKUP("transport|PM25|Minor restricted activity days", US_national_yearly!$D:$AM, 15, FALSE) / VLOOKUP("transport|PM25|Minor restricted activity days", US_national_yearly!$D:$AM, 10, FALSE), 1)</f>
        <v>4.8432963113041092</v>
      </c>
      <c r="H14" s="7">
        <f>$B14 * IFERROR(VLOOKUP("transport|PM25|Minor restricted activity days", US_national_yearly!$D:$AM, 16, FALSE) / VLOOKUP("transport|PM25|Minor restricted activity days", US_national_yearly!$D:$AM, 10, FALSE), 1)</f>
        <v>4.8605177489119047</v>
      </c>
      <c r="I14" s="7">
        <f>$B14 * IFERROR(VLOOKUP("transport|PM25|Minor restricted activity days", US_national_yearly!$D:$AM, 17, FALSE) / VLOOKUP("transport|PM25|Minor restricted activity days", US_national_yearly!$D:$AM, 10, FALSE), 1)</f>
        <v>4.8899585210226189</v>
      </c>
      <c r="J14" s="7">
        <f>$B14 * IFERROR(VLOOKUP("transport|PM25|Minor restricted activity days", US_national_yearly!$D:$AM, 18, FALSE) / VLOOKUP("transport|PM25|Minor restricted activity days", US_national_yearly!$D:$AM, 10, FALSE), 1)</f>
        <v>4.9193992931333304</v>
      </c>
      <c r="K14" s="7">
        <f>$B14 * IFERROR(VLOOKUP("transport|PM25|Minor restricted activity days", US_national_yearly!$D:$AM, 19, FALSE) / VLOOKUP("transport|PM25|Minor restricted activity days", US_national_yearly!$D:$AM, 10, FALSE), 1)</f>
        <v>4.9488400652440436</v>
      </c>
      <c r="L14" s="7">
        <f>$B14 * IFERROR(VLOOKUP("transport|PM25|Minor restricted activity days", US_national_yearly!$D:$AM, 20, FALSE) / VLOOKUP("transport|PM25|Minor restricted activity days", US_national_yearly!$D:$AM, 10, FALSE), 1)</f>
        <v>4.978280837354756</v>
      </c>
      <c r="M14" s="7">
        <f>$B14 * IFERROR(VLOOKUP("transport|PM25|Minor restricted activity days", US_national_yearly!$D:$AM, 21, FALSE) / VLOOKUP("transport|PM25|Minor restricted activity days", US_national_yearly!$D:$AM, 10, FALSE), 1)</f>
        <v>5.0077216094654693</v>
      </c>
      <c r="N14" s="7">
        <f>$B14 * IFERROR(VLOOKUP("transport|PM25|Minor restricted activity days", US_national_yearly!$D:$AM, 22, FALSE) / VLOOKUP("transport|PM25|Minor restricted activity days", US_national_yearly!$D:$AM, 10, FALSE), 1)</f>
        <v>5.0478258027275631</v>
      </c>
      <c r="O14" s="7">
        <f>$B14 * IFERROR(VLOOKUP("transport|PM25|Minor restricted activity days", US_national_yearly!$D:$AM, 23, FALSE) / VLOOKUP("transport|PM25|Minor restricted activity days", US_national_yearly!$D:$AM, 10, FALSE), 1)</f>
        <v>5.0879299959896551</v>
      </c>
      <c r="P14" s="7">
        <f>$B14 * IFERROR(VLOOKUP("transport|PM25|Minor restricted activity days", US_national_yearly!$D:$AM, 24, FALSE) / VLOOKUP("transport|PM25|Minor restricted activity days", US_national_yearly!$D:$AM, 10, FALSE), 1)</f>
        <v>5.1280341892517489</v>
      </c>
      <c r="Q14" s="7">
        <f>$B14 * IFERROR(VLOOKUP("transport|PM25|Minor restricted activity days", US_national_yearly!$D:$AM, 25, FALSE) / VLOOKUP("transport|PM25|Minor restricted activity days", US_national_yearly!$D:$AM, 10, FALSE), 1)</f>
        <v>5.1681383825138418</v>
      </c>
      <c r="R14" s="7">
        <f>$B14 * IFERROR(VLOOKUP("transport|PM25|Minor restricted activity days", US_national_yearly!$D:$AM, 26, FALSE) / VLOOKUP("transport|PM25|Minor restricted activity days", US_national_yearly!$D:$AM, 10, FALSE), 1)</f>
        <v>5.2082425757759347</v>
      </c>
      <c r="S14" s="7">
        <f>$B14 * IFERROR(VLOOKUP("transport|PM25|Minor restricted activity days", US_national_yearly!$D:$AM, 27, FALSE) / VLOOKUP("transport|PM25|Minor restricted activity days", US_national_yearly!$D:$AM, 10, FALSE), 1)</f>
        <v>5.2486229534757056</v>
      </c>
      <c r="T14" s="7">
        <f>$B14 * IFERROR(VLOOKUP("transport|PM25|Minor restricted activity days", US_national_yearly!$D:$AM, 28, FALSE) / VLOOKUP("transport|PM25|Minor restricted activity days", US_national_yearly!$D:$AM, 10, FALSE), 1)</f>
        <v>5.2890033311754774</v>
      </c>
      <c r="U14" s="7">
        <f>$B14 * IFERROR(VLOOKUP("transport|PM25|Minor restricted activity days", US_national_yearly!$D:$AM, 29, FALSE) / VLOOKUP("transport|PM25|Minor restricted activity days", US_national_yearly!$D:$AM, 10, FALSE), 1)</f>
        <v>5.3293837088752483</v>
      </c>
      <c r="V14" s="7">
        <f>$B14 * IFERROR(VLOOKUP("transport|PM25|Minor restricted activity days", US_national_yearly!$D:$AM, 30, FALSE) / VLOOKUP("transport|PM25|Minor restricted activity days", US_national_yearly!$D:$AM, 10, FALSE), 1)</f>
        <v>5.36976408657502</v>
      </c>
      <c r="W14" s="7">
        <f>$B14 * IFERROR(VLOOKUP("transport|PM25|Minor restricted activity days", US_national_yearly!$D:$AM, 31, FALSE) / VLOOKUP("transport|PM25|Minor restricted activity days", US_national_yearly!$D:$AM, 10, FALSE), 1)</f>
        <v>5.4101444642747909</v>
      </c>
      <c r="X14" s="7">
        <f>$B14 * IFERROR(VLOOKUP("transport|PM25|Minor restricted activity days", US_national_yearly!$D:$AM, 32, FALSE) / VLOOKUP("transport|PM25|Minor restricted activity days", US_national_yearly!$D:$AM, 10, FALSE), 1)</f>
        <v>5.4451986944614799</v>
      </c>
      <c r="Y14" s="7">
        <f>$B14 * IFERROR(VLOOKUP("transport|PM25|Minor restricted activity days", US_national_yearly!$D:$AM, 33, FALSE) / VLOOKUP("transport|PM25|Minor restricted activity days", US_national_yearly!$D:$AM, 10, FALSE), 1)</f>
        <v>5.4802529246481688</v>
      </c>
      <c r="Z14" s="7">
        <f>$B14 * IFERROR(VLOOKUP("transport|PM25|Minor restricted activity days", US_national_yearly!$D:$AM, 34, FALSE) / VLOOKUP("transport|PM25|Minor restricted activity days", US_national_yearly!$D:$AM, 10, FALSE), 1)</f>
        <v>5.5153071548348578</v>
      </c>
      <c r="AA14" s="7">
        <f>$B14 * IFERROR(VLOOKUP("transport|PM25|Minor restricted activity days", US_national_yearly!$D:$AM, 35, FALSE) / VLOOKUP("transport|PM25|Minor restricted activity days", US_national_yearly!$D:$AM, 10, FALSE), 1)</f>
        <v>5.5503613850215459</v>
      </c>
      <c r="AB14" s="7">
        <f>$B14 * IFERROR(VLOOKUP("transport|PM25|Minor restricted activity days", US_national_yearly!$D:$AM, 36, FALSE) / VLOOKUP("transport|PM25|Minor restricted activity days", US_national_yearly!$D:$AM, 10, FALSE), 1)</f>
        <v>5.5854156152082348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0.80769448128741272</v>
      </c>
      <c r="C15" s="7">
        <f>$B15 * IFERROR(VLOOKUP("transport|PM25|Work loss days", US_national_yearly!$D:$AM, 11, FALSE) / VLOOKUP("transport|PM25|Work loss days", US_national_yearly!$D:$AM, 10, FALSE), 1)</f>
        <v>0.81019804327143996</v>
      </c>
      <c r="D15" s="7">
        <f>$B15 * IFERROR(VLOOKUP("transport|PM25|Work loss days", US_national_yearly!$D:$AM, 12, FALSE) / VLOOKUP("transport|PM25|Work loss days", US_national_yearly!$D:$AM, 10, FALSE), 1)</f>
        <v>0.81270160525546753</v>
      </c>
      <c r="E15" s="7">
        <f>$B15 * IFERROR(VLOOKUP("transport|PM25|Work loss days", US_national_yearly!$D:$AM, 13, FALSE) / VLOOKUP("transport|PM25|Work loss days", US_national_yearly!$D:$AM, 10, FALSE), 1)</f>
        <v>0.81520516723949477</v>
      </c>
      <c r="F15" s="7">
        <f>$B15 * IFERROR(VLOOKUP("transport|PM25|Work loss days", US_national_yearly!$D:$AM, 14, FALSE) / VLOOKUP("transport|PM25|Work loss days", US_national_yearly!$D:$AM, 10, FALSE), 1)</f>
        <v>0.81770872922352211</v>
      </c>
      <c r="G15" s="7">
        <f>$B15 * IFERROR(VLOOKUP("transport|PM25|Work loss days", US_national_yearly!$D:$AM, 15, FALSE) / VLOOKUP("transport|PM25|Work loss days", US_national_yearly!$D:$AM, 10, FALSE), 1)</f>
        <v>0.82099105873927325</v>
      </c>
      <c r="H15" s="7">
        <f>$B15 * IFERROR(VLOOKUP("transport|PM25|Work loss days", US_national_yearly!$D:$AM, 16, FALSE) / VLOOKUP("transport|PM25|Work loss days", US_national_yearly!$D:$AM, 10, FALSE), 1)</f>
        <v>0.82427338825502461</v>
      </c>
      <c r="I15" s="7">
        <f>$B15 * IFERROR(VLOOKUP("transport|PM25|Work loss days", US_national_yearly!$D:$AM, 17, FALSE) / VLOOKUP("transport|PM25|Work loss days", US_national_yearly!$D:$AM, 10, FALSE), 1)</f>
        <v>0.82910697947367762</v>
      </c>
      <c r="J15" s="7">
        <f>$B15 * IFERROR(VLOOKUP("transport|PM25|Work loss days", US_national_yearly!$D:$AM, 18, FALSE) / VLOOKUP("transport|PM25|Work loss days", US_national_yearly!$D:$AM, 10, FALSE), 1)</f>
        <v>0.83394057069233074</v>
      </c>
      <c r="K15" s="7">
        <f>$B15 * IFERROR(VLOOKUP("transport|PM25|Work loss days", US_national_yearly!$D:$AM, 19, FALSE) / VLOOKUP("transport|PM25|Work loss days", US_national_yearly!$D:$AM, 10, FALSE), 1)</f>
        <v>0.83877416191098386</v>
      </c>
      <c r="L15" s="7">
        <f>$B15 * IFERROR(VLOOKUP("transport|PM25|Work loss days", US_national_yearly!$D:$AM, 20, FALSE) / VLOOKUP("transport|PM25|Work loss days", US_national_yearly!$D:$AM, 10, FALSE), 1)</f>
        <v>0.84360775312963687</v>
      </c>
      <c r="M15" s="7">
        <f>$B15 * IFERROR(VLOOKUP("transport|PM25|Work loss days", US_national_yearly!$D:$AM, 21, FALSE) / VLOOKUP("transport|PM25|Work loss days", US_national_yearly!$D:$AM, 10, FALSE), 1)</f>
        <v>0.84844134434828999</v>
      </c>
      <c r="N15" s="7">
        <f>$B15 * IFERROR(VLOOKUP("transport|PM25|Work loss days", US_national_yearly!$D:$AM, 22, FALSE) / VLOOKUP("transport|PM25|Work loss days", US_national_yearly!$D:$AM, 10, FALSE), 1)</f>
        <v>0.85452478474568916</v>
      </c>
      <c r="O15" s="7">
        <f>$B15 * IFERROR(VLOOKUP("transport|PM25|Work loss days", US_national_yearly!$D:$AM, 23, FALSE) / VLOOKUP("transport|PM25|Work loss days", US_national_yearly!$D:$AM, 10, FALSE), 1)</f>
        <v>0.86060822514308821</v>
      </c>
      <c r="P15" s="7">
        <f>$B15 * IFERROR(VLOOKUP("transport|PM25|Work loss days", US_national_yearly!$D:$AM, 24, FALSE) / VLOOKUP("transport|PM25|Work loss days", US_national_yearly!$D:$AM, 10, FALSE), 1)</f>
        <v>0.86669166554048738</v>
      </c>
      <c r="Q15" s="7">
        <f>$B15 * IFERROR(VLOOKUP("transport|PM25|Work loss days", US_national_yearly!$D:$AM, 25, FALSE) / VLOOKUP("transport|PM25|Work loss days", US_national_yearly!$D:$AM, 10, FALSE), 1)</f>
        <v>0.87277510593788632</v>
      </c>
      <c r="R15" s="7">
        <f>$B15 * IFERROR(VLOOKUP("transport|PM25|Work loss days", US_national_yearly!$D:$AM, 26, FALSE) / VLOOKUP("transport|PM25|Work loss days", US_national_yearly!$D:$AM, 10, FALSE), 1)</f>
        <v>0.87885854633528548</v>
      </c>
      <c r="S15" s="7">
        <f>$B15 * IFERROR(VLOOKUP("transport|PM25|Work loss days", US_national_yearly!$D:$AM, 27, FALSE) / VLOOKUP("transport|PM25|Work loss days", US_national_yearly!$D:$AM, 10, FALSE), 1)</f>
        <v>0.88558709113788614</v>
      </c>
      <c r="T15" s="7">
        <f>$B15 * IFERROR(VLOOKUP("transport|PM25|Work loss days", US_national_yearly!$D:$AM, 28, FALSE) / VLOOKUP("transport|PM25|Work loss days", US_national_yearly!$D:$AM, 10, FALSE), 1)</f>
        <v>0.89231563594048702</v>
      </c>
      <c r="U15" s="7">
        <f>$B15 * IFERROR(VLOOKUP("transport|PM25|Work loss days", US_national_yearly!$D:$AM, 29, FALSE) / VLOOKUP("transport|PM25|Work loss days", US_national_yearly!$D:$AM, 10, FALSE), 1)</f>
        <v>0.89904418074308745</v>
      </c>
      <c r="V15" s="7">
        <f>$B15 * IFERROR(VLOOKUP("transport|PM25|Work loss days", US_national_yearly!$D:$AM, 30, FALSE) / VLOOKUP("transport|PM25|Work loss days", US_national_yearly!$D:$AM, 10, FALSE), 1)</f>
        <v>0.90577272554568822</v>
      </c>
      <c r="W15" s="7">
        <f>$B15 * IFERROR(VLOOKUP("transport|PM25|Work loss days", US_national_yearly!$D:$AM, 31, FALSE) / VLOOKUP("transport|PM25|Work loss days", US_national_yearly!$D:$AM, 10, FALSE), 1)</f>
        <v>0.91250127034828887</v>
      </c>
      <c r="X15" s="7">
        <f>$B15 * IFERROR(VLOOKUP("transport|PM25|Work loss days", US_national_yearly!$D:$AM, 32, FALSE) / VLOOKUP("transport|PM25|Work loss days", US_national_yearly!$D:$AM, 10, FALSE), 1)</f>
        <v>0.91847130430110235</v>
      </c>
      <c r="Y15" s="7">
        <f>$B15 * IFERROR(VLOOKUP("transport|PM25|Work loss days", US_national_yearly!$D:$AM, 33, FALSE) / VLOOKUP("transport|PM25|Work loss days", US_national_yearly!$D:$AM, 10, FALSE), 1)</f>
        <v>0.92444133825391583</v>
      </c>
      <c r="Z15" s="7">
        <f>$B15 * IFERROR(VLOOKUP("transport|PM25|Work loss days", US_national_yearly!$D:$AM, 34, FALSE) / VLOOKUP("transport|PM25|Work loss days", US_national_yearly!$D:$AM, 10, FALSE), 1)</f>
        <v>0.93041137220672943</v>
      </c>
      <c r="AA15" s="7">
        <f>$B15 * IFERROR(VLOOKUP("transport|PM25|Work loss days", US_national_yearly!$D:$AM, 35, FALSE) / VLOOKUP("transport|PM25|Work loss days", US_national_yearly!$D:$AM, 10, FALSE), 1)</f>
        <v>0.93638140615954302</v>
      </c>
      <c r="AB15" s="7">
        <f>$B15 * IFERROR(VLOOKUP("transport|PM25|Work loss days", US_national_yearly!$D:$AM, 36, FALSE) / VLOOKUP("transport|PM25|Work loss days", US_national_yearly!$D:$AM, 10, FALSE), 1)</f>
        <v>0.9423514401123565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1.2832690719927764E-3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1.3216140467090754E-3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1.3599590214253747E-3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1.3983039961416742E-3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1.4366489708579734E-3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1.473376607197956E-3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1.5101042435379391E-3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1.5415157345639598E-3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1.5729272255899805E-3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1.604338716616001E-3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1.6357502076420221E-3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1.6671616986680428E-3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1.6881044569013065E-3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1.7090472151345703E-3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1.729989973367834E-3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1.7509327316010978E-3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1.7718754898343617E-3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1.7829561641780492E-3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1.7940368385217368E-3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1.8051175128654239E-3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1.8161981872091115E-3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1.8272788615527988E-3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1.8347385172758285E-3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1.842198172998858E-3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1.8496578287218878E-3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1.8571174844449175E-3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1.864577140167947E-3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6.0194046763704955E-4</v>
      </c>
      <c r="C2" s="7">
        <f>$B2 * IFERROR(VLOOKUP("transport|NOx|Premature mortality", US_national_yearly!$D:$AM, 11, FALSE) / VLOOKUP("transport|NOx|Premature mortality", US_national_yearly!$D:$AM, 10, FALSE), 1)</f>
        <v>6.1078195567479236E-4</v>
      </c>
      <c r="D2" s="7">
        <f>$B2 * IFERROR(VLOOKUP("transport|NOx|Premature mortality", US_national_yearly!$D:$AM, 12, FALSE) / VLOOKUP("transport|NOx|Premature mortality", US_national_yearly!$D:$AM, 10, FALSE), 1)</f>
        <v>6.1962344371253506E-4</v>
      </c>
      <c r="E2" s="7">
        <f>$B2 * IFERROR(VLOOKUP("transport|NOx|Premature mortality", US_national_yearly!$D:$AM, 13, FALSE) / VLOOKUP("transport|NOx|Premature mortality", US_national_yearly!$D:$AM, 10, FALSE), 1)</f>
        <v>6.2846493175027786E-4</v>
      </c>
      <c r="F2" s="7">
        <f>$B2 * IFERROR(VLOOKUP("transport|NOx|Premature mortality", US_national_yearly!$D:$AM, 14, FALSE) / VLOOKUP("transport|NOx|Premature mortality", US_national_yearly!$D:$AM, 10, FALSE), 1)</f>
        <v>6.3730641978802056E-4</v>
      </c>
      <c r="G2" s="7">
        <f>$B2 * IFERROR(VLOOKUP("transport|NOx|Premature mortality", US_national_yearly!$D:$AM, 15, FALSE) / VLOOKUP("transport|NOx|Premature mortality", US_national_yearly!$D:$AM, 10, FALSE), 1)</f>
        <v>6.5318782264558095E-4</v>
      </c>
      <c r="H2" s="7">
        <f>$B2 * IFERROR(VLOOKUP("transport|NOx|Premature mortality", US_national_yearly!$D:$AM, 16, FALSE) / VLOOKUP("transport|NOx|Premature mortality", US_national_yearly!$D:$AM, 10, FALSE), 1)</f>
        <v>6.6906922550314166E-4</v>
      </c>
      <c r="I2" s="7">
        <f>$B2 * IFERROR(VLOOKUP("transport|NOx|Premature mortality", US_national_yearly!$D:$AM, 17, FALSE) / VLOOKUP("transport|NOx|Premature mortality", US_national_yearly!$D:$AM, 10, FALSE), 1)</f>
        <v>6.7932097229623091E-4</v>
      </c>
      <c r="J2" s="7">
        <f>$B2 * IFERROR(VLOOKUP("transport|NOx|Premature mortality", US_national_yearly!$D:$AM, 18, FALSE) / VLOOKUP("transport|NOx|Premature mortality", US_national_yearly!$D:$AM, 10, FALSE), 1)</f>
        <v>6.8957271908932027E-4</v>
      </c>
      <c r="K2" s="7">
        <f>$B2 * IFERROR(VLOOKUP("transport|NOx|Premature mortality", US_national_yearly!$D:$AM, 19, FALSE) / VLOOKUP("transport|NOx|Premature mortality", US_national_yearly!$D:$AM, 10, FALSE), 1)</f>
        <v>6.9982446588240951E-4</v>
      </c>
      <c r="L2" s="7">
        <f>$B2 * IFERROR(VLOOKUP("transport|NOx|Premature mortality", US_national_yearly!$D:$AM, 20, FALSE) / VLOOKUP("transport|NOx|Premature mortality", US_national_yearly!$D:$AM, 10, FALSE), 1)</f>
        <v>7.1007621267549876E-4</v>
      </c>
      <c r="M2" s="7">
        <f>$B2 * IFERROR(VLOOKUP("transport|NOx|Premature mortality", US_national_yearly!$D:$AM, 21, FALSE) / VLOOKUP("transport|NOx|Premature mortality", US_national_yearly!$D:$AM, 10, FALSE), 1)</f>
        <v>7.2032795946858823E-4</v>
      </c>
      <c r="N2" s="7">
        <f>$B2 * IFERROR(VLOOKUP("transport|NOx|Premature mortality", US_national_yearly!$D:$AM, 22, FALSE) / VLOOKUP("transport|NOx|Premature mortality", US_national_yearly!$D:$AM, 10, FALSE), 1)</f>
        <v>7.2792241363879508E-4</v>
      </c>
      <c r="O2" s="7">
        <f>$B2 * IFERROR(VLOOKUP("transport|NOx|Premature mortality", US_national_yearly!$D:$AM, 23, FALSE) / VLOOKUP("transport|NOx|Premature mortality", US_national_yearly!$D:$AM, 10, FALSE), 1)</f>
        <v>7.3551686780900204E-4</v>
      </c>
      <c r="P2" s="7">
        <f>$B2 * IFERROR(VLOOKUP("transport|NOx|Premature mortality", US_national_yearly!$D:$AM, 24, FALSE) / VLOOKUP("transport|NOx|Premature mortality", US_national_yearly!$D:$AM, 10, FALSE), 1)</f>
        <v>7.4311132197920889E-4</v>
      </c>
      <c r="Q2" s="7">
        <f>$B2 * IFERROR(VLOOKUP("transport|NOx|Premature mortality", US_national_yearly!$D:$AM, 25, FALSE) / VLOOKUP("transport|NOx|Premature mortality", US_national_yearly!$D:$AM, 10, FALSE), 1)</f>
        <v>7.5070577614941595E-4</v>
      </c>
      <c r="R2" s="7">
        <f>$B2 * IFERROR(VLOOKUP("transport|NOx|Premature mortality", US_national_yearly!$D:$AM, 26, FALSE) / VLOOKUP("transport|NOx|Premature mortality", US_national_yearly!$D:$AM, 10, FALSE), 1)</f>
        <v>7.583002303196228E-4</v>
      </c>
      <c r="S2" s="7">
        <f>$B2 * IFERROR(VLOOKUP("transport|NOx|Premature mortality", US_national_yearly!$D:$AM, 27, FALSE) / VLOOKUP("transport|NOx|Premature mortality", US_national_yearly!$D:$AM, 10, FALSE), 1)</f>
        <v>7.6175198621511908E-4</v>
      </c>
      <c r="T2" s="7">
        <f>$B2 * IFERROR(VLOOKUP("transport|NOx|Premature mortality", US_national_yearly!$D:$AM, 28, FALSE) / VLOOKUP("transport|NOx|Premature mortality", US_national_yearly!$D:$AM, 10, FALSE), 1)</f>
        <v>7.6520374211061547E-4</v>
      </c>
      <c r="U2" s="7">
        <f>$B2 * IFERROR(VLOOKUP("transport|NOx|Premature mortality", US_national_yearly!$D:$AM, 29, FALSE) / VLOOKUP("transport|NOx|Premature mortality", US_national_yearly!$D:$AM, 10, FALSE), 1)</f>
        <v>7.6865549800611164E-4</v>
      </c>
      <c r="V2" s="7">
        <f>$B2 * IFERROR(VLOOKUP("transport|NOx|Premature mortality", US_national_yearly!$D:$AM, 30, FALSE) / VLOOKUP("transport|NOx|Premature mortality", US_national_yearly!$D:$AM, 10, FALSE), 1)</f>
        <v>7.7210725390160792E-4</v>
      </c>
      <c r="W2" s="7">
        <f>$B2 * IFERROR(VLOOKUP("transport|NOx|Premature mortality", US_national_yearly!$D:$AM, 31, FALSE) / VLOOKUP("transport|NOx|Premature mortality", US_national_yearly!$D:$AM, 10, FALSE), 1)</f>
        <v>7.7555900979710431E-4</v>
      </c>
      <c r="X2" s="7">
        <f>$B2 * IFERROR(VLOOKUP("transport|NOx|Premature mortality", US_national_yearly!$D:$AM, 32, FALSE) / VLOOKUP("transport|NOx|Premature mortality", US_national_yearly!$D:$AM, 10, FALSE), 1)</f>
        <v>7.7567857664000053E-4</v>
      </c>
      <c r="Y2" s="7">
        <f>$B2 * IFERROR(VLOOKUP("transport|NOx|Premature mortality", US_national_yearly!$D:$AM, 33, FALSE) / VLOOKUP("transport|NOx|Premature mortality", US_national_yearly!$D:$AM, 10, FALSE), 1)</f>
        <v>7.7579814348289675E-4</v>
      </c>
      <c r="Z2" s="7">
        <f>$B2 * IFERROR(VLOOKUP("transport|NOx|Premature mortality", US_national_yearly!$D:$AM, 34, FALSE) / VLOOKUP("transport|NOx|Premature mortality", US_national_yearly!$D:$AM, 10, FALSE), 1)</f>
        <v>7.7591771032579297E-4</v>
      </c>
      <c r="AA2" s="7">
        <f>$B2 * IFERROR(VLOOKUP("transport|NOx|Premature mortality", US_national_yearly!$D:$AM, 35, FALSE) / VLOOKUP("transport|NOx|Premature mortality", US_national_yearly!$D:$AM, 10, FALSE), 1)</f>
        <v>7.760372771686893E-4</v>
      </c>
      <c r="AB2" s="7">
        <f>$B2 * IFERROR(VLOOKUP("transport|NOx|Premature mortality", US_national_yearly!$D:$AM, 36, FALSE) / VLOOKUP("transport|NOx|Premature mortality", US_national_yearly!$D:$AM, 10, FALSE), 1)</f>
        <v>7.7615684401158562E-4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1.1011569871335647E-6</v>
      </c>
      <c r="C3" s="7">
        <f>$B3 * IFERROR(VLOOKUP("transport|NOx|Infant mortality", US_national_yearly!$D:$AM, 11, FALSE) / VLOOKUP("transport|NOx|Infant mortality", US_national_yearly!$D:$AM, 10, FALSE), 1)</f>
        <v>1.0906656609041729E-6</v>
      </c>
      <c r="D3" s="7">
        <f>$B3 * IFERROR(VLOOKUP("transport|NOx|Infant mortality", US_national_yearly!$D:$AM, 12, FALSE) / VLOOKUP("transport|NOx|Infant mortality", US_national_yearly!$D:$AM, 10, FALSE), 1)</f>
        <v>1.0801743346747811E-6</v>
      </c>
      <c r="E3" s="7">
        <f>$B3 * IFERROR(VLOOKUP("transport|NOx|Infant mortality", US_national_yearly!$D:$AM, 13, FALSE) / VLOOKUP("transport|NOx|Infant mortality", US_national_yearly!$D:$AM, 10, FALSE), 1)</f>
        <v>1.0696830084453893E-6</v>
      </c>
      <c r="F3" s="7">
        <f>$B3 * IFERROR(VLOOKUP("transport|NOx|Infant mortality", US_national_yearly!$D:$AM, 14, FALSE) / VLOOKUP("transport|NOx|Infant mortality", US_national_yearly!$D:$AM, 10, FALSE), 1)</f>
        <v>1.0591916822159975E-6</v>
      </c>
      <c r="G3" s="7">
        <f>$B3 * IFERROR(VLOOKUP("transport|NOx|Infant mortality", US_national_yearly!$D:$AM, 15, FALSE) / VLOOKUP("transport|NOx|Infant mortality", US_national_yearly!$D:$AM, 10, FALSE), 1)</f>
        <v>7.0314374258105545E-7</v>
      </c>
      <c r="H3" s="7">
        <f>$B3 * IFERROR(VLOOKUP("transport|NOx|Infant mortality", US_national_yearly!$D:$AM, 16, FALSE) / VLOOKUP("transport|NOx|Infant mortality", US_national_yearly!$D:$AM, 10, FALSE), 1)</f>
        <v>3.470958029461133E-7</v>
      </c>
      <c r="I3" s="7">
        <f>$B3 * IFERROR(VLOOKUP("transport|NOx|Infant mortality", US_national_yearly!$D:$AM, 17, FALSE) / VLOOKUP("transport|NOx|Infant mortality", US_national_yearly!$D:$AM, 10, FALSE), 1)</f>
        <v>3.4464150421086117E-7</v>
      </c>
      <c r="J3" s="7">
        <f>$B3 * IFERROR(VLOOKUP("transport|NOx|Infant mortality", US_national_yearly!$D:$AM, 18, FALSE) / VLOOKUP("transport|NOx|Infant mortality", US_national_yearly!$D:$AM, 10, FALSE), 1)</f>
        <v>3.4218720547560894E-7</v>
      </c>
      <c r="K3" s="7">
        <f>$B3 * IFERROR(VLOOKUP("transport|NOx|Infant mortality", US_national_yearly!$D:$AM, 19, FALSE) / VLOOKUP("transport|NOx|Infant mortality", US_national_yearly!$D:$AM, 10, FALSE), 1)</f>
        <v>3.3973290674035682E-7</v>
      </c>
      <c r="L3" s="7">
        <f>$B3 * IFERROR(VLOOKUP("transport|NOx|Infant mortality", US_national_yearly!$D:$AM, 20, FALSE) / VLOOKUP("transport|NOx|Infant mortality", US_national_yearly!$D:$AM, 10, FALSE), 1)</f>
        <v>3.3727860800510464E-7</v>
      </c>
      <c r="M3" s="7">
        <f>$B3 * IFERROR(VLOOKUP("transport|NOx|Infant mortality", US_national_yearly!$D:$AM, 21, FALSE) / VLOOKUP("transport|NOx|Infant mortality", US_national_yearly!$D:$AM, 10, FALSE), 1)</f>
        <v>3.3482430926985246E-7</v>
      </c>
      <c r="N3" s="7">
        <f>$B3 * IFERROR(VLOOKUP("transport|NOx|Infant mortality", US_national_yearly!$D:$AM, 22, FALSE) / VLOOKUP("transport|NOx|Infant mortality", US_national_yearly!$D:$AM, 10, FALSE), 1)</f>
        <v>3.3319524838972019E-7</v>
      </c>
      <c r="O3" s="7">
        <f>$B3 * IFERROR(VLOOKUP("transport|NOx|Infant mortality", US_national_yearly!$D:$AM, 23, FALSE) / VLOOKUP("transport|NOx|Infant mortality", US_national_yearly!$D:$AM, 10, FALSE), 1)</f>
        <v>3.3156618750958792E-7</v>
      </c>
      <c r="P3" s="7">
        <f>$B3 * IFERROR(VLOOKUP("transport|NOx|Infant mortality", US_national_yearly!$D:$AM, 24, FALSE) / VLOOKUP("transport|NOx|Infant mortality", US_national_yearly!$D:$AM, 10, FALSE), 1)</f>
        <v>3.2993712662945565E-7</v>
      </c>
      <c r="Q3" s="7">
        <f>$B3 * IFERROR(VLOOKUP("transport|NOx|Infant mortality", US_national_yearly!$D:$AM, 25, FALSE) / VLOOKUP("transport|NOx|Infant mortality", US_national_yearly!$D:$AM, 10, FALSE), 1)</f>
        <v>3.2830806574932344E-7</v>
      </c>
      <c r="R3" s="7">
        <f>$B3 * IFERROR(VLOOKUP("transport|NOx|Infant mortality", US_national_yearly!$D:$AM, 26, FALSE) / VLOOKUP("transport|NOx|Infant mortality", US_national_yearly!$D:$AM, 10, FALSE), 1)</f>
        <v>3.2667900486919117E-7</v>
      </c>
      <c r="S3" s="7">
        <f>$B3 * IFERROR(VLOOKUP("transport|NOx|Infant mortality", US_national_yearly!$D:$AM, 27, FALSE) / VLOOKUP("transport|NOx|Infant mortality", US_national_yearly!$D:$AM, 10, FALSE), 1)</f>
        <v>3.2472061463177865E-7</v>
      </c>
      <c r="T3" s="7">
        <f>$B3 * IFERROR(VLOOKUP("transport|NOx|Infant mortality", US_national_yearly!$D:$AM, 28, FALSE) / VLOOKUP("transport|NOx|Infant mortality", US_national_yearly!$D:$AM, 10, FALSE), 1)</f>
        <v>3.2276222439436613E-7</v>
      </c>
      <c r="U3" s="7">
        <f>$B3 * IFERROR(VLOOKUP("transport|NOx|Infant mortality", US_national_yearly!$D:$AM, 29, FALSE) / VLOOKUP("transport|NOx|Infant mortality", US_national_yearly!$D:$AM, 10, FALSE), 1)</f>
        <v>3.2080383415695367E-7</v>
      </c>
      <c r="V3" s="7">
        <f>$B3 * IFERROR(VLOOKUP("transport|NOx|Infant mortality", US_national_yearly!$D:$AM, 30, FALSE) / VLOOKUP("transport|NOx|Infant mortality", US_national_yearly!$D:$AM, 10, FALSE), 1)</f>
        <v>3.1884544391954115E-7</v>
      </c>
      <c r="W3" s="7">
        <f>$B3 * IFERROR(VLOOKUP("transport|NOx|Infant mortality", US_national_yearly!$D:$AM, 31, FALSE) / VLOOKUP("transport|NOx|Infant mortality", US_national_yearly!$D:$AM, 10, FALSE), 1)</f>
        <v>3.1688705368212863E-7</v>
      </c>
      <c r="X3" s="7">
        <f>$B3 * IFERROR(VLOOKUP("transport|NOx|Infant mortality", US_national_yearly!$D:$AM, 32, FALSE) / VLOOKUP("transport|NOx|Infant mortality", US_national_yearly!$D:$AM, 10, FALSE), 1)</f>
        <v>3.1481302371682223E-7</v>
      </c>
      <c r="Y3" s="7">
        <f>$B3 * IFERROR(VLOOKUP("transport|NOx|Infant mortality", US_national_yearly!$D:$AM, 33, FALSE) / VLOOKUP("transport|NOx|Infant mortality", US_national_yearly!$D:$AM, 10, FALSE), 1)</f>
        <v>3.1273899375151577E-7</v>
      </c>
      <c r="Z3" s="7">
        <f>$B3 * IFERROR(VLOOKUP("transport|NOx|Infant mortality", US_national_yearly!$D:$AM, 34, FALSE) / VLOOKUP("transport|NOx|Infant mortality", US_national_yearly!$D:$AM, 10, FALSE), 1)</f>
        <v>3.1066496378620927E-7</v>
      </c>
      <c r="AA3" s="7">
        <f>$B3 * IFERROR(VLOOKUP("transport|NOx|Infant mortality", US_national_yearly!$D:$AM, 35, FALSE) / VLOOKUP("transport|NOx|Infant mortality", US_national_yearly!$D:$AM, 10, FALSE), 1)</f>
        <v>3.0859093382090281E-7</v>
      </c>
      <c r="AB3" s="7">
        <f>$B3 * IFERROR(VLOOKUP("transport|NOx|Infant mortality", US_national_yearly!$D:$AM, 36, FALSE) / VLOOKUP("transport|NOx|Infant mortality", US_national_yearly!$D:$AM, 10, FALSE), 1)</f>
        <v>3.0651690385559635E-7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1.4618115876333681E-3</v>
      </c>
      <c r="C6" s="7">
        <f>$B6 * IFERROR(VLOOKUP("transport|NOx|Asthma symptoms cough", US_national_yearly!$D:$AM, 11, FALSE) / VLOOKUP("transport|NOx|Asthma symptoms cough", US_national_yearly!$D:$AM, 10, FALSE), 1)</f>
        <v>1.4817969420036561E-3</v>
      </c>
      <c r="D6" s="7">
        <f>$B6 * IFERROR(VLOOKUP("transport|NOx|Asthma symptoms cough", US_national_yearly!$D:$AM, 12, FALSE) / VLOOKUP("transport|NOx|Asthma symptoms cough", US_national_yearly!$D:$AM, 10, FALSE), 1)</f>
        <v>1.5017822963739439E-3</v>
      </c>
      <c r="E6" s="7">
        <f>$B6 * IFERROR(VLOOKUP("transport|NOx|Asthma symptoms cough", US_national_yearly!$D:$AM, 13, FALSE) / VLOOKUP("transport|NOx|Asthma symptoms cough", US_national_yearly!$D:$AM, 10, FALSE), 1)</f>
        <v>1.521767650744232E-3</v>
      </c>
      <c r="F6" s="7">
        <f>$B6 * IFERROR(VLOOKUP("transport|NOx|Asthma symptoms cough", US_national_yearly!$D:$AM, 14, FALSE) / VLOOKUP("transport|NOx|Asthma symptoms cough", US_national_yearly!$D:$AM, 10, FALSE), 1)</f>
        <v>1.5417530051145198E-3</v>
      </c>
      <c r="G6" s="7">
        <f>$B6 * IFERROR(VLOOKUP("transport|NOx|Asthma symptoms cough", US_national_yearly!$D:$AM, 15, FALSE) / VLOOKUP("transport|NOx|Asthma symptoms cough", US_national_yearly!$D:$AM, 10, FALSE), 1)</f>
        <v>1.5577085178145995E-3</v>
      </c>
      <c r="H6" s="7">
        <f>$B6 * IFERROR(VLOOKUP("transport|NOx|Asthma symptoms cough", US_national_yearly!$D:$AM, 16, FALSE) / VLOOKUP("transport|NOx|Asthma symptoms cough", US_national_yearly!$D:$AM, 10, FALSE), 1)</f>
        <v>1.5736640305146793E-3</v>
      </c>
      <c r="I6" s="7">
        <f>$B6 * IFERROR(VLOOKUP("transport|NOx|Asthma symptoms cough", US_national_yearly!$D:$AM, 17, FALSE) / VLOOKUP("transport|NOx|Asthma symptoms cough", US_national_yearly!$D:$AM, 10, FALSE), 1)</f>
        <v>1.5791556898900052E-3</v>
      </c>
      <c r="J6" s="7">
        <f>$B6 * IFERROR(VLOOKUP("transport|NOx|Asthma symptoms cough", US_national_yearly!$D:$AM, 18, FALSE) / VLOOKUP("transport|NOx|Asthma symptoms cough", US_national_yearly!$D:$AM, 10, FALSE), 1)</f>
        <v>1.5846473492653313E-3</v>
      </c>
      <c r="K6" s="7">
        <f>$B6 * IFERROR(VLOOKUP("transport|NOx|Asthma symptoms cough", US_national_yearly!$D:$AM, 19, FALSE) / VLOOKUP("transport|NOx|Asthma symptoms cough", US_national_yearly!$D:$AM, 10, FALSE), 1)</f>
        <v>1.5901390086406572E-3</v>
      </c>
      <c r="L6" s="7">
        <f>$B6 * IFERROR(VLOOKUP("transport|NOx|Asthma symptoms cough", US_national_yearly!$D:$AM, 20, FALSE) / VLOOKUP("transport|NOx|Asthma symptoms cough", US_national_yearly!$D:$AM, 10, FALSE), 1)</f>
        <v>1.595630668015983E-3</v>
      </c>
      <c r="M6" s="7">
        <f>$B6 * IFERROR(VLOOKUP("transport|NOx|Asthma symptoms cough", US_national_yearly!$D:$AM, 21, FALSE) / VLOOKUP("transport|NOx|Asthma symptoms cough", US_national_yearly!$D:$AM, 10, FALSE), 1)</f>
        <v>1.6011223273913091E-3</v>
      </c>
      <c r="N6" s="7">
        <f>$B6 * IFERROR(VLOOKUP("transport|NOx|Asthma symptoms cough", US_national_yearly!$D:$AM, 22, FALSE) / VLOOKUP("transport|NOx|Asthma symptoms cough", US_national_yearly!$D:$AM, 10, FALSE), 1)</f>
        <v>1.6074903153858789E-3</v>
      </c>
      <c r="O6" s="7">
        <f>$B6 * IFERROR(VLOOKUP("transport|NOx|Asthma symptoms cough", US_national_yearly!$D:$AM, 23, FALSE) / VLOOKUP("transport|NOx|Asthma symptoms cough", US_national_yearly!$D:$AM, 10, FALSE), 1)</f>
        <v>1.6138583033804485E-3</v>
      </c>
      <c r="P6" s="7">
        <f>$B6 * IFERROR(VLOOKUP("transport|NOx|Asthma symptoms cough", US_national_yearly!$D:$AM, 24, FALSE) / VLOOKUP("transport|NOx|Asthma symptoms cough", US_national_yearly!$D:$AM, 10, FALSE), 1)</f>
        <v>1.6202262913750183E-3</v>
      </c>
      <c r="Q6" s="7">
        <f>$B6 * IFERROR(VLOOKUP("transport|NOx|Asthma symptoms cough", US_national_yearly!$D:$AM, 25, FALSE) / VLOOKUP("transport|NOx|Asthma symptoms cough", US_national_yearly!$D:$AM, 10, FALSE), 1)</f>
        <v>1.6265942793695883E-3</v>
      </c>
      <c r="R6" s="7">
        <f>$B6 * IFERROR(VLOOKUP("transport|NOx|Asthma symptoms cough", US_national_yearly!$D:$AM, 26, FALSE) / VLOOKUP("transport|NOx|Asthma symptoms cough", US_national_yearly!$D:$AM, 10, FALSE), 1)</f>
        <v>1.6329622673641581E-3</v>
      </c>
      <c r="S6" s="7">
        <f>$B6 * IFERROR(VLOOKUP("transport|NOx|Asthma symptoms cough", US_national_yearly!$D:$AM, 27, FALSE) / VLOOKUP("transport|NOx|Asthma symptoms cough", US_national_yearly!$D:$AM, 10, FALSE), 1)</f>
        <v>1.6412808878742138E-3</v>
      </c>
      <c r="T6" s="7">
        <f>$B6 * IFERROR(VLOOKUP("transport|NOx|Asthma symptoms cough", US_national_yearly!$D:$AM, 28, FALSE) / VLOOKUP("transport|NOx|Asthma symptoms cough", US_national_yearly!$D:$AM, 10, FALSE), 1)</f>
        <v>1.649599508384269E-3</v>
      </c>
      <c r="U6" s="7">
        <f>$B6 * IFERROR(VLOOKUP("transport|NOx|Asthma symptoms cough", US_national_yearly!$D:$AM, 29, FALSE) / VLOOKUP("transport|NOx|Asthma symptoms cough", US_national_yearly!$D:$AM, 10, FALSE), 1)</f>
        <v>1.657918128894324E-3</v>
      </c>
      <c r="V6" s="7">
        <f>$B6 * IFERROR(VLOOKUP("transport|NOx|Asthma symptoms cough", US_national_yearly!$D:$AM, 30, FALSE) / VLOOKUP("transport|NOx|Asthma symptoms cough", US_national_yearly!$D:$AM, 10, FALSE), 1)</f>
        <v>1.6662367494043797E-3</v>
      </c>
      <c r="W6" s="7">
        <f>$B6 * IFERROR(VLOOKUP("transport|NOx|Asthma symptoms cough", US_national_yearly!$D:$AM, 31, FALSE) / VLOOKUP("transport|NOx|Asthma symptoms cough", US_national_yearly!$D:$AM, 10, FALSE), 1)</f>
        <v>1.6745553699144351E-3</v>
      </c>
      <c r="X6" s="7">
        <f>$B6 * IFERROR(VLOOKUP("transport|NOx|Asthma symptoms cough", US_national_yearly!$D:$AM, 32, FALSE) / VLOOKUP("transport|NOx|Asthma symptoms cough", US_national_yearly!$D:$AM, 10, FALSE), 1)</f>
        <v>1.6822845636338204E-3</v>
      </c>
      <c r="Y6" s="7">
        <f>$B6 * IFERROR(VLOOKUP("transport|NOx|Asthma symptoms cough", US_national_yearly!$D:$AM, 33, FALSE) / VLOOKUP("transport|NOx|Asthma symptoms cough", US_national_yearly!$D:$AM, 10, FALSE), 1)</f>
        <v>1.6900137573532059E-3</v>
      </c>
      <c r="Z6" s="7">
        <f>$B6 * IFERROR(VLOOKUP("transport|NOx|Asthma symptoms cough", US_national_yearly!$D:$AM, 34, FALSE) / VLOOKUP("transport|NOx|Asthma symptoms cough", US_national_yearly!$D:$AM, 10, FALSE), 1)</f>
        <v>1.6977429510725915E-3</v>
      </c>
      <c r="AA6" s="7">
        <f>$B6 * IFERROR(VLOOKUP("transport|NOx|Asthma symptoms cough", US_national_yearly!$D:$AM, 35, FALSE) / VLOOKUP("transport|NOx|Asthma symptoms cough", US_national_yearly!$D:$AM, 10, FALSE), 1)</f>
        <v>1.705472144791977E-3</v>
      </c>
      <c r="AB6" s="7">
        <f>$B6 * IFERROR(VLOOKUP("transport|NOx|Asthma symptoms cough", US_national_yearly!$D:$AM, 36, FALSE) / VLOOKUP("transport|NOx|Asthma symptoms cough", US_national_yearly!$D:$AM, 10, FALSE), 1)</f>
        <v>1.7132013385113627E-3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1.9685093675555084E-3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1.9954221089743553E-3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2.0223348503932022E-3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2.0492475918120492E-3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2.0761603332308961E-3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2.097646396433644E-3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2.1191324596363916E-3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2.1265276553945416E-3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2.1339228511526916E-3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2.1413180469108417E-3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2.1487132426689917E-3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2.1561084384271417E-3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2.1646837186377818E-3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2.1732589988484215E-3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2.1818342790590607E-3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2.1904095592697008E-3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2.1989848394803405E-3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2.2101868866733375E-3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2.2213889338663349E-3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2.2325909810593319E-3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2.2437930282523284E-3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2.2549950754453254E-3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2.2654033868530475E-3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2.2758116982607699E-3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2.2862200096684924E-3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2.2966283210762149E-3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2.3070366324839369E-3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3.0076629988678985E-3</v>
      </c>
      <c r="C8" s="7">
        <f>$B8 * IFERROR(VLOOKUP("transport|NOx|Asthma symptoms wheeze", US_national_yearly!$D:$AM, 11, FALSE) / VLOOKUP("transport|NOx|Asthma symptoms wheeze", US_national_yearly!$D:$AM, 10, FALSE), 1)</f>
        <v>3.0487826694534769E-3</v>
      </c>
      <c r="D8" s="7">
        <f>$B8 * IFERROR(VLOOKUP("transport|NOx|Asthma symptoms wheeze", US_national_yearly!$D:$AM, 12, FALSE) / VLOOKUP("transport|NOx|Asthma symptoms wheeze", US_national_yearly!$D:$AM, 10, FALSE), 1)</f>
        <v>3.0899023400390562E-3</v>
      </c>
      <c r="E8" s="7">
        <f>$B8 * IFERROR(VLOOKUP("transport|NOx|Asthma symptoms wheeze", US_national_yearly!$D:$AM, 13, FALSE) / VLOOKUP("transport|NOx|Asthma symptoms wheeze", US_national_yearly!$D:$AM, 10, FALSE), 1)</f>
        <v>3.1310220106246347E-3</v>
      </c>
      <c r="F8" s="7">
        <f>$B8 * IFERROR(VLOOKUP("transport|NOx|Asthma symptoms wheeze", US_national_yearly!$D:$AM, 14, FALSE) / VLOOKUP("transport|NOx|Asthma symptoms wheeze", US_national_yearly!$D:$AM, 10, FALSE), 1)</f>
        <v>3.1721416812102131E-3</v>
      </c>
      <c r="G8" s="7">
        <f>$B8 * IFERROR(VLOOKUP("transport|NOx|Asthma symptoms wheeze", US_national_yearly!$D:$AM, 15, FALSE) / VLOOKUP("transport|NOx|Asthma symptoms wheeze", US_national_yearly!$D:$AM, 10, FALSE), 1)</f>
        <v>3.204969992111493E-3</v>
      </c>
      <c r="H8" s="7">
        <f>$B8 * IFERROR(VLOOKUP("transport|NOx|Asthma symptoms wheeze", US_national_yearly!$D:$AM, 16, FALSE) / VLOOKUP("transport|NOx|Asthma symptoms wheeze", US_national_yearly!$D:$AM, 10, FALSE), 1)</f>
        <v>3.2377983030127725E-3</v>
      </c>
      <c r="I8" s="7">
        <f>$B8 * IFERROR(VLOOKUP("transport|NOx|Asthma symptoms wheeze", US_national_yearly!$D:$AM, 17, FALSE) / VLOOKUP("transport|NOx|Asthma symptoms wheeze", US_national_yearly!$D:$AM, 10, FALSE), 1)</f>
        <v>3.2490973383613553E-3</v>
      </c>
      <c r="J8" s="7">
        <f>$B8 * IFERROR(VLOOKUP("transport|NOx|Asthma symptoms wheeze", US_national_yearly!$D:$AM, 18, FALSE) / VLOOKUP("transport|NOx|Asthma symptoms wheeze", US_national_yearly!$D:$AM, 10, FALSE), 1)</f>
        <v>3.2603963737099385E-3</v>
      </c>
      <c r="K8" s="7">
        <f>$B8 * IFERROR(VLOOKUP("transport|NOx|Asthma symptoms wheeze", US_national_yearly!$D:$AM, 19, FALSE) / VLOOKUP("transport|NOx|Asthma symptoms wheeze", US_national_yearly!$D:$AM, 10, FALSE), 1)</f>
        <v>3.2716954090585199E-3</v>
      </c>
      <c r="L8" s="7">
        <f>$B8 * IFERROR(VLOOKUP("transport|NOx|Asthma symptoms wheeze", US_national_yearly!$D:$AM, 20, FALSE) / VLOOKUP("transport|NOx|Asthma symptoms wheeze", US_national_yearly!$D:$AM, 10, FALSE), 1)</f>
        <v>3.2829944444071031E-3</v>
      </c>
      <c r="M8" s="7">
        <f>$B8 * IFERROR(VLOOKUP("transport|NOx|Asthma symptoms wheeze", US_national_yearly!$D:$AM, 21, FALSE) / VLOOKUP("transport|NOx|Asthma symptoms wheeze", US_national_yearly!$D:$AM, 10, FALSE), 1)</f>
        <v>3.2942934797556859E-3</v>
      </c>
      <c r="N8" s="7">
        <f>$B8 * IFERROR(VLOOKUP("transport|NOx|Asthma symptoms wheeze", US_national_yearly!$D:$AM, 22, FALSE) / VLOOKUP("transport|NOx|Asthma symptoms wheeze", US_national_yearly!$D:$AM, 10, FALSE), 1)</f>
        <v>3.3073955526559066E-3</v>
      </c>
      <c r="O8" s="7">
        <f>$B8 * IFERROR(VLOOKUP("transport|NOx|Asthma symptoms wheeze", US_national_yearly!$D:$AM, 23, FALSE) / VLOOKUP("transport|NOx|Asthma symptoms wheeze", US_national_yearly!$D:$AM, 10, FALSE), 1)</f>
        <v>3.3204976255561281E-3</v>
      </c>
      <c r="P8" s="7">
        <f>$B8 * IFERROR(VLOOKUP("transport|NOx|Asthma symptoms wheeze", US_national_yearly!$D:$AM, 24, FALSE) / VLOOKUP("transport|NOx|Asthma symptoms wheeze", US_national_yearly!$D:$AM, 10, FALSE), 1)</f>
        <v>3.3335996984563488E-3</v>
      </c>
      <c r="Q8" s="7">
        <f>$B8 * IFERROR(VLOOKUP("transport|NOx|Asthma symptoms wheeze", US_national_yearly!$D:$AM, 25, FALSE) / VLOOKUP("transport|NOx|Asthma symptoms wheeze", US_national_yearly!$D:$AM, 10, FALSE), 1)</f>
        <v>3.3467017713565703E-3</v>
      </c>
      <c r="R8" s="7">
        <f>$B8 * IFERROR(VLOOKUP("transport|NOx|Asthma symptoms wheeze", US_national_yearly!$D:$AM, 26, FALSE) / VLOOKUP("transport|NOx|Asthma symptoms wheeze", US_national_yearly!$D:$AM, 10, FALSE), 1)</f>
        <v>3.359803844256791E-3</v>
      </c>
      <c r="S8" s="7">
        <f>$B8 * IFERROR(VLOOKUP("transport|NOx|Asthma symptoms wheeze", US_national_yearly!$D:$AM, 27, FALSE) / VLOOKUP("transport|NOx|Asthma symptoms wheeze", US_national_yearly!$D:$AM, 10, FALSE), 1)</f>
        <v>3.3769193244336379E-3</v>
      </c>
      <c r="T8" s="7">
        <f>$B8 * IFERROR(VLOOKUP("transport|NOx|Asthma symptoms wheeze", US_national_yearly!$D:$AM, 28, FALSE) / VLOOKUP("transport|NOx|Asthma symptoms wheeze", US_national_yearly!$D:$AM, 10, FALSE), 1)</f>
        <v>3.3940348046104848E-3</v>
      </c>
      <c r="U8" s="7">
        <f>$B8 * IFERROR(VLOOKUP("transport|NOx|Asthma symptoms wheeze", US_national_yearly!$D:$AM, 29, FALSE) / VLOOKUP("transport|NOx|Asthma symptoms wheeze", US_national_yearly!$D:$AM, 10, FALSE), 1)</f>
        <v>3.4111502847873313E-3</v>
      </c>
      <c r="V8" s="7">
        <f>$B8 * IFERROR(VLOOKUP("transport|NOx|Asthma symptoms wheeze", US_national_yearly!$D:$AM, 30, FALSE) / VLOOKUP("transport|NOx|Asthma symptoms wheeze", US_national_yearly!$D:$AM, 10, FALSE), 1)</f>
        <v>3.428265764964179E-3</v>
      </c>
      <c r="W8" s="7">
        <f>$B8 * IFERROR(VLOOKUP("transport|NOx|Asthma symptoms wheeze", US_national_yearly!$D:$AM, 31, FALSE) / VLOOKUP("transport|NOx|Asthma symptoms wheeze", US_national_yearly!$D:$AM, 10, FALSE), 1)</f>
        <v>3.4453812451410251E-3</v>
      </c>
      <c r="X8" s="7">
        <f>$B8 * IFERROR(VLOOKUP("transport|NOx|Asthma symptoms wheeze", US_national_yearly!$D:$AM, 32, FALSE) / VLOOKUP("transport|NOx|Asthma symptoms wheeze", US_national_yearly!$D:$AM, 10, FALSE), 1)</f>
        <v>3.4612839854670559E-3</v>
      </c>
      <c r="Y8" s="7">
        <f>$B8 * IFERROR(VLOOKUP("transport|NOx|Asthma symptoms wheeze", US_national_yearly!$D:$AM, 33, FALSE) / VLOOKUP("transport|NOx|Asthma symptoms wheeze", US_national_yearly!$D:$AM, 10, FALSE), 1)</f>
        <v>3.477186725793086E-3</v>
      </c>
      <c r="Z8" s="7">
        <f>$B8 * IFERROR(VLOOKUP("transport|NOx|Asthma symptoms wheeze", US_national_yearly!$D:$AM, 34, FALSE) / VLOOKUP("transport|NOx|Asthma symptoms wheeze", US_national_yearly!$D:$AM, 10, FALSE), 1)</f>
        <v>3.4930894661191168E-3</v>
      </c>
      <c r="AA8" s="7">
        <f>$B8 * IFERROR(VLOOKUP("transport|NOx|Asthma symptoms wheeze", US_national_yearly!$D:$AM, 35, FALSE) / VLOOKUP("transport|NOx|Asthma symptoms wheeze", US_national_yearly!$D:$AM, 10, FALSE), 1)</f>
        <v>3.5089922064451473E-3</v>
      </c>
      <c r="AB8" s="7">
        <f>$B8 * IFERROR(VLOOKUP("transport|NOx|Asthma symptoms wheeze", US_national_yearly!$D:$AM, 36, FALSE) / VLOOKUP("transport|NOx|Asthma symptoms wheeze", US_national_yearly!$D:$AM, 10, FALSE), 1)</f>
        <v>3.5248949467711782E-3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3.5451434242374118E-5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3.6335758382776144E-5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3.7220082523178177E-5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3.8104406663580204E-5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3.8988730803982237E-5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3.9834174781017498E-5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4.0679618758052758E-5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4.1397418075124931E-5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4.2115217392197098E-5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4.2833016709269271E-5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4.3550816026341451E-5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4.4268615343413624E-5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4.4748477110536774E-5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4.5228338877659943E-5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4.5708200644783106E-5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4.6188062411906276E-5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4.6667924179029432E-5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4.6925021111106287E-5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4.7182118043183142E-5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4.743921497525999E-5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4.7696311907336837E-5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4.7953408839413699E-5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4.8129101191358508E-5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4.830479354330333E-5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4.8480485895248153E-5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4.8656178247192976E-5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4.8831870599137785E-5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2.336311184348958E-4</v>
      </c>
      <c r="C13" s="7">
        <f>$B13 * IFERROR(VLOOKUP("transport|NOx|Non-fatal heart attacks", US_national_yearly!$D:$AM, 11, FALSE) / VLOOKUP("transport|NOx|Non-fatal heart attacks", US_national_yearly!$D:$AM, 10, FALSE), 1)</f>
        <v>2.4031042626880092E-4</v>
      </c>
      <c r="D13" s="7">
        <f>$B13 * IFERROR(VLOOKUP("transport|NOx|Non-fatal heart attacks", US_national_yearly!$D:$AM, 12, FALSE) / VLOOKUP("transport|NOx|Non-fatal heart attacks", US_national_yearly!$D:$AM, 10, FALSE), 1)</f>
        <v>2.4698973410270606E-4</v>
      </c>
      <c r="E13" s="7">
        <f>$B13 * IFERROR(VLOOKUP("transport|NOx|Non-fatal heart attacks", US_national_yearly!$D:$AM, 13, FALSE) / VLOOKUP("transport|NOx|Non-fatal heart attacks", US_national_yearly!$D:$AM, 10, FALSE), 1)</f>
        <v>2.5366904193661113E-4</v>
      </c>
      <c r="F13" s="7">
        <f>$B13 * IFERROR(VLOOKUP("transport|NOx|Non-fatal heart attacks", US_national_yearly!$D:$AM, 14, FALSE) / VLOOKUP("transport|NOx|Non-fatal heart attacks", US_national_yearly!$D:$AM, 10, FALSE), 1)</f>
        <v>2.6034834977051624E-4</v>
      </c>
      <c r="G13" s="7">
        <f>$B13 * IFERROR(VLOOKUP("transport|NOx|Non-fatal heart attacks", US_national_yearly!$D:$AM, 15, FALSE) / VLOOKUP("transport|NOx|Non-fatal heart attacks", US_national_yearly!$D:$AM, 10, FALSE), 1)</f>
        <v>2.6659014905938043E-4</v>
      </c>
      <c r="H13" s="7">
        <f>$B13 * IFERROR(VLOOKUP("transport|NOx|Non-fatal heart attacks", US_national_yearly!$D:$AM, 16, FALSE) / VLOOKUP("transport|NOx|Non-fatal heart attacks", US_national_yearly!$D:$AM, 10, FALSE), 1)</f>
        <v>2.7283194834824457E-4</v>
      </c>
      <c r="I13" s="7">
        <f>$B13 * IFERROR(VLOOKUP("transport|NOx|Non-fatal heart attacks", US_national_yearly!$D:$AM, 17, FALSE) / VLOOKUP("transport|NOx|Non-fatal heart attacks", US_national_yearly!$D:$AM, 10, FALSE), 1)</f>
        <v>2.7775289358172877E-4</v>
      </c>
      <c r="J13" s="7">
        <f>$B13 * IFERROR(VLOOKUP("transport|NOx|Non-fatal heart attacks", US_national_yearly!$D:$AM, 18, FALSE) / VLOOKUP("transport|NOx|Non-fatal heart attacks", US_national_yearly!$D:$AM, 10, FALSE), 1)</f>
        <v>2.8267383881521298E-4</v>
      </c>
      <c r="K13" s="7">
        <f>$B13 * IFERROR(VLOOKUP("transport|NOx|Non-fatal heart attacks", US_national_yearly!$D:$AM, 19, FALSE) / VLOOKUP("transport|NOx|Non-fatal heart attacks", US_national_yearly!$D:$AM, 10, FALSE), 1)</f>
        <v>2.8759478404869702E-4</v>
      </c>
      <c r="L13" s="7">
        <f>$B13 * IFERROR(VLOOKUP("transport|NOx|Non-fatal heart attacks", US_national_yearly!$D:$AM, 20, FALSE) / VLOOKUP("transport|NOx|Non-fatal heart attacks", US_national_yearly!$D:$AM, 10, FALSE), 1)</f>
        <v>2.9251572928218138E-4</v>
      </c>
      <c r="M13" s="7">
        <f>$B13 * IFERROR(VLOOKUP("transport|NOx|Non-fatal heart attacks", US_national_yearly!$D:$AM, 21, FALSE) / VLOOKUP("transport|NOx|Non-fatal heart attacks", US_national_yearly!$D:$AM, 10, FALSE), 1)</f>
        <v>2.9743667451566553E-4</v>
      </c>
      <c r="N13" s="7">
        <f>$B13 * IFERROR(VLOOKUP("transport|NOx|Non-fatal heart attacks", US_national_yearly!$D:$AM, 22, FALSE) / VLOOKUP("transport|NOx|Non-fatal heart attacks", US_national_yearly!$D:$AM, 10, FALSE), 1)</f>
        <v>3.003972644035578E-4</v>
      </c>
      <c r="O13" s="7">
        <f>$B13 * IFERROR(VLOOKUP("transport|NOx|Non-fatal heart attacks", US_national_yearly!$D:$AM, 23, FALSE) / VLOOKUP("transport|NOx|Non-fatal heart attacks", US_national_yearly!$D:$AM, 10, FALSE), 1)</f>
        <v>3.0335785429145E-4</v>
      </c>
      <c r="P13" s="7">
        <f>$B13 * IFERROR(VLOOKUP("transport|NOx|Non-fatal heart attacks", US_national_yearly!$D:$AM, 24, FALSE) / VLOOKUP("transport|NOx|Non-fatal heart attacks", US_national_yearly!$D:$AM, 10, FALSE), 1)</f>
        <v>3.0631844417934221E-4</v>
      </c>
      <c r="Q13" s="7">
        <f>$B13 * IFERROR(VLOOKUP("transport|NOx|Non-fatal heart attacks", US_national_yearly!$D:$AM, 25, FALSE) / VLOOKUP("transport|NOx|Non-fatal heart attacks", US_national_yearly!$D:$AM, 10, FALSE), 1)</f>
        <v>3.0927903406723453E-4</v>
      </c>
      <c r="R13" s="7">
        <f>$B13 * IFERROR(VLOOKUP("transport|NOx|Non-fatal heart attacks", US_national_yearly!$D:$AM, 26, FALSE) / VLOOKUP("transport|NOx|Non-fatal heart attacks", US_national_yearly!$D:$AM, 10, FALSE), 1)</f>
        <v>3.1223962395512679E-4</v>
      </c>
      <c r="S13" s="7">
        <f>$B13 * IFERROR(VLOOKUP("transport|NOx|Non-fatal heart attacks", US_national_yearly!$D:$AM, 27, FALSE) / VLOOKUP("transport|NOx|Non-fatal heart attacks", US_national_yearly!$D:$AM, 10, FALSE), 1)</f>
        <v>3.1358256800481578E-4</v>
      </c>
      <c r="T13" s="7">
        <f>$B13 * IFERROR(VLOOKUP("transport|NOx|Non-fatal heart attacks", US_national_yearly!$D:$AM, 28, FALSE) / VLOOKUP("transport|NOx|Non-fatal heart attacks", US_national_yearly!$D:$AM, 10, FALSE), 1)</f>
        <v>3.1492551205450473E-4</v>
      </c>
      <c r="U13" s="7">
        <f>$B13 * IFERROR(VLOOKUP("transport|NOx|Non-fatal heart attacks", US_national_yearly!$D:$AM, 29, FALSE) / VLOOKUP("transport|NOx|Non-fatal heart attacks", US_national_yearly!$D:$AM, 10, FALSE), 1)</f>
        <v>3.1626845610419367E-4</v>
      </c>
      <c r="V13" s="7">
        <f>$B13 * IFERROR(VLOOKUP("transport|NOx|Non-fatal heart attacks", US_national_yearly!$D:$AM, 30, FALSE) / VLOOKUP("transport|NOx|Non-fatal heart attacks", US_national_yearly!$D:$AM, 10, FALSE), 1)</f>
        <v>3.1761140015388266E-4</v>
      </c>
      <c r="W13" s="7">
        <f>$B13 * IFERROR(VLOOKUP("transport|NOx|Non-fatal heart attacks", US_national_yearly!$D:$AM, 31, FALSE) / VLOOKUP("transport|NOx|Non-fatal heart attacks", US_national_yearly!$D:$AM, 10, FALSE), 1)</f>
        <v>3.1895434420357161E-4</v>
      </c>
      <c r="X13" s="7">
        <f>$B13 * IFERROR(VLOOKUP("transport|NOx|Non-fatal heart attacks", US_national_yearly!$D:$AM, 32, FALSE) / VLOOKUP("transport|NOx|Non-fatal heart attacks", US_national_yearly!$D:$AM, 10, FALSE), 1)</f>
        <v>3.1985177008088649E-4</v>
      </c>
      <c r="Y13" s="7">
        <f>$B13 * IFERROR(VLOOKUP("transport|NOx|Non-fatal heart attacks", US_national_yearly!$D:$AM, 33, FALSE) / VLOOKUP("transport|NOx|Non-fatal heart attacks", US_national_yearly!$D:$AM, 10, FALSE), 1)</f>
        <v>3.2074919595820144E-4</v>
      </c>
      <c r="Z13" s="7">
        <f>$B13 * IFERROR(VLOOKUP("transport|NOx|Non-fatal heart attacks", US_national_yearly!$D:$AM, 34, FALSE) / VLOOKUP("transport|NOx|Non-fatal heart attacks", US_national_yearly!$D:$AM, 10, FALSE), 1)</f>
        <v>3.2164662183551621E-4</v>
      </c>
      <c r="AA13" s="7">
        <f>$B13 * IFERROR(VLOOKUP("transport|NOx|Non-fatal heart attacks", US_national_yearly!$D:$AM, 35, FALSE) / VLOOKUP("transport|NOx|Non-fatal heart attacks", US_national_yearly!$D:$AM, 10, FALSE), 1)</f>
        <v>3.225440477128311E-4</v>
      </c>
      <c r="AB13" s="7">
        <f>$B13 * IFERROR(VLOOKUP("transport|NOx|Non-fatal heart attacks", US_national_yearly!$D:$AM, 36, FALSE) / VLOOKUP("transport|NOx|Non-fatal heart attacks", US_national_yearly!$D:$AM, 10, FALSE), 1)</f>
        <v>3.2344147359014599E-4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0.18030450722000957</v>
      </c>
      <c r="C14" s="7">
        <f>$B14 * IFERROR(VLOOKUP("transport|NOx|Minor restricted activity days", US_national_yearly!$D:$AM, 11, FALSE) / VLOOKUP("transport|NOx|Minor restricted activity days", US_national_yearly!$D:$AM, 10, FALSE), 1)</f>
        <v>0.18058094428803184</v>
      </c>
      <c r="D14" s="7">
        <f>$B14 * IFERROR(VLOOKUP("transport|NOx|Minor restricted activity days", US_national_yearly!$D:$AM, 12, FALSE) / VLOOKUP("transport|NOx|Minor restricted activity days", US_national_yearly!$D:$AM, 10, FALSE), 1)</f>
        <v>0.18085738135605417</v>
      </c>
      <c r="E14" s="7">
        <f>$B14 * IFERROR(VLOOKUP("transport|NOx|Minor restricted activity days", US_national_yearly!$D:$AM, 13, FALSE) / VLOOKUP("transport|NOx|Minor restricted activity days", US_national_yearly!$D:$AM, 10, FALSE), 1)</f>
        <v>0.18113381842407647</v>
      </c>
      <c r="F14" s="7">
        <f>$B14 * IFERROR(VLOOKUP("transport|NOx|Minor restricted activity days", US_national_yearly!$D:$AM, 14, FALSE) / VLOOKUP("transport|NOx|Minor restricted activity days", US_national_yearly!$D:$AM, 10, FALSE), 1)</f>
        <v>0.18141025549209877</v>
      </c>
      <c r="G14" s="7">
        <f>$B14 * IFERROR(VLOOKUP("transport|NOx|Minor restricted activity days", US_national_yearly!$D:$AM, 15, FALSE) / VLOOKUP("transport|NOx|Minor restricted activity days", US_national_yearly!$D:$AM, 10, FALSE), 1)</f>
        <v>0.18190943503927093</v>
      </c>
      <c r="H14" s="7">
        <f>$B14 * IFERROR(VLOOKUP("transport|NOx|Minor restricted activity days", US_national_yearly!$D:$AM, 16, FALSE) / VLOOKUP("transport|NOx|Minor restricted activity days", US_national_yearly!$D:$AM, 10, FALSE), 1)</f>
        <v>0.18240861458644306</v>
      </c>
      <c r="I14" s="7">
        <f>$B14 * IFERROR(VLOOKUP("transport|NOx|Minor restricted activity days", US_national_yearly!$D:$AM, 17, FALSE) / VLOOKUP("transport|NOx|Minor restricted activity days", US_national_yearly!$D:$AM, 10, FALSE), 1)</f>
        <v>0.18338499004110995</v>
      </c>
      <c r="J14" s="7">
        <f>$B14 * IFERROR(VLOOKUP("transport|NOx|Minor restricted activity days", US_national_yearly!$D:$AM, 18, FALSE) / VLOOKUP("transport|NOx|Minor restricted activity days", US_national_yearly!$D:$AM, 10, FALSE), 1)</f>
        <v>0.18436136549577681</v>
      </c>
      <c r="K14" s="7">
        <f>$B14 * IFERROR(VLOOKUP("transport|NOx|Minor restricted activity days", US_national_yearly!$D:$AM, 19, FALSE) / VLOOKUP("transport|NOx|Minor restricted activity days", US_national_yearly!$D:$AM, 10, FALSE), 1)</f>
        <v>0.1853377409504437</v>
      </c>
      <c r="L14" s="7">
        <f>$B14 * IFERROR(VLOOKUP("transport|NOx|Minor restricted activity days", US_national_yearly!$D:$AM, 20, FALSE) / VLOOKUP("transport|NOx|Minor restricted activity days", US_national_yearly!$D:$AM, 10, FALSE), 1)</f>
        <v>0.18631411640511053</v>
      </c>
      <c r="M14" s="7">
        <f>$B14 * IFERROR(VLOOKUP("transport|NOx|Minor restricted activity days", US_national_yearly!$D:$AM, 21, FALSE) / VLOOKUP("transport|NOx|Minor restricted activity days", US_national_yearly!$D:$AM, 10, FALSE), 1)</f>
        <v>0.18729049185977742</v>
      </c>
      <c r="N14" s="7">
        <f>$B14 * IFERROR(VLOOKUP("transport|NOx|Minor restricted activity days", US_national_yearly!$D:$AM, 22, FALSE) / VLOOKUP("transport|NOx|Minor restricted activity days", US_national_yearly!$D:$AM, 10, FALSE), 1)</f>
        <v>0.1886884401225212</v>
      </c>
      <c r="O14" s="7">
        <f>$B14 * IFERROR(VLOOKUP("transport|NOx|Minor restricted activity days", US_national_yearly!$D:$AM, 23, FALSE) / VLOOKUP("transport|NOx|Minor restricted activity days", US_national_yearly!$D:$AM, 10, FALSE), 1)</f>
        <v>0.19008638838526498</v>
      </c>
      <c r="P14" s="7">
        <f>$B14 * IFERROR(VLOOKUP("transport|NOx|Minor restricted activity days", US_national_yearly!$D:$AM, 24, FALSE) / VLOOKUP("transport|NOx|Minor restricted activity days", US_national_yearly!$D:$AM, 10, FALSE), 1)</f>
        <v>0.19148433664800876</v>
      </c>
      <c r="Q14" s="7">
        <f>$B14 * IFERROR(VLOOKUP("transport|NOx|Minor restricted activity days", US_national_yearly!$D:$AM, 25, FALSE) / VLOOKUP("transport|NOx|Minor restricted activity days", US_national_yearly!$D:$AM, 10, FALSE), 1)</f>
        <v>0.19288228491075254</v>
      </c>
      <c r="R14" s="7">
        <f>$B14 * IFERROR(VLOOKUP("transport|NOx|Minor restricted activity days", US_national_yearly!$D:$AM, 26, FALSE) / VLOOKUP("transport|NOx|Minor restricted activity days", US_national_yearly!$D:$AM, 10, FALSE), 1)</f>
        <v>0.1942802331734963</v>
      </c>
      <c r="S14" s="7">
        <f>$B14 * IFERROR(VLOOKUP("transport|NOx|Minor restricted activity days", US_national_yearly!$D:$AM, 27, FALSE) / VLOOKUP("transport|NOx|Minor restricted activity days", US_national_yearly!$D:$AM, 10, FALSE), 1)</f>
        <v>0.19567788752060994</v>
      </c>
      <c r="T14" s="7">
        <f>$B14 * IFERROR(VLOOKUP("transport|NOx|Minor restricted activity days", US_national_yearly!$D:$AM, 28, FALSE) / VLOOKUP("transport|NOx|Minor restricted activity days", US_national_yearly!$D:$AM, 10, FALSE), 1)</f>
        <v>0.19707554186772352</v>
      </c>
      <c r="U14" s="7">
        <f>$B14 * IFERROR(VLOOKUP("transport|NOx|Minor restricted activity days", US_national_yearly!$D:$AM, 29, FALSE) / VLOOKUP("transport|NOx|Minor restricted activity days", US_national_yearly!$D:$AM, 10, FALSE), 1)</f>
        <v>0.19847319621483714</v>
      </c>
      <c r="V14" s="7">
        <f>$B14 * IFERROR(VLOOKUP("transport|NOx|Minor restricted activity days", US_national_yearly!$D:$AM, 30, FALSE) / VLOOKUP("transport|NOx|Minor restricted activity days", US_national_yearly!$D:$AM, 10, FALSE), 1)</f>
        <v>0.19987085056195078</v>
      </c>
      <c r="W14" s="7">
        <f>$B14 * IFERROR(VLOOKUP("transport|NOx|Minor restricted activity days", US_national_yearly!$D:$AM, 31, FALSE) / VLOOKUP("transport|NOx|Minor restricted activity days", US_national_yearly!$D:$AM, 10, FALSE), 1)</f>
        <v>0.20126850490906434</v>
      </c>
      <c r="X14" s="7">
        <f>$B14 * IFERROR(VLOOKUP("transport|NOx|Minor restricted activity days", US_national_yearly!$D:$AM, 32, FALSE) / VLOOKUP("transport|NOx|Minor restricted activity days", US_national_yearly!$D:$AM, 10, FALSE), 1)</f>
        <v>0.2024501684147467</v>
      </c>
      <c r="Y14" s="7">
        <f>$B14 * IFERROR(VLOOKUP("transport|NOx|Minor restricted activity days", US_national_yearly!$D:$AM, 33, FALSE) / VLOOKUP("transport|NOx|Minor restricted activity days", US_national_yearly!$D:$AM, 10, FALSE), 1)</f>
        <v>0.20363183192042902</v>
      </c>
      <c r="Z14" s="7">
        <f>$B14 * IFERROR(VLOOKUP("transport|NOx|Minor restricted activity days", US_national_yearly!$D:$AM, 34, FALSE) / VLOOKUP("transport|NOx|Minor restricted activity days", US_national_yearly!$D:$AM, 10, FALSE), 1)</f>
        <v>0.20481349542611135</v>
      </c>
      <c r="AA14" s="7">
        <f>$B14 * IFERROR(VLOOKUP("transport|NOx|Minor restricted activity days", US_national_yearly!$D:$AM, 35, FALSE) / VLOOKUP("transport|NOx|Minor restricted activity days", US_national_yearly!$D:$AM, 10, FALSE), 1)</f>
        <v>0.20599515893179371</v>
      </c>
      <c r="AB14" s="7">
        <f>$B14 * IFERROR(VLOOKUP("transport|NOx|Minor restricted activity days", US_national_yearly!$D:$AM, 36, FALSE) / VLOOKUP("transport|NOx|Minor restricted activity days", US_national_yearly!$D:$AM, 10, FALSE), 1)</f>
        <v>0.20717682243747604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3.0468734642067768E-2</v>
      </c>
      <c r="C15" s="7">
        <f>$B15 * IFERROR(VLOOKUP("transport|NOx|Work loss days", US_national_yearly!$D:$AM, 11, FALSE) / VLOOKUP("transport|NOx|Work loss days", US_national_yearly!$D:$AM, 10, FALSE), 1)</f>
        <v>3.0536510703164665E-2</v>
      </c>
      <c r="D15" s="7">
        <f>$B15 * IFERROR(VLOOKUP("transport|NOx|Work loss days", US_national_yearly!$D:$AM, 12, FALSE) / VLOOKUP("transport|NOx|Work loss days", US_national_yearly!$D:$AM, 10, FALSE), 1)</f>
        <v>3.0604286764261565E-2</v>
      </c>
      <c r="E15" s="7">
        <f>$B15 * IFERROR(VLOOKUP("transport|NOx|Work loss days", US_national_yearly!$D:$AM, 13, FALSE) / VLOOKUP("transport|NOx|Work loss days", US_national_yearly!$D:$AM, 10, FALSE), 1)</f>
        <v>3.0672062825358462E-2</v>
      </c>
      <c r="F15" s="7">
        <f>$B15 * IFERROR(VLOOKUP("transport|NOx|Work loss days", US_national_yearly!$D:$AM, 14, FALSE) / VLOOKUP("transport|NOx|Work loss days", US_national_yearly!$D:$AM, 10, FALSE), 1)</f>
        <v>3.0739838886455366E-2</v>
      </c>
      <c r="G15" s="7">
        <f>$B15 * IFERROR(VLOOKUP("transport|NOx|Work loss days", US_national_yearly!$D:$AM, 15, FALSE) / VLOOKUP("transport|NOx|Work loss days", US_national_yearly!$D:$AM, 10, FALSE), 1)</f>
        <v>3.0838792513816729E-2</v>
      </c>
      <c r="H15" s="7">
        <f>$B15 * IFERROR(VLOOKUP("transport|NOx|Work loss days", US_national_yearly!$D:$AM, 16, FALSE) / VLOOKUP("transport|NOx|Work loss days", US_national_yearly!$D:$AM, 10, FALSE), 1)</f>
        <v>3.0937746141178103E-2</v>
      </c>
      <c r="I15" s="7">
        <f>$B15 * IFERROR(VLOOKUP("transport|NOx|Work loss days", US_national_yearly!$D:$AM, 17, FALSE) / VLOOKUP("transport|NOx|Work loss days", US_national_yearly!$D:$AM, 10, FALSE), 1)</f>
        <v>3.1098045654591282E-2</v>
      </c>
      <c r="J15" s="7">
        <f>$B15 * IFERROR(VLOOKUP("transport|NOx|Work loss days", US_national_yearly!$D:$AM, 18, FALSE) / VLOOKUP("transport|NOx|Work loss days", US_national_yearly!$D:$AM, 10, FALSE), 1)</f>
        <v>3.1258345168004471E-2</v>
      </c>
      <c r="K15" s="7">
        <f>$B15 * IFERROR(VLOOKUP("transport|NOx|Work loss days", US_national_yearly!$D:$AM, 19, FALSE) / VLOOKUP("transport|NOx|Work loss days", US_national_yearly!$D:$AM, 10, FALSE), 1)</f>
        <v>3.1418644681417654E-2</v>
      </c>
      <c r="L15" s="7">
        <f>$B15 * IFERROR(VLOOKUP("transport|NOx|Work loss days", US_national_yearly!$D:$AM, 20, FALSE) / VLOOKUP("transport|NOx|Work loss days", US_national_yearly!$D:$AM, 10, FALSE), 1)</f>
        <v>3.157894419483083E-2</v>
      </c>
      <c r="M15" s="7">
        <f>$B15 * IFERROR(VLOOKUP("transport|NOx|Work loss days", US_national_yearly!$D:$AM, 21, FALSE) / VLOOKUP("transport|NOx|Work loss days", US_national_yearly!$D:$AM, 10, FALSE), 1)</f>
        <v>3.1739243708244019E-2</v>
      </c>
      <c r="N15" s="7">
        <f>$B15 * IFERROR(VLOOKUP("transport|NOx|Work loss days", US_national_yearly!$D:$AM, 22, FALSE) / VLOOKUP("transport|NOx|Work loss days", US_national_yearly!$D:$AM, 10, FALSE), 1)</f>
        <v>3.1947863688534993E-2</v>
      </c>
      <c r="O15" s="7">
        <f>$B15 * IFERROR(VLOOKUP("transport|NOx|Work loss days", US_national_yearly!$D:$AM, 23, FALSE) / VLOOKUP("transport|NOx|Work loss days", US_national_yearly!$D:$AM, 10, FALSE), 1)</f>
        <v>3.2156483668825959E-2</v>
      </c>
      <c r="P15" s="7">
        <f>$B15 * IFERROR(VLOOKUP("transport|NOx|Work loss days", US_national_yearly!$D:$AM, 24, FALSE) / VLOOKUP("transport|NOx|Work loss days", US_national_yearly!$D:$AM, 10, FALSE), 1)</f>
        <v>3.2365103649116933E-2</v>
      </c>
      <c r="Q15" s="7">
        <f>$B15 * IFERROR(VLOOKUP("transport|NOx|Work loss days", US_national_yearly!$D:$AM, 25, FALSE) / VLOOKUP("transport|NOx|Work loss days", US_national_yearly!$D:$AM, 10, FALSE), 1)</f>
        <v>3.2573723629407893E-2</v>
      </c>
      <c r="R15" s="7">
        <f>$B15 * IFERROR(VLOOKUP("transport|NOx|Work loss days", US_national_yearly!$D:$AM, 26, FALSE) / VLOOKUP("transport|NOx|Work loss days", US_national_yearly!$D:$AM, 10, FALSE), 1)</f>
        <v>3.2782343609698866E-2</v>
      </c>
      <c r="S15" s="7">
        <f>$B15 * IFERROR(VLOOKUP("transport|NOx|Work loss days", US_national_yearly!$D:$AM, 27, FALSE) / VLOOKUP("transport|NOx|Work loss days", US_national_yearly!$D:$AM, 10, FALSE), 1)</f>
        <v>3.3014928213154403E-2</v>
      </c>
      <c r="T15" s="7">
        <f>$B15 * IFERROR(VLOOKUP("transport|NOx|Work loss days", US_national_yearly!$D:$AM, 28, FALSE) / VLOOKUP("transport|NOx|Work loss days", US_national_yearly!$D:$AM, 10, FALSE), 1)</f>
        <v>3.3247512816609939E-2</v>
      </c>
      <c r="U15" s="7">
        <f>$B15 * IFERROR(VLOOKUP("transport|NOx|Work loss days", US_national_yearly!$D:$AM, 29, FALSE) / VLOOKUP("transport|NOx|Work loss days", US_national_yearly!$D:$AM, 10, FALSE), 1)</f>
        <v>3.3480097420065462E-2</v>
      </c>
      <c r="V15" s="7">
        <f>$B15 * IFERROR(VLOOKUP("transport|NOx|Work loss days", US_national_yearly!$D:$AM, 30, FALSE) / VLOOKUP("transport|NOx|Work loss days", US_national_yearly!$D:$AM, 10, FALSE), 1)</f>
        <v>3.3712682023520998E-2</v>
      </c>
      <c r="W15" s="7">
        <f>$B15 * IFERROR(VLOOKUP("transport|NOx|Work loss days", US_national_yearly!$D:$AM, 31, FALSE) / VLOOKUP("transport|NOx|Work loss days", US_national_yearly!$D:$AM, 10, FALSE), 1)</f>
        <v>3.3945266626976535E-2</v>
      </c>
      <c r="X15" s="7">
        <f>$B15 * IFERROR(VLOOKUP("transport|NOx|Work loss days", US_national_yearly!$D:$AM, 32, FALSE) / VLOOKUP("transport|NOx|Work loss days", US_national_yearly!$D:$AM, 10, FALSE), 1)</f>
        <v>3.4147137662122969E-2</v>
      </c>
      <c r="Y15" s="7">
        <f>$B15 * IFERROR(VLOOKUP("transport|NOx|Work loss days", US_national_yearly!$D:$AM, 33, FALSE) / VLOOKUP("transport|NOx|Work loss days", US_national_yearly!$D:$AM, 10, FALSE), 1)</f>
        <v>3.4349008697269409E-2</v>
      </c>
      <c r="Z15" s="7">
        <f>$B15 * IFERROR(VLOOKUP("transport|NOx|Work loss days", US_national_yearly!$D:$AM, 34, FALSE) / VLOOKUP("transport|NOx|Work loss days", US_national_yearly!$D:$AM, 10, FALSE), 1)</f>
        <v>3.4550879732415843E-2</v>
      </c>
      <c r="AA15" s="7">
        <f>$B15 * IFERROR(VLOOKUP("transport|NOx|Work loss days", US_national_yearly!$D:$AM, 35, FALSE) / VLOOKUP("transport|NOx|Work loss days", US_national_yearly!$D:$AM, 10, FALSE), 1)</f>
        <v>3.4752750767562283E-2</v>
      </c>
      <c r="AB15" s="7">
        <f>$B15 * IFERROR(VLOOKUP("transport|NOx|Work loss days", US_national_yearly!$D:$AM, 36, FALSE) / VLOOKUP("transport|NOx|Work loss days", US_national_yearly!$D:$AM, 10, FALSE), 1)</f>
        <v>3.4954621802708724E-2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4.9195869476109071E-5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5.0641471982638003E-5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5.2087074489166921E-5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5.353267699569584E-5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5.4978279502224772E-5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5.6351362817493134E-5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5.772444613276151E-5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5.8879103273503312E-5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6.0033760414245107E-5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6.1188417554986909E-5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6.2343074695728711E-5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6.3497731836470513E-5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6.4219777205893423E-5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6.4941822575316334E-5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6.5663867944739231E-5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6.6385913314162141E-5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6.7107958683585052E-5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6.743740815793979E-5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6.7766857632294529E-5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6.8096307106649268E-5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6.8425756581004006E-5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6.8755206055358745E-5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6.8938556109723547E-5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6.912190616408835E-5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6.9305256218453153E-5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6.9488606272817956E-5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6.9671956327182745E-5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2.99657073732146E-3</v>
      </c>
      <c r="C2" s="7">
        <f>$B2 * IFERROR(VLOOKUP("transport|SO2|Premature mortality", US_national_yearly!$D:$AM, 11, FALSE) / VLOOKUP("transport|SO2|Premature mortality", US_national_yearly!$D:$AM, 10, FALSE), 1)</f>
        <v>3.0345206843717955E-3</v>
      </c>
      <c r="D2" s="7">
        <f>$B2 * IFERROR(VLOOKUP("transport|SO2|Premature mortality", US_national_yearly!$D:$AM, 12, FALSE) / VLOOKUP("transport|SO2|Premature mortality", US_national_yearly!$D:$AM, 10, FALSE), 1)</f>
        <v>3.0724706314221319E-3</v>
      </c>
      <c r="E2" s="7">
        <f>$B2 * IFERROR(VLOOKUP("transport|SO2|Premature mortality", US_national_yearly!$D:$AM, 13, FALSE) / VLOOKUP("transport|SO2|Premature mortality", US_national_yearly!$D:$AM, 10, FALSE), 1)</f>
        <v>3.1104205784724679E-3</v>
      </c>
      <c r="F2" s="7">
        <f>$B2 * IFERROR(VLOOKUP("transport|SO2|Premature mortality", US_national_yearly!$D:$AM, 14, FALSE) / VLOOKUP("transport|SO2|Premature mortality", US_national_yearly!$D:$AM, 10, FALSE), 1)</f>
        <v>3.1483705255228034E-3</v>
      </c>
      <c r="G2" s="7">
        <f>$B2 * IFERROR(VLOOKUP("transport|SO2|Premature mortality", US_national_yearly!$D:$AM, 15, FALSE) / VLOOKUP("transport|SO2|Premature mortality", US_national_yearly!$D:$AM, 10, FALSE), 1)</f>
        <v>3.2214979227191275E-3</v>
      </c>
      <c r="H2" s="7">
        <f>$B2 * IFERROR(VLOOKUP("transport|SO2|Premature mortality", US_national_yearly!$D:$AM, 16, FALSE) / VLOOKUP("transport|SO2|Premature mortality", US_national_yearly!$D:$AM, 10, FALSE), 1)</f>
        <v>3.2946253199154507E-3</v>
      </c>
      <c r="I2" s="7">
        <f>$B2 * IFERROR(VLOOKUP("transport|SO2|Premature mortality", US_national_yearly!$D:$AM, 17, FALSE) / VLOOKUP("transport|SO2|Premature mortality", US_national_yearly!$D:$AM, 10, FALSE), 1)</f>
        <v>3.3429523847923383E-3</v>
      </c>
      <c r="J2" s="7">
        <f>$B2 * IFERROR(VLOOKUP("transport|SO2|Premature mortality", US_national_yearly!$D:$AM, 18, FALSE) / VLOOKUP("transport|SO2|Premature mortality", US_national_yearly!$D:$AM, 10, FALSE), 1)</f>
        <v>3.3912794496692255E-3</v>
      </c>
      <c r="K2" s="7">
        <f>$B2 * IFERROR(VLOOKUP("transport|SO2|Premature mortality", US_national_yearly!$D:$AM, 19, FALSE) / VLOOKUP("transport|SO2|Premature mortality", US_national_yearly!$D:$AM, 10, FALSE), 1)</f>
        <v>3.4396065145461123E-3</v>
      </c>
      <c r="L2" s="7">
        <f>$B2 * IFERROR(VLOOKUP("transport|SO2|Premature mortality", US_national_yearly!$D:$AM, 20, FALSE) / VLOOKUP("transport|SO2|Premature mortality", US_national_yearly!$D:$AM, 10, FALSE), 1)</f>
        <v>3.4879335794229995E-3</v>
      </c>
      <c r="M2" s="7">
        <f>$B2 * IFERROR(VLOOKUP("transport|SO2|Premature mortality", US_national_yearly!$D:$AM, 21, FALSE) / VLOOKUP("transport|SO2|Premature mortality", US_national_yearly!$D:$AM, 10, FALSE), 1)</f>
        <v>3.5362606442998867E-3</v>
      </c>
      <c r="N2" s="7">
        <f>$B2 * IFERROR(VLOOKUP("transport|SO2|Premature mortality", US_national_yearly!$D:$AM, 22, FALSE) / VLOOKUP("transport|SO2|Premature mortality", US_national_yearly!$D:$AM, 10, FALSE), 1)</f>
        <v>3.5740207914029131E-3</v>
      </c>
      <c r="O2" s="7">
        <f>$B2 * IFERROR(VLOOKUP("transport|SO2|Premature mortality", US_national_yearly!$D:$AM, 23, FALSE) / VLOOKUP("transport|SO2|Premature mortality", US_national_yearly!$D:$AM, 10, FALSE), 1)</f>
        <v>3.611780938505939E-3</v>
      </c>
      <c r="P2" s="7">
        <f>$B2 * IFERROR(VLOOKUP("transport|SO2|Premature mortality", US_national_yearly!$D:$AM, 24, FALSE) / VLOOKUP("transport|SO2|Premature mortality", US_national_yearly!$D:$AM, 10, FALSE), 1)</f>
        <v>3.6495410856089653E-3</v>
      </c>
      <c r="Q2" s="7">
        <f>$B2 * IFERROR(VLOOKUP("transport|SO2|Premature mortality", US_national_yearly!$D:$AM, 25, FALSE) / VLOOKUP("transport|SO2|Premature mortality", US_national_yearly!$D:$AM, 10, FALSE), 1)</f>
        <v>3.6873012327119916E-3</v>
      </c>
      <c r="R2" s="7">
        <f>$B2 * IFERROR(VLOOKUP("transport|SO2|Premature mortality", US_national_yearly!$D:$AM, 26, FALSE) / VLOOKUP("transport|SO2|Premature mortality", US_national_yearly!$D:$AM, 10, FALSE), 1)</f>
        <v>3.7250613798150171E-3</v>
      </c>
      <c r="S2" s="7">
        <f>$B2 * IFERROR(VLOOKUP("transport|SO2|Premature mortality", US_national_yearly!$D:$AM, 27, FALSE) / VLOOKUP("transport|SO2|Premature mortality", US_national_yearly!$D:$AM, 10, FALSE), 1)</f>
        <v>3.74528244137257E-3</v>
      </c>
      <c r="T2" s="7">
        <f>$B2 * IFERROR(VLOOKUP("transport|SO2|Premature mortality", US_national_yearly!$D:$AM, 28, FALSE) / VLOOKUP("transport|SO2|Premature mortality", US_national_yearly!$D:$AM, 10, FALSE), 1)</f>
        <v>3.7655035029301224E-3</v>
      </c>
      <c r="U2" s="7">
        <f>$B2 * IFERROR(VLOOKUP("transport|SO2|Premature mortality", US_national_yearly!$D:$AM, 29, FALSE) / VLOOKUP("transport|SO2|Premature mortality", US_national_yearly!$D:$AM, 10, FALSE), 1)</f>
        <v>3.7857245644876743E-3</v>
      </c>
      <c r="V2" s="7">
        <f>$B2 * IFERROR(VLOOKUP("transport|SO2|Premature mortality", US_national_yearly!$D:$AM, 30, FALSE) / VLOOKUP("transport|SO2|Premature mortality", US_national_yearly!$D:$AM, 10, FALSE), 1)</f>
        <v>3.8059456260452268E-3</v>
      </c>
      <c r="W2" s="7">
        <f>$B2 * IFERROR(VLOOKUP("transport|SO2|Premature mortality", US_national_yearly!$D:$AM, 31, FALSE) / VLOOKUP("transport|SO2|Premature mortality", US_national_yearly!$D:$AM, 10, FALSE), 1)</f>
        <v>3.8261666876027796E-3</v>
      </c>
      <c r="X2" s="7">
        <f>$B2 * IFERROR(VLOOKUP("transport|SO2|Premature mortality", US_national_yearly!$D:$AM, 32, FALSE) / VLOOKUP("transport|SO2|Premature mortality", US_national_yearly!$D:$AM, 10, FALSE), 1)</f>
        <v>3.8302746581097722E-3</v>
      </c>
      <c r="Y2" s="7">
        <f>$B2 * IFERROR(VLOOKUP("transport|SO2|Premature mortality", US_national_yearly!$D:$AM, 33, FALSE) / VLOOKUP("transport|SO2|Premature mortality", US_national_yearly!$D:$AM, 10, FALSE), 1)</f>
        <v>3.8343826286167653E-3</v>
      </c>
      <c r="Z2" s="7">
        <f>$B2 * IFERROR(VLOOKUP("transport|SO2|Premature mortality", US_national_yearly!$D:$AM, 34, FALSE) / VLOOKUP("transport|SO2|Premature mortality", US_national_yearly!$D:$AM, 10, FALSE), 1)</f>
        <v>3.8384905991237588E-3</v>
      </c>
      <c r="AA2" s="7">
        <f>$B2 * IFERROR(VLOOKUP("transport|SO2|Premature mortality", US_national_yearly!$D:$AM, 35, FALSE) / VLOOKUP("transport|SO2|Premature mortality", US_national_yearly!$D:$AM, 10, FALSE), 1)</f>
        <v>3.8425985696307519E-3</v>
      </c>
      <c r="AB2" s="7">
        <f>$B2 * IFERROR(VLOOKUP("transport|SO2|Premature mortality", US_national_yearly!$D:$AM, 36, FALSE) / VLOOKUP("transport|SO2|Premature mortality", US_national_yearly!$D:$AM, 10, FALSE), 1)</f>
        <v>3.8467065401377441E-3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6.0836694432606804E-6</v>
      </c>
      <c r="C3" s="7">
        <f>$B3 * IFERROR(VLOOKUP("transport|SO2|Infant mortality", US_national_yearly!$D:$AM, 11, FALSE) / VLOOKUP("transport|SO2|Infant mortality", US_national_yearly!$D:$AM, 10, FALSE), 1)</f>
        <v>6.031409613047873E-6</v>
      </c>
      <c r="D3" s="7">
        <f>$B3 * IFERROR(VLOOKUP("transport|SO2|Infant mortality", US_national_yearly!$D:$AM, 12, FALSE) / VLOOKUP("transport|SO2|Infant mortality", US_national_yearly!$D:$AM, 10, FALSE), 1)</f>
        <v>5.9791497828350657E-6</v>
      </c>
      <c r="E3" s="7">
        <f>$B3 * IFERROR(VLOOKUP("transport|SO2|Infant mortality", US_national_yearly!$D:$AM, 13, FALSE) / VLOOKUP("transport|SO2|Infant mortality", US_national_yearly!$D:$AM, 10, FALSE), 1)</f>
        <v>5.9268899526222574E-6</v>
      </c>
      <c r="F3" s="7">
        <f>$B3 * IFERROR(VLOOKUP("transport|SO2|Infant mortality", US_national_yearly!$D:$AM, 14, FALSE) / VLOOKUP("transport|SO2|Infant mortality", US_national_yearly!$D:$AM, 10, FALSE), 1)</f>
        <v>5.8746301224094509E-6</v>
      </c>
      <c r="G3" s="7">
        <f>$B3 * IFERROR(VLOOKUP("transport|SO2|Infant mortality", US_national_yearly!$D:$AM, 15, FALSE) / VLOOKUP("transport|SO2|Infant mortality", US_national_yearly!$D:$AM, 10, FALSE), 1)</f>
        <v>3.912976813520728E-6</v>
      </c>
      <c r="H3" s="7">
        <f>$B3 * IFERROR(VLOOKUP("transport|SO2|Infant mortality", US_national_yearly!$D:$AM, 16, FALSE) / VLOOKUP("transport|SO2|Infant mortality", US_national_yearly!$D:$AM, 10, FALSE), 1)</f>
        <v>1.9513235046320077E-6</v>
      </c>
      <c r="I3" s="7">
        <f>$B3 * IFERROR(VLOOKUP("transport|SO2|Infant mortality", US_national_yearly!$D:$AM, 17, FALSE) / VLOOKUP("transport|SO2|Infant mortality", US_national_yearly!$D:$AM, 10, FALSE), 1)</f>
        <v>1.9390822630383443E-6</v>
      </c>
      <c r="J3" s="7">
        <f>$B3 * IFERROR(VLOOKUP("transport|SO2|Infant mortality", US_national_yearly!$D:$AM, 18, FALSE) / VLOOKUP("transport|SO2|Infant mortality", US_national_yearly!$D:$AM, 10, FALSE), 1)</f>
        <v>1.9268410214446804E-6</v>
      </c>
      <c r="K3" s="7">
        <f>$B3 * IFERROR(VLOOKUP("transport|SO2|Infant mortality", US_national_yearly!$D:$AM, 19, FALSE) / VLOOKUP("transport|SO2|Infant mortality", US_national_yearly!$D:$AM, 10, FALSE), 1)</f>
        <v>1.914599779851017E-6</v>
      </c>
      <c r="L3" s="7">
        <f>$B3 * IFERROR(VLOOKUP("transport|SO2|Infant mortality", US_national_yearly!$D:$AM, 20, FALSE) / VLOOKUP("transport|SO2|Infant mortality", US_national_yearly!$D:$AM, 10, FALSE), 1)</f>
        <v>1.9023585382573537E-6</v>
      </c>
      <c r="M3" s="7">
        <f>$B3 * IFERROR(VLOOKUP("transport|SO2|Infant mortality", US_national_yearly!$D:$AM, 21, FALSE) / VLOOKUP("transport|SO2|Infant mortality", US_national_yearly!$D:$AM, 10, FALSE), 1)</f>
        <v>1.8901172966636901E-6</v>
      </c>
      <c r="N3" s="7">
        <f>$B3 * IFERROR(VLOOKUP("transport|SO2|Infant mortality", US_national_yearly!$D:$AM, 22, FALSE) / VLOOKUP("transport|SO2|Infant mortality", US_national_yearly!$D:$AM, 10, FALSE), 1)</f>
        <v>1.8824335609613885E-6</v>
      </c>
      <c r="O3" s="7">
        <f>$B3 * IFERROR(VLOOKUP("transport|SO2|Infant mortality", US_national_yearly!$D:$AM, 23, FALSE) / VLOOKUP("transport|SO2|Infant mortality", US_national_yearly!$D:$AM, 10, FALSE), 1)</f>
        <v>1.8747498252590871E-6</v>
      </c>
      <c r="P3" s="7">
        <f>$B3 * IFERROR(VLOOKUP("transport|SO2|Infant mortality", US_national_yearly!$D:$AM, 24, FALSE) / VLOOKUP("transport|SO2|Infant mortality", US_national_yearly!$D:$AM, 10, FALSE), 1)</f>
        <v>1.867066089556785E-6</v>
      </c>
      <c r="Q3" s="7">
        <f>$B3 * IFERROR(VLOOKUP("transport|SO2|Infant mortality", US_national_yearly!$D:$AM, 25, FALSE) / VLOOKUP("transport|SO2|Infant mortality", US_national_yearly!$D:$AM, 10, FALSE), 1)</f>
        <v>1.8593823538544836E-6</v>
      </c>
      <c r="R3" s="7">
        <f>$B3 * IFERROR(VLOOKUP("transport|SO2|Infant mortality", US_national_yearly!$D:$AM, 26, FALSE) / VLOOKUP("transport|SO2|Infant mortality", US_national_yearly!$D:$AM, 10, FALSE), 1)</f>
        <v>1.8516986181521816E-6</v>
      </c>
      <c r="S3" s="7">
        <f>$B3 * IFERROR(VLOOKUP("transport|SO2|Infant mortality", US_national_yearly!$D:$AM, 27, FALSE) / VLOOKUP("transport|SO2|Infant mortality", US_national_yearly!$D:$AM, 10, FALSE), 1)</f>
        <v>1.8420512198747429E-6</v>
      </c>
      <c r="T3" s="7">
        <f>$B3 * IFERROR(VLOOKUP("transport|SO2|Infant mortality", US_national_yearly!$D:$AM, 28, FALSE) / VLOOKUP("transport|SO2|Infant mortality", US_national_yearly!$D:$AM, 10, FALSE), 1)</f>
        <v>1.8324038215973041E-6</v>
      </c>
      <c r="U3" s="7">
        <f>$B3 * IFERROR(VLOOKUP("transport|SO2|Infant mortality", US_national_yearly!$D:$AM, 29, FALSE) / VLOOKUP("transport|SO2|Infant mortality", US_national_yearly!$D:$AM, 10, FALSE), 1)</f>
        <v>1.8227564233198648E-6</v>
      </c>
      <c r="V3" s="7">
        <f>$B3 * IFERROR(VLOOKUP("transport|SO2|Infant mortality", US_national_yearly!$D:$AM, 30, FALSE) / VLOOKUP("transport|SO2|Infant mortality", US_national_yearly!$D:$AM, 10, FALSE), 1)</f>
        <v>1.8131090250424263E-6</v>
      </c>
      <c r="W3" s="7">
        <f>$B3 * IFERROR(VLOOKUP("transport|SO2|Infant mortality", US_national_yearly!$D:$AM, 31, FALSE) / VLOOKUP("transport|SO2|Infant mortality", US_national_yearly!$D:$AM, 10, FALSE), 1)</f>
        <v>1.8034616267649871E-6</v>
      </c>
      <c r="X3" s="7">
        <f>$B3 * IFERROR(VLOOKUP("transport|SO2|Infant mortality", US_national_yearly!$D:$AM, 32, FALSE) / VLOOKUP("transport|SO2|Infant mortality", US_national_yearly!$D:$AM, 10, FALSE), 1)</f>
        <v>1.7929140425653328E-6</v>
      </c>
      <c r="Y3" s="7">
        <f>$B3 * IFERROR(VLOOKUP("transport|SO2|Infant mortality", US_national_yearly!$D:$AM, 33, FALSE) / VLOOKUP("transport|SO2|Infant mortality", US_national_yearly!$D:$AM, 10, FALSE), 1)</f>
        <v>1.7823664583656778E-6</v>
      </c>
      <c r="Z3" s="7">
        <f>$B3 * IFERROR(VLOOKUP("transport|SO2|Infant mortality", US_national_yearly!$D:$AM, 34, FALSE) / VLOOKUP("transport|SO2|Infant mortality", US_national_yearly!$D:$AM, 10, FALSE), 1)</f>
        <v>1.7718188741660235E-6</v>
      </c>
      <c r="AA3" s="7">
        <f>$B3 * IFERROR(VLOOKUP("transport|SO2|Infant mortality", US_national_yearly!$D:$AM, 35, FALSE) / VLOOKUP("transport|SO2|Infant mortality", US_national_yearly!$D:$AM, 10, FALSE), 1)</f>
        <v>1.7612712899663686E-6</v>
      </c>
      <c r="AB3" s="7">
        <f>$B3 * IFERROR(VLOOKUP("transport|SO2|Infant mortality", US_national_yearly!$D:$AM, 36, FALSE) / VLOOKUP("transport|SO2|Infant mortality", US_national_yearly!$D:$AM, 10, FALSE), 1)</f>
        <v>1.7507237057667143E-6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8.0588518502020152E-3</v>
      </c>
      <c r="C6" s="7">
        <f>$B6 * IFERROR(VLOOKUP("transport|SO2|Asthma symptoms cough", US_national_yearly!$D:$AM, 11, FALSE) / VLOOKUP("transport|SO2|Asthma symptoms cough", US_national_yearly!$D:$AM, 10, FALSE), 1)</f>
        <v>8.0588518502020152E-3</v>
      </c>
      <c r="D6" s="7">
        <f>$B6 * IFERROR(VLOOKUP("transport|SO2|Asthma symptoms cough", US_national_yearly!$D:$AM, 12, FALSE) / VLOOKUP("transport|SO2|Asthma symptoms cough", US_national_yearly!$D:$AM, 10, FALSE), 1)</f>
        <v>8.0588518502020152E-3</v>
      </c>
      <c r="E6" s="7">
        <f>$B6 * IFERROR(VLOOKUP("transport|SO2|Asthma symptoms cough", US_national_yearly!$D:$AM, 13, FALSE) / VLOOKUP("transport|SO2|Asthma symptoms cough", US_national_yearly!$D:$AM, 10, FALSE), 1)</f>
        <v>8.0588518502020152E-3</v>
      </c>
      <c r="F6" s="7">
        <f>$B6 * IFERROR(VLOOKUP("transport|SO2|Asthma symptoms cough", US_national_yearly!$D:$AM, 14, FALSE) / VLOOKUP("transport|SO2|Asthma symptoms cough", US_national_yearly!$D:$AM, 10, FALSE), 1)</f>
        <v>8.0588518502020152E-3</v>
      </c>
      <c r="G6" s="7">
        <f>$B6 * IFERROR(VLOOKUP("transport|SO2|Asthma symptoms cough", US_national_yearly!$D:$AM, 15, FALSE) / VLOOKUP("transport|SO2|Asthma symptoms cough", US_national_yearly!$D:$AM, 10, FALSE), 1)</f>
        <v>8.0588518502020152E-3</v>
      </c>
      <c r="H6" s="7">
        <f>$B6 * IFERROR(VLOOKUP("transport|SO2|Asthma symptoms cough", US_national_yearly!$D:$AM, 16, FALSE) / VLOOKUP("transport|SO2|Asthma symptoms cough", US_national_yearly!$D:$AM, 10, FALSE), 1)</f>
        <v>8.0588518502020152E-3</v>
      </c>
      <c r="I6" s="7">
        <f>$B6 * IFERROR(VLOOKUP("transport|SO2|Asthma symptoms cough", US_national_yearly!$D:$AM, 17, FALSE) / VLOOKUP("transport|SO2|Asthma symptoms cough", US_national_yearly!$D:$AM, 10, FALSE), 1)</f>
        <v>8.0588518502020152E-3</v>
      </c>
      <c r="J6" s="7">
        <f>$B6 * IFERROR(VLOOKUP("transport|SO2|Asthma symptoms cough", US_national_yearly!$D:$AM, 18, FALSE) / VLOOKUP("transport|SO2|Asthma symptoms cough", US_national_yearly!$D:$AM, 10, FALSE), 1)</f>
        <v>8.0588518502020152E-3</v>
      </c>
      <c r="K6" s="7">
        <f>$B6 * IFERROR(VLOOKUP("transport|SO2|Asthma symptoms cough", US_national_yearly!$D:$AM, 19, FALSE) / VLOOKUP("transport|SO2|Asthma symptoms cough", US_national_yearly!$D:$AM, 10, FALSE), 1)</f>
        <v>8.0588518502020152E-3</v>
      </c>
      <c r="L6" s="7">
        <f>$B6 * IFERROR(VLOOKUP("transport|SO2|Asthma symptoms cough", US_national_yearly!$D:$AM, 20, FALSE) / VLOOKUP("transport|SO2|Asthma symptoms cough", US_national_yearly!$D:$AM, 10, FALSE), 1)</f>
        <v>8.0588518502020152E-3</v>
      </c>
      <c r="M6" s="7">
        <f>$B6 * IFERROR(VLOOKUP("transport|SO2|Asthma symptoms cough", US_national_yearly!$D:$AM, 21, FALSE) / VLOOKUP("transport|SO2|Asthma symptoms cough", US_national_yearly!$D:$AM, 10, FALSE), 1)</f>
        <v>8.0588518502020152E-3</v>
      </c>
      <c r="N6" s="7">
        <f>$B6 * IFERROR(VLOOKUP("transport|SO2|Asthma symptoms cough", US_national_yearly!$D:$AM, 22, FALSE) / VLOOKUP("transport|SO2|Asthma symptoms cough", US_national_yearly!$D:$AM, 10, FALSE), 1)</f>
        <v>8.0588518502020152E-3</v>
      </c>
      <c r="O6" s="7">
        <f>$B6 * IFERROR(VLOOKUP("transport|SO2|Asthma symptoms cough", US_national_yearly!$D:$AM, 23, FALSE) / VLOOKUP("transport|SO2|Asthma symptoms cough", US_national_yearly!$D:$AM, 10, FALSE), 1)</f>
        <v>8.0588518502020152E-3</v>
      </c>
      <c r="P6" s="7">
        <f>$B6 * IFERROR(VLOOKUP("transport|SO2|Asthma symptoms cough", US_national_yearly!$D:$AM, 24, FALSE) / VLOOKUP("transport|SO2|Asthma symptoms cough", US_national_yearly!$D:$AM, 10, FALSE), 1)</f>
        <v>8.0588518502020152E-3</v>
      </c>
      <c r="Q6" s="7">
        <f>$B6 * IFERROR(VLOOKUP("transport|SO2|Asthma symptoms cough", US_national_yearly!$D:$AM, 25, FALSE) / VLOOKUP("transport|SO2|Asthma symptoms cough", US_national_yearly!$D:$AM, 10, FALSE), 1)</f>
        <v>8.0588518502020152E-3</v>
      </c>
      <c r="R6" s="7">
        <f>$B6 * IFERROR(VLOOKUP("transport|SO2|Asthma symptoms cough", US_national_yearly!$D:$AM, 26, FALSE) / VLOOKUP("transport|SO2|Asthma symptoms cough", US_national_yearly!$D:$AM, 10, FALSE), 1)</f>
        <v>8.0588518502020152E-3</v>
      </c>
      <c r="S6" s="7">
        <f>$B6 * IFERROR(VLOOKUP("transport|SO2|Asthma symptoms cough", US_national_yearly!$D:$AM, 27, FALSE) / VLOOKUP("transport|SO2|Asthma symptoms cough", US_national_yearly!$D:$AM, 10, FALSE), 1)</f>
        <v>8.0588518502020152E-3</v>
      </c>
      <c r="T6" s="7">
        <f>$B6 * IFERROR(VLOOKUP("transport|SO2|Asthma symptoms cough", US_national_yearly!$D:$AM, 28, FALSE) / VLOOKUP("transport|SO2|Asthma symptoms cough", US_national_yearly!$D:$AM, 10, FALSE), 1)</f>
        <v>8.0588518502020152E-3</v>
      </c>
      <c r="U6" s="7">
        <f>$B6 * IFERROR(VLOOKUP("transport|SO2|Asthma symptoms cough", US_national_yearly!$D:$AM, 29, FALSE) / VLOOKUP("transport|SO2|Asthma symptoms cough", US_national_yearly!$D:$AM, 10, FALSE), 1)</f>
        <v>8.0588518502020152E-3</v>
      </c>
      <c r="V6" s="7">
        <f>$B6 * IFERROR(VLOOKUP("transport|SO2|Asthma symptoms cough", US_national_yearly!$D:$AM, 30, FALSE) / VLOOKUP("transport|SO2|Asthma symptoms cough", US_national_yearly!$D:$AM, 10, FALSE), 1)</f>
        <v>8.0588518502020152E-3</v>
      </c>
      <c r="W6" s="7">
        <f>$B6 * IFERROR(VLOOKUP("transport|SO2|Asthma symptoms cough", US_national_yearly!$D:$AM, 31, FALSE) / VLOOKUP("transport|SO2|Asthma symptoms cough", US_national_yearly!$D:$AM, 10, FALSE), 1)</f>
        <v>8.0588518502020152E-3</v>
      </c>
      <c r="X6" s="7">
        <f>$B6 * IFERROR(VLOOKUP("transport|SO2|Asthma symptoms cough", US_national_yearly!$D:$AM, 32, FALSE) / VLOOKUP("transport|SO2|Asthma symptoms cough", US_national_yearly!$D:$AM, 10, FALSE), 1)</f>
        <v>8.0588518502020152E-3</v>
      </c>
      <c r="Y6" s="7">
        <f>$B6 * IFERROR(VLOOKUP("transport|SO2|Asthma symptoms cough", US_national_yearly!$D:$AM, 33, FALSE) / VLOOKUP("transport|SO2|Asthma symptoms cough", US_national_yearly!$D:$AM, 10, FALSE), 1)</f>
        <v>8.0588518502020152E-3</v>
      </c>
      <c r="Z6" s="7">
        <f>$B6 * IFERROR(VLOOKUP("transport|SO2|Asthma symptoms cough", US_national_yearly!$D:$AM, 34, FALSE) / VLOOKUP("transport|SO2|Asthma symptoms cough", US_national_yearly!$D:$AM, 10, FALSE), 1)</f>
        <v>8.0588518502020152E-3</v>
      </c>
      <c r="AA6" s="7">
        <f>$B6 * IFERROR(VLOOKUP("transport|SO2|Asthma symptoms cough", US_national_yearly!$D:$AM, 35, FALSE) / VLOOKUP("transport|SO2|Asthma symptoms cough", US_national_yearly!$D:$AM, 10, FALSE), 1)</f>
        <v>8.0588518502020152E-3</v>
      </c>
      <c r="AB6" s="7">
        <f>$B6 * IFERROR(VLOOKUP("transport|SO2|Asthma symptoms cough", US_national_yearly!$D:$AM, 36, FALSE) / VLOOKUP("transport|SO2|Asthma symptoms cough", US_national_yearly!$D:$AM, 10, FALSE), 1)</f>
        <v>8.0588518502020152E-3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1.085242136711137E-2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1.085242136711137E-2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1.085242136711137E-2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1.085242136711137E-2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1.085242136711137E-2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1.085242136711137E-2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1.085242136711137E-2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1.085242136711137E-2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1.085242136711137E-2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1.085242136711137E-2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1.085242136711137E-2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1.085242136711137E-2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1.085242136711137E-2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1.085242136711137E-2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1.085242136711137E-2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1.085242136711137E-2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1.085242136711137E-2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1.085242136711137E-2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1.085242136711137E-2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1.085242136711137E-2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1.085242136711137E-2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1.085242136711137E-2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1.085242136711137E-2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1.085242136711137E-2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1.085242136711137E-2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1.085242136711137E-2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1.085242136711137E-2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1.6580632287880304E-2</v>
      </c>
      <c r="C8" s="7">
        <f>$B8 * IFERROR(VLOOKUP("transport|SO2|Asthma symptoms wheeze", US_national_yearly!$D:$AM, 11, FALSE) / VLOOKUP("transport|SO2|Asthma symptoms wheeze", US_national_yearly!$D:$AM, 10, FALSE), 1)</f>
        <v>1.6580632287880304E-2</v>
      </c>
      <c r="D8" s="7">
        <f>$B8 * IFERROR(VLOOKUP("transport|SO2|Asthma symptoms wheeze", US_national_yearly!$D:$AM, 12, FALSE) / VLOOKUP("transport|SO2|Asthma symptoms wheeze", US_national_yearly!$D:$AM, 10, FALSE), 1)</f>
        <v>1.6580632287880304E-2</v>
      </c>
      <c r="E8" s="7">
        <f>$B8 * IFERROR(VLOOKUP("transport|SO2|Asthma symptoms wheeze", US_national_yearly!$D:$AM, 13, FALSE) / VLOOKUP("transport|SO2|Asthma symptoms wheeze", US_national_yearly!$D:$AM, 10, FALSE), 1)</f>
        <v>1.6580632287880304E-2</v>
      </c>
      <c r="F8" s="7">
        <f>$B8 * IFERROR(VLOOKUP("transport|SO2|Asthma symptoms wheeze", US_national_yearly!$D:$AM, 14, FALSE) / VLOOKUP("transport|SO2|Asthma symptoms wheeze", US_national_yearly!$D:$AM, 10, FALSE), 1)</f>
        <v>1.6580632287880304E-2</v>
      </c>
      <c r="G8" s="7">
        <f>$B8 * IFERROR(VLOOKUP("transport|SO2|Asthma symptoms wheeze", US_national_yearly!$D:$AM, 15, FALSE) / VLOOKUP("transport|SO2|Asthma symptoms wheeze", US_national_yearly!$D:$AM, 10, FALSE), 1)</f>
        <v>1.6580632287880304E-2</v>
      </c>
      <c r="H8" s="7">
        <f>$B8 * IFERROR(VLOOKUP("transport|SO2|Asthma symptoms wheeze", US_national_yearly!$D:$AM, 16, FALSE) / VLOOKUP("transport|SO2|Asthma symptoms wheeze", US_national_yearly!$D:$AM, 10, FALSE), 1)</f>
        <v>1.6580632287880304E-2</v>
      </c>
      <c r="I8" s="7">
        <f>$B8 * IFERROR(VLOOKUP("transport|SO2|Asthma symptoms wheeze", US_national_yearly!$D:$AM, 17, FALSE) / VLOOKUP("transport|SO2|Asthma symptoms wheeze", US_national_yearly!$D:$AM, 10, FALSE), 1)</f>
        <v>1.6580632287880304E-2</v>
      </c>
      <c r="J8" s="7">
        <f>$B8 * IFERROR(VLOOKUP("transport|SO2|Asthma symptoms wheeze", US_national_yearly!$D:$AM, 18, FALSE) / VLOOKUP("transport|SO2|Asthma symptoms wheeze", US_national_yearly!$D:$AM, 10, FALSE), 1)</f>
        <v>1.6580632287880304E-2</v>
      </c>
      <c r="K8" s="7">
        <f>$B8 * IFERROR(VLOOKUP("transport|SO2|Asthma symptoms wheeze", US_national_yearly!$D:$AM, 19, FALSE) / VLOOKUP("transport|SO2|Asthma symptoms wheeze", US_national_yearly!$D:$AM, 10, FALSE), 1)</f>
        <v>1.6580632287880304E-2</v>
      </c>
      <c r="L8" s="7">
        <f>$B8 * IFERROR(VLOOKUP("transport|SO2|Asthma symptoms wheeze", US_national_yearly!$D:$AM, 20, FALSE) / VLOOKUP("transport|SO2|Asthma symptoms wheeze", US_national_yearly!$D:$AM, 10, FALSE), 1)</f>
        <v>1.6580632287880304E-2</v>
      </c>
      <c r="M8" s="7">
        <f>$B8 * IFERROR(VLOOKUP("transport|SO2|Asthma symptoms wheeze", US_national_yearly!$D:$AM, 21, FALSE) / VLOOKUP("transport|SO2|Asthma symptoms wheeze", US_national_yearly!$D:$AM, 10, FALSE), 1)</f>
        <v>1.6580632287880304E-2</v>
      </c>
      <c r="N8" s="7">
        <f>$B8 * IFERROR(VLOOKUP("transport|SO2|Asthma symptoms wheeze", US_national_yearly!$D:$AM, 22, FALSE) / VLOOKUP("transport|SO2|Asthma symptoms wheeze", US_national_yearly!$D:$AM, 10, FALSE), 1)</f>
        <v>1.6580632287880304E-2</v>
      </c>
      <c r="O8" s="7">
        <f>$B8 * IFERROR(VLOOKUP("transport|SO2|Asthma symptoms wheeze", US_national_yearly!$D:$AM, 23, FALSE) / VLOOKUP("transport|SO2|Asthma symptoms wheeze", US_national_yearly!$D:$AM, 10, FALSE), 1)</f>
        <v>1.6580632287880304E-2</v>
      </c>
      <c r="P8" s="7">
        <f>$B8 * IFERROR(VLOOKUP("transport|SO2|Asthma symptoms wheeze", US_national_yearly!$D:$AM, 24, FALSE) / VLOOKUP("transport|SO2|Asthma symptoms wheeze", US_national_yearly!$D:$AM, 10, FALSE), 1)</f>
        <v>1.6580632287880304E-2</v>
      </c>
      <c r="Q8" s="7">
        <f>$B8 * IFERROR(VLOOKUP("transport|SO2|Asthma symptoms wheeze", US_national_yearly!$D:$AM, 25, FALSE) / VLOOKUP("transport|SO2|Asthma symptoms wheeze", US_national_yearly!$D:$AM, 10, FALSE), 1)</f>
        <v>1.6580632287880304E-2</v>
      </c>
      <c r="R8" s="7">
        <f>$B8 * IFERROR(VLOOKUP("transport|SO2|Asthma symptoms wheeze", US_national_yearly!$D:$AM, 26, FALSE) / VLOOKUP("transport|SO2|Asthma symptoms wheeze", US_national_yearly!$D:$AM, 10, FALSE), 1)</f>
        <v>1.6580632287880304E-2</v>
      </c>
      <c r="S8" s="7">
        <f>$B8 * IFERROR(VLOOKUP("transport|SO2|Asthma symptoms wheeze", US_national_yearly!$D:$AM, 27, FALSE) / VLOOKUP("transport|SO2|Asthma symptoms wheeze", US_national_yearly!$D:$AM, 10, FALSE), 1)</f>
        <v>1.6580632287880304E-2</v>
      </c>
      <c r="T8" s="7">
        <f>$B8 * IFERROR(VLOOKUP("transport|SO2|Asthma symptoms wheeze", US_national_yearly!$D:$AM, 28, FALSE) / VLOOKUP("transport|SO2|Asthma symptoms wheeze", US_national_yearly!$D:$AM, 10, FALSE), 1)</f>
        <v>1.6580632287880304E-2</v>
      </c>
      <c r="U8" s="7">
        <f>$B8 * IFERROR(VLOOKUP("transport|SO2|Asthma symptoms wheeze", US_national_yearly!$D:$AM, 29, FALSE) / VLOOKUP("transport|SO2|Asthma symptoms wheeze", US_national_yearly!$D:$AM, 10, FALSE), 1)</f>
        <v>1.6580632287880304E-2</v>
      </c>
      <c r="V8" s="7">
        <f>$B8 * IFERROR(VLOOKUP("transport|SO2|Asthma symptoms wheeze", US_national_yearly!$D:$AM, 30, FALSE) / VLOOKUP("transport|SO2|Asthma symptoms wheeze", US_national_yearly!$D:$AM, 10, FALSE), 1)</f>
        <v>1.6580632287880304E-2</v>
      </c>
      <c r="W8" s="7">
        <f>$B8 * IFERROR(VLOOKUP("transport|SO2|Asthma symptoms wheeze", US_national_yearly!$D:$AM, 31, FALSE) / VLOOKUP("transport|SO2|Asthma symptoms wheeze", US_national_yearly!$D:$AM, 10, FALSE), 1)</f>
        <v>1.6580632287880304E-2</v>
      </c>
      <c r="X8" s="7">
        <f>$B8 * IFERROR(VLOOKUP("transport|SO2|Asthma symptoms wheeze", US_national_yearly!$D:$AM, 32, FALSE) / VLOOKUP("transport|SO2|Asthma symptoms wheeze", US_national_yearly!$D:$AM, 10, FALSE), 1)</f>
        <v>1.6580632287880304E-2</v>
      </c>
      <c r="Y8" s="7">
        <f>$B8 * IFERROR(VLOOKUP("transport|SO2|Asthma symptoms wheeze", US_national_yearly!$D:$AM, 33, FALSE) / VLOOKUP("transport|SO2|Asthma symptoms wheeze", US_national_yearly!$D:$AM, 10, FALSE), 1)</f>
        <v>1.6580632287880304E-2</v>
      </c>
      <c r="Z8" s="7">
        <f>$B8 * IFERROR(VLOOKUP("transport|SO2|Asthma symptoms wheeze", US_national_yearly!$D:$AM, 34, FALSE) / VLOOKUP("transport|SO2|Asthma symptoms wheeze", US_national_yearly!$D:$AM, 10, FALSE), 1)</f>
        <v>1.6580632287880304E-2</v>
      </c>
      <c r="AA8" s="7">
        <f>$B8 * IFERROR(VLOOKUP("transport|SO2|Asthma symptoms wheeze", US_national_yearly!$D:$AM, 35, FALSE) / VLOOKUP("transport|SO2|Asthma symptoms wheeze", US_national_yearly!$D:$AM, 10, FALSE), 1)</f>
        <v>1.6580632287880304E-2</v>
      </c>
      <c r="AB8" s="7">
        <f>$B8 * IFERROR(VLOOKUP("transport|SO2|Asthma symptoms wheeze", US_national_yearly!$D:$AM, 36, FALSE) / VLOOKUP("transport|SO2|Asthma symptoms wheeze", US_national_yearly!$D:$AM, 10, FALSE), 1)</f>
        <v>1.6580632287880304E-2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1.7021910178946362E-4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1.7122306251083903E-4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1.7222702323221444E-4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1.7323098395358985E-4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1.7423494467496526E-4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1.7532943120031799E-4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1.7642391772567075E-4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1.7750321175375502E-4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1.7858250578183934E-4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1.7966179980992357E-4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1.8074109383800789E-4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1.8182038786609213E-4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1.8260823919030053E-4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1.8339609051450892E-4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1.841839418387173E-4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1.8497179316292572E-4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1.8575964448713409E-4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1.8651119453567657E-4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1.8726274458421899E-4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1.8801429463276146E-4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1.8876584468130393E-4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1.8951739472984641E-4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1.902304923360588E-4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1.9094358994227123E-4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1.9165668754848362E-4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1.9236978515469605E-4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1.930828827609085E-4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1.2083844835606261E-3</v>
      </c>
      <c r="C13" s="7">
        <f>$B13 * IFERROR(VLOOKUP("transport|SO2|Non-fatal heart attacks", US_national_yearly!$D:$AM, 11, FALSE) / VLOOKUP("transport|SO2|Non-fatal heart attacks", US_national_yearly!$D:$AM, 10, FALSE), 1)</f>
        <v>1.2438582629048644E-3</v>
      </c>
      <c r="D13" s="7">
        <f>$B13 * IFERROR(VLOOKUP("transport|SO2|Non-fatal heart attacks", US_national_yearly!$D:$AM, 12, FALSE) / VLOOKUP("transport|SO2|Non-fatal heart attacks", US_national_yearly!$D:$AM, 10, FALSE), 1)</f>
        <v>1.2793320422491026E-3</v>
      </c>
      <c r="E13" s="7">
        <f>$B13 * IFERROR(VLOOKUP("transport|SO2|Non-fatal heart attacks", US_national_yearly!$D:$AM, 13, FALSE) / VLOOKUP("transport|SO2|Non-fatal heart attacks", US_national_yearly!$D:$AM, 10, FALSE), 1)</f>
        <v>1.3148058215933412E-3</v>
      </c>
      <c r="F13" s="7">
        <f>$B13 * IFERROR(VLOOKUP("transport|SO2|Non-fatal heart attacks", US_national_yearly!$D:$AM, 14, FALSE) / VLOOKUP("transport|SO2|Non-fatal heart attacks", US_national_yearly!$D:$AM, 10, FALSE), 1)</f>
        <v>1.350279600937579E-3</v>
      </c>
      <c r="G13" s="7">
        <f>$B13 * IFERROR(VLOOKUP("transport|SO2|Non-fatal heart attacks", US_national_yearly!$D:$AM, 15, FALSE) / VLOOKUP("transport|SO2|Non-fatal heart attacks", US_national_yearly!$D:$AM, 10, FALSE), 1)</f>
        <v>1.3837346652532398E-3</v>
      </c>
      <c r="H13" s="7">
        <f>$B13 * IFERROR(VLOOKUP("transport|SO2|Non-fatal heart attacks", US_national_yearly!$D:$AM, 16, FALSE) / VLOOKUP("transport|SO2|Non-fatal heart attacks", US_national_yearly!$D:$AM, 10, FALSE), 1)</f>
        <v>1.4171897295689004E-3</v>
      </c>
      <c r="I13" s="7">
        <f>$B13 * IFERROR(VLOOKUP("transport|SO2|Non-fatal heart attacks", US_national_yearly!$D:$AM, 17, FALSE) / VLOOKUP("transport|SO2|Non-fatal heart attacks", US_national_yearly!$D:$AM, 10, FALSE), 1)</f>
        <v>1.4441105686653891E-3</v>
      </c>
      <c r="J13" s="7">
        <f>$B13 * IFERROR(VLOOKUP("transport|SO2|Non-fatal heart attacks", US_national_yearly!$D:$AM, 18, FALSE) / VLOOKUP("transport|SO2|Non-fatal heart attacks", US_national_yearly!$D:$AM, 10, FALSE), 1)</f>
        <v>1.4710314077618783E-3</v>
      </c>
      <c r="K13" s="7">
        <f>$B13 * IFERROR(VLOOKUP("transport|SO2|Non-fatal heart attacks", US_national_yearly!$D:$AM, 19, FALSE) / VLOOKUP("transport|SO2|Non-fatal heart attacks", US_national_yearly!$D:$AM, 10, FALSE), 1)</f>
        <v>1.497952246858367E-3</v>
      </c>
      <c r="L13" s="7">
        <f>$B13 * IFERROR(VLOOKUP("transport|SO2|Non-fatal heart attacks", US_national_yearly!$D:$AM, 20, FALSE) / VLOOKUP("transport|SO2|Non-fatal heart attacks", US_national_yearly!$D:$AM, 10, FALSE), 1)</f>
        <v>1.5248730859548565E-3</v>
      </c>
      <c r="M13" s="7">
        <f>$B13 * IFERROR(VLOOKUP("transport|SO2|Non-fatal heart attacks", US_national_yearly!$D:$AM, 21, FALSE) / VLOOKUP("transport|SO2|Non-fatal heart attacks", US_national_yearly!$D:$AM, 10, FALSE), 1)</f>
        <v>1.5517939250513455E-3</v>
      </c>
      <c r="N13" s="7">
        <f>$B13 * IFERROR(VLOOKUP("transport|SO2|Non-fatal heart attacks", US_national_yearly!$D:$AM, 22, FALSE) / VLOOKUP("transport|SO2|Non-fatal heart attacks", US_national_yearly!$D:$AM, 10, FALSE), 1)</f>
        <v>1.5692739511235839E-3</v>
      </c>
      <c r="O13" s="7">
        <f>$B13 * IFERROR(VLOOKUP("transport|SO2|Non-fatal heart attacks", US_national_yearly!$D:$AM, 23, FALSE) / VLOOKUP("transport|SO2|Non-fatal heart attacks", US_national_yearly!$D:$AM, 10, FALSE), 1)</f>
        <v>1.5867539771958229E-3</v>
      </c>
      <c r="P13" s="7">
        <f>$B13 * IFERROR(VLOOKUP("transport|SO2|Non-fatal heart attacks", US_national_yearly!$D:$AM, 24, FALSE) / VLOOKUP("transport|SO2|Non-fatal heart attacks", US_national_yearly!$D:$AM, 10, FALSE), 1)</f>
        <v>1.604234003268062E-3</v>
      </c>
      <c r="Q13" s="7">
        <f>$B13 * IFERROR(VLOOKUP("transport|SO2|Non-fatal heart attacks", US_national_yearly!$D:$AM, 25, FALSE) / VLOOKUP("transport|SO2|Non-fatal heart attacks", US_national_yearly!$D:$AM, 10, FALSE), 1)</f>
        <v>1.6217140293403006E-3</v>
      </c>
      <c r="R13" s="7">
        <f>$B13 * IFERROR(VLOOKUP("transport|SO2|Non-fatal heart attacks", US_national_yearly!$D:$AM, 26, FALSE) / VLOOKUP("transport|SO2|Non-fatal heart attacks", US_national_yearly!$D:$AM, 10, FALSE), 1)</f>
        <v>1.6391940554125394E-3</v>
      </c>
      <c r="S13" s="7">
        <f>$B13 * IFERROR(VLOOKUP("transport|SO2|Non-fatal heart attacks", US_national_yearly!$D:$AM, 27, FALSE) / VLOOKUP("transport|SO2|Non-fatal heart attacks", US_national_yearly!$D:$AM, 10, FALSE), 1)</f>
        <v>1.6483202787033961E-3</v>
      </c>
      <c r="T13" s="7">
        <f>$B13 * IFERROR(VLOOKUP("transport|SO2|Non-fatal heart attacks", US_national_yearly!$D:$AM, 28, FALSE) / VLOOKUP("transport|SO2|Non-fatal heart attacks", US_national_yearly!$D:$AM, 10, FALSE), 1)</f>
        <v>1.6574465019942529E-3</v>
      </c>
      <c r="U13" s="7">
        <f>$B13 * IFERROR(VLOOKUP("transport|SO2|Non-fatal heart attacks", US_national_yearly!$D:$AM, 29, FALSE) / VLOOKUP("transport|SO2|Non-fatal heart attacks", US_national_yearly!$D:$AM, 10, FALSE), 1)</f>
        <v>1.6665727252851094E-3</v>
      </c>
      <c r="V13" s="7">
        <f>$B13 * IFERROR(VLOOKUP("transport|SO2|Non-fatal heart attacks", US_national_yearly!$D:$AM, 30, FALSE) / VLOOKUP("transport|SO2|Non-fatal heart attacks", US_national_yearly!$D:$AM, 10, FALSE), 1)</f>
        <v>1.6756989485759658E-3</v>
      </c>
      <c r="W13" s="7">
        <f>$B13 * IFERROR(VLOOKUP("transport|SO2|Non-fatal heart attacks", US_national_yearly!$D:$AM, 31, FALSE) / VLOOKUP("transport|SO2|Non-fatal heart attacks", US_national_yearly!$D:$AM, 10, FALSE), 1)</f>
        <v>1.6848251718668229E-3</v>
      </c>
      <c r="X13" s="7">
        <f>$B13 * IFERROR(VLOOKUP("transport|SO2|Non-fatal heart attacks", US_national_yearly!$D:$AM, 32, FALSE) / VLOOKUP("transport|SO2|Non-fatal heart attacks", US_national_yearly!$D:$AM, 10, FALSE), 1)</f>
        <v>1.6917146721455217E-3</v>
      </c>
      <c r="Y13" s="7">
        <f>$B13 * IFERROR(VLOOKUP("transport|SO2|Non-fatal heart attacks", US_national_yearly!$D:$AM, 33, FALSE) / VLOOKUP("transport|SO2|Non-fatal heart attacks", US_national_yearly!$D:$AM, 10, FALSE), 1)</f>
        <v>1.6986041724242206E-3</v>
      </c>
      <c r="Z13" s="7">
        <f>$B13 * IFERROR(VLOOKUP("transport|SO2|Non-fatal heart attacks", US_national_yearly!$D:$AM, 34, FALSE) / VLOOKUP("transport|SO2|Non-fatal heart attacks", US_national_yearly!$D:$AM, 10, FALSE), 1)</f>
        <v>1.7054936727029192E-3</v>
      </c>
      <c r="AA13" s="7">
        <f>$B13 * IFERROR(VLOOKUP("transport|SO2|Non-fatal heart attacks", US_national_yearly!$D:$AM, 35, FALSE) / VLOOKUP("transport|SO2|Non-fatal heart attacks", US_national_yearly!$D:$AM, 10, FALSE), 1)</f>
        <v>1.712383172981618E-3</v>
      </c>
      <c r="AB13" s="7">
        <f>$B13 * IFERROR(VLOOKUP("transport|SO2|Non-fatal heart attacks", US_national_yearly!$D:$AM, 36, FALSE) / VLOOKUP("transport|SO2|Non-fatal heart attacks", US_national_yearly!$D:$AM, 10, FALSE), 1)</f>
        <v>1.7192726732603168E-3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0.97890258524900009</v>
      </c>
      <c r="C14" s="7">
        <f>$B14 * IFERROR(VLOOKUP("transport|SO2|Minor restricted activity days", US_national_yearly!$D:$AM, 11, FALSE) / VLOOKUP("transport|SO2|Minor restricted activity days", US_national_yearly!$D:$AM, 10, FALSE), 1)</f>
        <v>0.98137007250358699</v>
      </c>
      <c r="D14" s="7">
        <f>$B14 * IFERROR(VLOOKUP("transport|SO2|Minor restricted activity days", US_national_yearly!$D:$AM, 12, FALSE) / VLOOKUP("transport|SO2|Minor restricted activity days", US_national_yearly!$D:$AM, 10, FALSE), 1)</f>
        <v>0.98383755975817377</v>
      </c>
      <c r="E14" s="7">
        <f>$B14 * IFERROR(VLOOKUP("transport|SO2|Minor restricted activity days", US_national_yearly!$D:$AM, 13, FALSE) / VLOOKUP("transport|SO2|Minor restricted activity days", US_national_yearly!$D:$AM, 10, FALSE), 1)</f>
        <v>0.98630504701276067</v>
      </c>
      <c r="F14" s="7">
        <f>$B14 * IFERROR(VLOOKUP("transport|SO2|Minor restricted activity days", US_national_yearly!$D:$AM, 14, FALSE) / VLOOKUP("transport|SO2|Minor restricted activity days", US_national_yearly!$D:$AM, 10, FALSE), 1)</f>
        <v>0.98877253426734746</v>
      </c>
      <c r="G14" s="7">
        <f>$B14 * IFERROR(VLOOKUP("transport|SO2|Minor restricted activity days", US_national_yearly!$D:$AM, 15, FALSE) / VLOOKUP("transport|SO2|Minor restricted activity days", US_national_yearly!$D:$AM, 10, FALSE), 1)</f>
        <v>0.99240443309879778</v>
      </c>
      <c r="H14" s="7">
        <f>$B14 * IFERROR(VLOOKUP("transport|SO2|Minor restricted activity days", US_national_yearly!$D:$AM, 16, FALSE) / VLOOKUP("transport|SO2|Minor restricted activity days", US_national_yearly!$D:$AM, 10, FALSE), 1)</f>
        <v>0.99603633193024821</v>
      </c>
      <c r="I14" s="7">
        <f>$B14 * IFERROR(VLOOKUP("transport|SO2|Minor restricted activity days", US_national_yearly!$D:$AM, 17, FALSE) / VLOOKUP("transport|SO2|Minor restricted activity days", US_national_yearly!$D:$AM, 10, FALSE), 1)</f>
        <v>1.0022301968546521</v>
      </c>
      <c r="J14" s="7">
        <f>$B14 * IFERROR(VLOOKUP("transport|SO2|Minor restricted activity days", US_national_yearly!$D:$AM, 18, FALSE) / VLOOKUP("transport|SO2|Minor restricted activity days", US_national_yearly!$D:$AM, 10, FALSE), 1)</f>
        <v>1.0084240617790559</v>
      </c>
      <c r="K14" s="7">
        <f>$B14 * IFERROR(VLOOKUP("transport|SO2|Minor restricted activity days", US_national_yearly!$D:$AM, 19, FALSE) / VLOOKUP("transport|SO2|Minor restricted activity days", US_national_yearly!$D:$AM, 10, FALSE), 1)</f>
        <v>1.0146179267034601</v>
      </c>
      <c r="L14" s="7">
        <f>$B14 * IFERROR(VLOOKUP("transport|SO2|Minor restricted activity days", US_national_yearly!$D:$AM, 20, FALSE) / VLOOKUP("transport|SO2|Minor restricted activity days", US_national_yearly!$D:$AM, 10, FALSE), 1)</f>
        <v>1.0208117916278638</v>
      </c>
      <c r="M14" s="7">
        <f>$B14 * IFERROR(VLOOKUP("transport|SO2|Minor restricted activity days", US_national_yearly!$D:$AM, 21, FALSE) / VLOOKUP("transport|SO2|Minor restricted activity days", US_national_yearly!$D:$AM, 10, FALSE), 1)</f>
        <v>1.0270056565522678</v>
      </c>
      <c r="N14" s="7">
        <f>$B14 * IFERROR(VLOOKUP("transport|SO2|Minor restricted activity days", US_national_yearly!$D:$AM, 22, FALSE) / VLOOKUP("transport|SO2|Minor restricted activity days", US_national_yearly!$D:$AM, 10, FALSE), 1)</f>
        <v>1.0354778699076141</v>
      </c>
      <c r="O14" s="7">
        <f>$B14 * IFERROR(VLOOKUP("transport|SO2|Minor restricted activity days", US_national_yearly!$D:$AM, 23, FALSE) / VLOOKUP("transport|SO2|Minor restricted activity days", US_national_yearly!$D:$AM, 10, FALSE), 1)</f>
        <v>1.0439500832629607</v>
      </c>
      <c r="P14" s="7">
        <f>$B14 * IFERROR(VLOOKUP("transport|SO2|Minor restricted activity days", US_national_yearly!$D:$AM, 24, FALSE) / VLOOKUP("transport|SO2|Minor restricted activity days", US_national_yearly!$D:$AM, 10, FALSE), 1)</f>
        <v>1.052422296618307</v>
      </c>
      <c r="Q14" s="7">
        <f>$B14 * IFERROR(VLOOKUP("transport|SO2|Minor restricted activity days", US_national_yearly!$D:$AM, 25, FALSE) / VLOOKUP("transport|SO2|Minor restricted activity days", US_national_yearly!$D:$AM, 10, FALSE), 1)</f>
        <v>1.0608945099736535</v>
      </c>
      <c r="R14" s="7">
        <f>$B14 * IFERROR(VLOOKUP("transport|SO2|Minor restricted activity days", US_national_yearly!$D:$AM, 26, FALSE) / VLOOKUP("transport|SO2|Minor restricted activity days", US_national_yearly!$D:$AM, 10, FALSE), 1)</f>
        <v>1.0693667233289998</v>
      </c>
      <c r="S14" s="7">
        <f>$B14 * IFERROR(VLOOKUP("transport|SO2|Minor restricted activity days", US_national_yearly!$D:$AM, 27, FALSE) / VLOOKUP("transport|SO2|Minor restricted activity days", US_national_yearly!$D:$AM, 10, FALSE), 1)</f>
        <v>1.0780049740535491</v>
      </c>
      <c r="T14" s="7">
        <f>$B14 * IFERROR(VLOOKUP("transport|SO2|Minor restricted activity days", US_national_yearly!$D:$AM, 28, FALSE) / VLOOKUP("transport|SO2|Minor restricted activity days", US_national_yearly!$D:$AM, 10, FALSE), 1)</f>
        <v>1.0866432247780984</v>
      </c>
      <c r="U14" s="7">
        <f>$B14 * IFERROR(VLOOKUP("transport|SO2|Minor restricted activity days", US_national_yearly!$D:$AM, 29, FALSE) / VLOOKUP("transport|SO2|Minor restricted activity days", US_national_yearly!$D:$AM, 10, FALSE), 1)</f>
        <v>1.0952814755026474</v>
      </c>
      <c r="V14" s="7">
        <f>$B14 * IFERROR(VLOOKUP("transport|SO2|Minor restricted activity days", US_national_yearly!$D:$AM, 30, FALSE) / VLOOKUP("transport|SO2|Minor restricted activity days", US_national_yearly!$D:$AM, 10, FALSE), 1)</f>
        <v>1.1039197262271967</v>
      </c>
      <c r="W14" s="7">
        <f>$B14 * IFERROR(VLOOKUP("transport|SO2|Minor restricted activity days", US_national_yearly!$D:$AM, 31, FALSE) / VLOOKUP("transport|SO2|Minor restricted activity days", US_national_yearly!$D:$AM, 10, FALSE), 1)</f>
        <v>1.1125579769517462</v>
      </c>
      <c r="X14" s="7">
        <f>$B14 * IFERROR(VLOOKUP("transport|SO2|Minor restricted activity days", US_national_yearly!$D:$AM, 32, FALSE) / VLOOKUP("transport|SO2|Minor restricted activity days", US_national_yearly!$D:$AM, 10, FALSE), 1)</f>
        <v>1.1201546300920111</v>
      </c>
      <c r="Y14" s="7">
        <f>$B14 * IFERROR(VLOOKUP("transport|SO2|Minor restricted activity days", US_national_yearly!$D:$AM, 33, FALSE) / VLOOKUP("transport|SO2|Minor restricted activity days", US_national_yearly!$D:$AM, 10, FALSE), 1)</f>
        <v>1.127751283232276</v>
      </c>
      <c r="Z14" s="7">
        <f>$B14 * IFERROR(VLOOKUP("transport|SO2|Minor restricted activity days", US_national_yearly!$D:$AM, 34, FALSE) / VLOOKUP("transport|SO2|Minor restricted activity days", US_national_yearly!$D:$AM, 10, FALSE), 1)</f>
        <v>1.1353479363725412</v>
      </c>
      <c r="AA14" s="7">
        <f>$B14 * IFERROR(VLOOKUP("transport|SO2|Minor restricted activity days", US_national_yearly!$D:$AM, 35, FALSE) / VLOOKUP("transport|SO2|Minor restricted activity days", US_national_yearly!$D:$AM, 10, FALSE), 1)</f>
        <v>1.1429445895128059</v>
      </c>
      <c r="AB14" s="7">
        <f>$B14 * IFERROR(VLOOKUP("transport|SO2|Minor restricted activity days", US_national_yearly!$D:$AM, 36, FALSE) / VLOOKUP("transport|SO2|Minor restricted activity days", US_national_yearly!$D:$AM, 10, FALSE), 1)</f>
        <v>1.150541242653071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0.16620595487643494</v>
      </c>
      <c r="C15" s="7">
        <f>$B15 * IFERROR(VLOOKUP("transport|SO2|Work loss days", US_national_yearly!$D:$AM, 11, FALSE) / VLOOKUP("transport|SO2|Work loss days", US_national_yearly!$D:$AM, 10, FALSE), 1)</f>
        <v>0.1667444357541347</v>
      </c>
      <c r="D15" s="7">
        <f>$B15 * IFERROR(VLOOKUP("transport|SO2|Work loss days", US_national_yearly!$D:$AM, 12, FALSE) / VLOOKUP("transport|SO2|Work loss days", US_national_yearly!$D:$AM, 10, FALSE), 1)</f>
        <v>0.16728291663183442</v>
      </c>
      <c r="E15" s="7">
        <f>$B15 * IFERROR(VLOOKUP("transport|SO2|Work loss days", US_national_yearly!$D:$AM, 13, FALSE) / VLOOKUP("transport|SO2|Work loss days", US_national_yearly!$D:$AM, 10, FALSE), 1)</f>
        <v>0.16782139750953418</v>
      </c>
      <c r="F15" s="7">
        <f>$B15 * IFERROR(VLOOKUP("transport|SO2|Work loss days", US_national_yearly!$D:$AM, 14, FALSE) / VLOOKUP("transport|SO2|Work loss days", US_national_yearly!$D:$AM, 10, FALSE), 1)</f>
        <v>0.16835987838723393</v>
      </c>
      <c r="G15" s="7">
        <f>$B15 * IFERROR(VLOOKUP("transport|SO2|Work loss days", US_national_yearly!$D:$AM, 15, FALSE) / VLOOKUP("transport|SO2|Work loss days", US_national_yearly!$D:$AM, 10, FALSE), 1)</f>
        <v>0.16906346954129528</v>
      </c>
      <c r="H15" s="7">
        <f>$B15 * IFERROR(VLOOKUP("transport|SO2|Work loss days", US_national_yearly!$D:$AM, 16, FALSE) / VLOOKUP("transport|SO2|Work loss days", US_national_yearly!$D:$AM, 10, FALSE), 1)</f>
        <v>0.16976706069535658</v>
      </c>
      <c r="I15" s="7">
        <f>$B15 * IFERROR(VLOOKUP("transport|SO2|Work loss days", US_national_yearly!$D:$AM, 17, FALSE) / VLOOKUP("transport|SO2|Work loss days", US_national_yearly!$D:$AM, 10, FALSE), 1)</f>
        <v>0.17079632010344994</v>
      </c>
      <c r="J15" s="7">
        <f>$B15 * IFERROR(VLOOKUP("transport|SO2|Work loss days", US_national_yearly!$D:$AM, 18, FALSE) / VLOOKUP("transport|SO2|Work loss days", US_national_yearly!$D:$AM, 10, FALSE), 1)</f>
        <v>0.17182557951154326</v>
      </c>
      <c r="K15" s="7">
        <f>$B15 * IFERROR(VLOOKUP("transport|SO2|Work loss days", US_national_yearly!$D:$AM, 19, FALSE) / VLOOKUP("transport|SO2|Work loss days", US_national_yearly!$D:$AM, 10, FALSE), 1)</f>
        <v>0.17285483891963663</v>
      </c>
      <c r="L15" s="7">
        <f>$B15 * IFERROR(VLOOKUP("transport|SO2|Work loss days", US_national_yearly!$D:$AM, 20, FALSE) / VLOOKUP("transport|SO2|Work loss days", US_national_yearly!$D:$AM, 10, FALSE), 1)</f>
        <v>0.17388409832773</v>
      </c>
      <c r="M15" s="7">
        <f>$B15 * IFERROR(VLOOKUP("transport|SO2|Work loss days", US_national_yearly!$D:$AM, 21, FALSE) / VLOOKUP("transport|SO2|Work loss days", US_national_yearly!$D:$AM, 10, FALSE), 1)</f>
        <v>0.17491335773582334</v>
      </c>
      <c r="N15" s="7">
        <f>$B15 * IFERROR(VLOOKUP("transport|SO2|Work loss days", US_national_yearly!$D:$AM, 22, FALSE) / VLOOKUP("transport|SO2|Work loss days", US_national_yearly!$D:$AM, 10, FALSE), 1)</f>
        <v>0.17620388224149025</v>
      </c>
      <c r="O15" s="7">
        <f>$B15 * IFERROR(VLOOKUP("transport|SO2|Work loss days", US_national_yearly!$D:$AM, 23, FALSE) / VLOOKUP("transport|SO2|Work loss days", US_national_yearly!$D:$AM, 10, FALSE), 1)</f>
        <v>0.17749440674715719</v>
      </c>
      <c r="P15" s="7">
        <f>$B15 * IFERROR(VLOOKUP("transport|SO2|Work loss days", US_national_yearly!$D:$AM, 24, FALSE) / VLOOKUP("transport|SO2|Work loss days", US_national_yearly!$D:$AM, 10, FALSE), 1)</f>
        <v>0.17878493125282408</v>
      </c>
      <c r="Q15" s="7">
        <f>$B15 * IFERROR(VLOOKUP("transport|SO2|Work loss days", US_national_yearly!$D:$AM, 25, FALSE) / VLOOKUP("transport|SO2|Work loss days", US_national_yearly!$D:$AM, 10, FALSE), 1)</f>
        <v>0.18007545575849099</v>
      </c>
      <c r="R15" s="7">
        <f>$B15 * IFERROR(VLOOKUP("transport|SO2|Work loss days", US_national_yearly!$D:$AM, 26, FALSE) / VLOOKUP("transport|SO2|Work loss days", US_national_yearly!$D:$AM, 10, FALSE), 1)</f>
        <v>0.1813659802641579</v>
      </c>
      <c r="S15" s="7">
        <f>$B15 * IFERROR(VLOOKUP("transport|SO2|Work loss days", US_national_yearly!$D:$AM, 27, FALSE) / VLOOKUP("transport|SO2|Work loss days", US_national_yearly!$D:$AM, 10, FALSE), 1)</f>
        <v>0.18280813714443572</v>
      </c>
      <c r="T15" s="7">
        <f>$B15 * IFERROR(VLOOKUP("transport|SO2|Work loss days", US_national_yearly!$D:$AM, 28, FALSE) / VLOOKUP("transport|SO2|Work loss days", US_national_yearly!$D:$AM, 10, FALSE), 1)</f>
        <v>0.1842502940247136</v>
      </c>
      <c r="U15" s="7">
        <f>$B15 * IFERROR(VLOOKUP("transport|SO2|Work loss days", US_national_yearly!$D:$AM, 29, FALSE) / VLOOKUP("transport|SO2|Work loss days", US_national_yearly!$D:$AM, 10, FALSE), 1)</f>
        <v>0.18569245090499142</v>
      </c>
      <c r="V15" s="7">
        <f>$B15 * IFERROR(VLOOKUP("transport|SO2|Work loss days", US_national_yearly!$D:$AM, 30, FALSE) / VLOOKUP("transport|SO2|Work loss days", US_national_yearly!$D:$AM, 10, FALSE), 1)</f>
        <v>0.18713460778526925</v>
      </c>
      <c r="W15" s="7">
        <f>$B15 * IFERROR(VLOOKUP("transport|SO2|Work loss days", US_national_yearly!$D:$AM, 31, FALSE) / VLOOKUP("transport|SO2|Work loss days", US_national_yearly!$D:$AM, 10, FALSE), 1)</f>
        <v>0.1885767646655471</v>
      </c>
      <c r="X15" s="7">
        <f>$B15 * IFERROR(VLOOKUP("transport|SO2|Work loss days", US_national_yearly!$D:$AM, 32, FALSE) / VLOOKUP("transport|SO2|Work loss days", US_national_yearly!$D:$AM, 10, FALSE), 1)</f>
        <v>0.18987162276201336</v>
      </c>
      <c r="Y15" s="7">
        <f>$B15 * IFERROR(VLOOKUP("transport|SO2|Work loss days", US_national_yearly!$D:$AM, 33, FALSE) / VLOOKUP("transport|SO2|Work loss days", US_national_yearly!$D:$AM, 10, FALSE), 1)</f>
        <v>0.19116648085847968</v>
      </c>
      <c r="Z15" s="7">
        <f>$B15 * IFERROR(VLOOKUP("transport|SO2|Work loss days", US_national_yearly!$D:$AM, 34, FALSE) / VLOOKUP("transport|SO2|Work loss days", US_national_yearly!$D:$AM, 10, FALSE), 1)</f>
        <v>0.19246133895494597</v>
      </c>
      <c r="AA15" s="7">
        <f>$B15 * IFERROR(VLOOKUP("transport|SO2|Work loss days", US_national_yearly!$D:$AM, 35, FALSE) / VLOOKUP("transport|SO2|Work loss days", US_national_yearly!$D:$AM, 10, FALSE), 1)</f>
        <v>0.19375619705141228</v>
      </c>
      <c r="AB15" s="7">
        <f>$B15 * IFERROR(VLOOKUP("transport|SO2|Work loss days", US_national_yearly!$D:$AM, 36, FALSE) / VLOOKUP("transport|SO2|Work loss days", US_national_yearly!$D:$AM, 10, FALSE), 1)</f>
        <v>0.19505105514787857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2.5126452492998415E-4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2.5886372636170897E-4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2.6646292779343385E-4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2.7406212922515867E-4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2.8166133065688355E-4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2.8894064305736138E-4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2.9621995545783933E-4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3.0245690563963467E-4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3.0869385582142997E-4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3.1493080600322531E-4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3.2116775618502066E-4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3.2740470636681595E-4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3.3159451617552544E-4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3.3578432598423488E-4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3.3997413579294432E-4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3.4416394560165376E-4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3.4835375541036325E-4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3.5055729705500737E-4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3.5276083869965153E-4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3.549643803442957E-4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3.5716792198893987E-4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3.5937146363358404E-4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3.6085077398315509E-4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3.623300843327262E-4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3.6380939468229725E-4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3.6528870503186841E-4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3.667680153814394E-4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8.7199907483103776E-3</v>
      </c>
      <c r="C2" s="7">
        <f>$B2 * IFERROR(VLOOKUP("electricity|PM25|Premature mortality", US_national_yearly!$D:$AM, 11, FALSE) / VLOOKUP("electricity|PM25|Premature mortality", US_national_yearly!$D:$AM, 10, FALSE), 1)</f>
        <v>8.827998626790165E-3</v>
      </c>
      <c r="D2" s="7">
        <f>$B2 * IFERROR(VLOOKUP("electricity|PM25|Premature mortality", US_national_yearly!$D:$AM, 12, FALSE) / VLOOKUP("electricity|PM25|Premature mortality", US_national_yearly!$D:$AM, 10, FALSE), 1)</f>
        <v>8.9360065052699507E-3</v>
      </c>
      <c r="E2" s="7">
        <f>$B2 * IFERROR(VLOOKUP("electricity|PM25|Premature mortality", US_national_yearly!$D:$AM, 13, FALSE) / VLOOKUP("electricity|PM25|Premature mortality", US_national_yearly!$D:$AM, 10, FALSE), 1)</f>
        <v>9.0440143837497381E-3</v>
      </c>
      <c r="F2" s="7">
        <f>$B2 * IFERROR(VLOOKUP("electricity|PM25|Premature mortality", US_national_yearly!$D:$AM, 14, FALSE) / VLOOKUP("electricity|PM25|Premature mortality", US_national_yearly!$D:$AM, 10, FALSE), 1)</f>
        <v>9.1520222622295255E-3</v>
      </c>
      <c r="G2" s="7">
        <f>$B2 * IFERROR(VLOOKUP("electricity|PM25|Premature mortality", US_national_yearly!$D:$AM, 15, FALSE) / VLOOKUP("electricity|PM25|Premature mortality", US_national_yearly!$D:$AM, 10, FALSE), 1)</f>
        <v>9.3641554796037221E-3</v>
      </c>
      <c r="H2" s="7">
        <f>$B2 * IFERROR(VLOOKUP("electricity|PM25|Premature mortality", US_national_yearly!$D:$AM, 16, FALSE) / VLOOKUP("electricity|PM25|Premature mortality", US_national_yearly!$D:$AM, 10, FALSE), 1)</f>
        <v>9.5762886969779203E-3</v>
      </c>
      <c r="I2" s="7">
        <f>$B2 * IFERROR(VLOOKUP("electricity|PM25|Premature mortality", US_national_yearly!$D:$AM, 17, FALSE) / VLOOKUP("electricity|PM25|Premature mortality", US_national_yearly!$D:$AM, 10, FALSE), 1)</f>
        <v>9.7188228076702677E-3</v>
      </c>
      <c r="J2" s="7">
        <f>$B2 * IFERROR(VLOOKUP("electricity|PM25|Premature mortality", US_national_yearly!$D:$AM, 18, FALSE) / VLOOKUP("electricity|PM25|Premature mortality", US_national_yearly!$D:$AM, 10, FALSE), 1)</f>
        <v>9.8613569183626168E-3</v>
      </c>
      <c r="K2" s="7">
        <f>$B2 * IFERROR(VLOOKUP("electricity|PM25|Premature mortality", US_national_yearly!$D:$AM, 19, FALSE) / VLOOKUP("electricity|PM25|Premature mortality", US_national_yearly!$D:$AM, 10, FALSE), 1)</f>
        <v>1.0003891029054964E-2</v>
      </c>
      <c r="L2" s="7">
        <f>$B2 * IFERROR(VLOOKUP("electricity|PM25|Premature mortality", US_national_yearly!$D:$AM, 20, FALSE) / VLOOKUP("electricity|PM25|Premature mortality", US_national_yearly!$D:$AM, 10, FALSE), 1)</f>
        <v>1.0146425139747315E-2</v>
      </c>
      <c r="M2" s="7">
        <f>$B2 * IFERROR(VLOOKUP("electricity|PM25|Premature mortality", US_national_yearly!$D:$AM, 21, FALSE) / VLOOKUP("electricity|PM25|Premature mortality", US_national_yearly!$D:$AM, 10, FALSE), 1)</f>
        <v>1.0288959250439662E-2</v>
      </c>
      <c r="N2" s="7">
        <f>$B2 * IFERROR(VLOOKUP("electricity|PM25|Premature mortality", US_national_yearly!$D:$AM, 22, FALSE) / VLOOKUP("electricity|PM25|Premature mortality", US_national_yearly!$D:$AM, 10, FALSE), 1)</f>
        <v>1.0402575073874699E-2</v>
      </c>
      <c r="O2" s="7">
        <f>$B2 * IFERROR(VLOOKUP("electricity|PM25|Premature mortality", US_national_yearly!$D:$AM, 23, FALSE) / VLOOKUP("electricity|PM25|Premature mortality", US_national_yearly!$D:$AM, 10, FALSE), 1)</f>
        <v>1.0516190897309735E-2</v>
      </c>
      <c r="P2" s="7">
        <f>$B2 * IFERROR(VLOOKUP("electricity|PM25|Premature mortality", US_national_yearly!$D:$AM, 24, FALSE) / VLOOKUP("electricity|PM25|Premature mortality", US_national_yearly!$D:$AM, 10, FALSE), 1)</f>
        <v>1.0629806720744773E-2</v>
      </c>
      <c r="Q2" s="7">
        <f>$B2 * IFERROR(VLOOKUP("electricity|PM25|Premature mortality", US_national_yearly!$D:$AM, 25, FALSE) / VLOOKUP("electricity|PM25|Premature mortality", US_national_yearly!$D:$AM, 10, FALSE), 1)</f>
        <v>1.0743422544179808E-2</v>
      </c>
      <c r="R2" s="7">
        <f>$B2 * IFERROR(VLOOKUP("electricity|PM25|Premature mortality", US_national_yearly!$D:$AM, 26, FALSE) / VLOOKUP("electricity|PM25|Premature mortality", US_national_yearly!$D:$AM, 10, FALSE), 1)</f>
        <v>1.0857038367614846E-2</v>
      </c>
      <c r="S2" s="7">
        <f>$B2 * IFERROR(VLOOKUP("electricity|PM25|Premature mortality", US_national_yearly!$D:$AM, 27, FALSE) / VLOOKUP("electricity|PM25|Premature mortality", US_national_yearly!$D:$AM, 10, FALSE), 1)</f>
        <v>1.0922049950736574E-2</v>
      </c>
      <c r="T2" s="7">
        <f>$B2 * IFERROR(VLOOKUP("electricity|PM25|Premature mortality", US_national_yearly!$D:$AM, 28, FALSE) / VLOOKUP("electricity|PM25|Premature mortality", US_national_yearly!$D:$AM, 10, FALSE), 1)</f>
        <v>1.0987061533858301E-2</v>
      </c>
      <c r="U2" s="7">
        <f>$B2 * IFERROR(VLOOKUP("electricity|PM25|Premature mortality", US_national_yearly!$D:$AM, 29, FALSE) / VLOOKUP("electricity|PM25|Premature mortality", US_national_yearly!$D:$AM, 10, FALSE), 1)</f>
        <v>1.1052073116980031E-2</v>
      </c>
      <c r="V2" s="7">
        <f>$B2 * IFERROR(VLOOKUP("electricity|PM25|Premature mortality", US_national_yearly!$D:$AM, 30, FALSE) / VLOOKUP("electricity|PM25|Premature mortality", US_national_yearly!$D:$AM, 10, FALSE), 1)</f>
        <v>1.1117084700101755E-2</v>
      </c>
      <c r="W2" s="7">
        <f>$B2 * IFERROR(VLOOKUP("electricity|PM25|Premature mortality", US_national_yearly!$D:$AM, 31, FALSE) / VLOOKUP("electricity|PM25|Premature mortality", US_national_yearly!$D:$AM, 10, FALSE), 1)</f>
        <v>1.1182096283223484E-2</v>
      </c>
      <c r="X2" s="7">
        <f>$B2 * IFERROR(VLOOKUP("electricity|PM25|Premature mortality", US_national_yearly!$D:$AM, 32, FALSE) / VLOOKUP("electricity|PM25|Premature mortality", US_national_yearly!$D:$AM, 10, FALSE), 1)</f>
        <v>1.1200156080676281E-2</v>
      </c>
      <c r="Y2" s="7">
        <f>$B2 * IFERROR(VLOOKUP("electricity|PM25|Premature mortality", US_national_yearly!$D:$AM, 33, FALSE) / VLOOKUP("electricity|PM25|Premature mortality", US_national_yearly!$D:$AM, 10, FALSE), 1)</f>
        <v>1.1218215878129077E-2</v>
      </c>
      <c r="Z2" s="7">
        <f>$B2 * IFERROR(VLOOKUP("electricity|PM25|Premature mortality", US_national_yearly!$D:$AM, 34, FALSE) / VLOOKUP("electricity|PM25|Premature mortality", US_national_yearly!$D:$AM, 10, FALSE), 1)</f>
        <v>1.1236275675581874E-2</v>
      </c>
      <c r="AA2" s="7">
        <f>$B2 * IFERROR(VLOOKUP("electricity|PM25|Premature mortality", US_national_yearly!$D:$AM, 35, FALSE) / VLOOKUP("electricity|PM25|Premature mortality", US_national_yearly!$D:$AM, 10, FALSE), 1)</f>
        <v>1.1254335473034671E-2</v>
      </c>
      <c r="AB2" s="7">
        <f>$B2 * IFERROR(VLOOKUP("electricity|PM25|Premature mortality", US_national_yearly!$D:$AM, 36, FALSE) / VLOOKUP("electricity|PM25|Premature mortality", US_national_yearly!$D:$AM, 10, FALSE), 1)</f>
        <v>1.1272395270487469E-2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1.8611641286433592E-5</v>
      </c>
      <c r="C3" s="7">
        <f>$B3 * IFERROR(VLOOKUP("electricity|PM25|Infant mortality", US_national_yearly!$D:$AM, 11, FALSE) / VLOOKUP("electricity|PM25|Infant mortality", US_national_yearly!$D:$AM, 10, FALSE), 1)</f>
        <v>1.8449478102785595E-5</v>
      </c>
      <c r="D3" s="7">
        <f>$B3 * IFERROR(VLOOKUP("electricity|PM25|Infant mortality", US_national_yearly!$D:$AM, 12, FALSE) / VLOOKUP("electricity|PM25|Infant mortality", US_national_yearly!$D:$AM, 10, FALSE), 1)</f>
        <v>1.8287314919137601E-5</v>
      </c>
      <c r="E3" s="7">
        <f>$B3 * IFERROR(VLOOKUP("electricity|PM25|Infant mortality", US_national_yearly!$D:$AM, 13, FALSE) / VLOOKUP("electricity|PM25|Infant mortality", US_national_yearly!$D:$AM, 10, FALSE), 1)</f>
        <v>1.8125151735489601E-5</v>
      </c>
      <c r="F3" s="7">
        <f>$B3 * IFERROR(VLOOKUP("electricity|PM25|Infant mortality", US_national_yearly!$D:$AM, 14, FALSE) / VLOOKUP("electricity|PM25|Infant mortality", US_national_yearly!$D:$AM, 10, FALSE), 1)</f>
        <v>1.7962988551841604E-5</v>
      </c>
      <c r="G3" s="7">
        <f>$B3 * IFERROR(VLOOKUP("electricity|PM25|Infant mortality", US_national_yearly!$D:$AM, 15, FALSE) / VLOOKUP("electricity|PM25|Infant mortality", US_national_yearly!$D:$AM, 10, FALSE), 1)</f>
        <v>1.1912494129687212E-5</v>
      </c>
      <c r="H3" s="7">
        <f>$B3 * IFERROR(VLOOKUP("electricity|PM25|Infant mortality", US_national_yearly!$D:$AM, 16, FALSE) / VLOOKUP("electricity|PM25|Infant mortality", US_national_yearly!$D:$AM, 10, FALSE), 1)</f>
        <v>5.8619997075328208E-6</v>
      </c>
      <c r="I3" s="7">
        <f>$B3 * IFERROR(VLOOKUP("electricity|PM25|Infant mortality", US_national_yearly!$D:$AM, 17, FALSE) / VLOOKUP("electricity|PM25|Infant mortality", US_national_yearly!$D:$AM, 10, FALSE), 1)</f>
        <v>5.8206113034867151E-6</v>
      </c>
      <c r="J3" s="7">
        <f>$B3 * IFERROR(VLOOKUP("electricity|PM25|Infant mortality", US_national_yearly!$D:$AM, 18, FALSE) / VLOOKUP("electricity|PM25|Infant mortality", US_national_yearly!$D:$AM, 10, FALSE), 1)</f>
        <v>5.7792228994406111E-6</v>
      </c>
      <c r="K3" s="7">
        <f>$B3 * IFERROR(VLOOKUP("electricity|PM25|Infant mortality", US_national_yearly!$D:$AM, 19, FALSE) / VLOOKUP("electricity|PM25|Infant mortality", US_national_yearly!$D:$AM, 10, FALSE), 1)</f>
        <v>5.7378344953945054E-6</v>
      </c>
      <c r="L3" s="7">
        <f>$B3 * IFERROR(VLOOKUP("electricity|PM25|Infant mortality", US_national_yearly!$D:$AM, 20, FALSE) / VLOOKUP("electricity|PM25|Infant mortality", US_national_yearly!$D:$AM, 10, FALSE), 1)</f>
        <v>5.6964460913484005E-6</v>
      </c>
      <c r="M3" s="7">
        <f>$B3 * IFERROR(VLOOKUP("electricity|PM25|Infant mortality", US_national_yearly!$D:$AM, 21, FALSE) / VLOOKUP("electricity|PM25|Infant mortality", US_national_yearly!$D:$AM, 10, FALSE), 1)</f>
        <v>5.6550576873022965E-6</v>
      </c>
      <c r="N3" s="7">
        <f>$B3 * IFERROR(VLOOKUP("electricity|PM25|Infant mortality", US_national_yearly!$D:$AM, 22, FALSE) / VLOOKUP("electricity|PM25|Infant mortality", US_national_yearly!$D:$AM, 10, FALSE), 1)</f>
        <v>5.6284394484576876E-6</v>
      </c>
      <c r="O3" s="7">
        <f>$B3 * IFERROR(VLOOKUP("electricity|PM25|Infant mortality", US_national_yearly!$D:$AM, 23, FALSE) / VLOOKUP("electricity|PM25|Infant mortality", US_national_yearly!$D:$AM, 10, FALSE), 1)</f>
        <v>5.6018212096130787E-6</v>
      </c>
      <c r="P3" s="7">
        <f>$B3 * IFERROR(VLOOKUP("electricity|PM25|Infant mortality", US_national_yearly!$D:$AM, 24, FALSE) / VLOOKUP("electricity|PM25|Infant mortality", US_national_yearly!$D:$AM, 10, FALSE), 1)</f>
        <v>5.5752029707684689E-6</v>
      </c>
      <c r="Q3" s="7">
        <f>$B3 * IFERROR(VLOOKUP("electricity|PM25|Infant mortality", US_national_yearly!$D:$AM, 25, FALSE) / VLOOKUP("electricity|PM25|Infant mortality", US_national_yearly!$D:$AM, 10, FALSE), 1)</f>
        <v>5.54858473192386E-6</v>
      </c>
      <c r="R3" s="7">
        <f>$B3 * IFERROR(VLOOKUP("electricity|PM25|Infant mortality", US_national_yearly!$D:$AM, 26, FALSE) / VLOOKUP("electricity|PM25|Infant mortality", US_national_yearly!$D:$AM, 10, FALSE), 1)</f>
        <v>5.5219664930792502E-6</v>
      </c>
      <c r="S3" s="7">
        <f>$B3 * IFERROR(VLOOKUP("electricity|PM25|Infant mortality", US_national_yearly!$D:$AM, 27, FALSE) / VLOOKUP("electricity|PM25|Infant mortality", US_national_yearly!$D:$AM, 10, FALSE), 1)</f>
        <v>5.4900772481184785E-6</v>
      </c>
      <c r="T3" s="7">
        <f>$B3 * IFERROR(VLOOKUP("electricity|PM25|Infant mortality", US_national_yearly!$D:$AM, 28, FALSE) / VLOOKUP("electricity|PM25|Infant mortality", US_national_yearly!$D:$AM, 10, FALSE), 1)</f>
        <v>5.458188003157706E-6</v>
      </c>
      <c r="U3" s="7">
        <f>$B3 * IFERROR(VLOOKUP("electricity|PM25|Infant mortality", US_national_yearly!$D:$AM, 29, FALSE) / VLOOKUP("electricity|PM25|Infant mortality", US_national_yearly!$D:$AM, 10, FALSE), 1)</f>
        <v>5.4262987581969351E-6</v>
      </c>
      <c r="V3" s="7">
        <f>$B3 * IFERROR(VLOOKUP("electricity|PM25|Infant mortality", US_national_yearly!$D:$AM, 30, FALSE) / VLOOKUP("electricity|PM25|Infant mortality", US_national_yearly!$D:$AM, 10, FALSE), 1)</f>
        <v>5.3944095132361634E-6</v>
      </c>
      <c r="W3" s="7">
        <f>$B3 * IFERROR(VLOOKUP("electricity|PM25|Infant mortality", US_national_yearly!$D:$AM, 31, FALSE) / VLOOKUP("electricity|PM25|Infant mortality", US_national_yearly!$D:$AM, 10, FALSE), 1)</f>
        <v>5.3625202682753909E-6</v>
      </c>
      <c r="X3" s="7">
        <f>$B3 * IFERROR(VLOOKUP("electricity|PM25|Infant mortality", US_national_yearly!$D:$AM, 32, FALSE) / VLOOKUP("electricity|PM25|Infant mortality", US_national_yearly!$D:$AM, 10, FALSE), 1)</f>
        <v>5.3295667151626577E-6</v>
      </c>
      <c r="Y3" s="7">
        <f>$B3 * IFERROR(VLOOKUP("electricity|PM25|Infant mortality", US_national_yearly!$D:$AM, 33, FALSE) / VLOOKUP("electricity|PM25|Infant mortality", US_national_yearly!$D:$AM, 10, FALSE), 1)</f>
        <v>5.2966131620499236E-6</v>
      </c>
      <c r="Z3" s="7">
        <f>$B3 * IFERROR(VLOOKUP("electricity|PM25|Infant mortality", US_national_yearly!$D:$AM, 34, FALSE) / VLOOKUP("electricity|PM25|Infant mortality", US_national_yearly!$D:$AM, 10, FALSE), 1)</f>
        <v>5.2636596089371896E-6</v>
      </c>
      <c r="AA3" s="7">
        <f>$B3 * IFERROR(VLOOKUP("electricity|PM25|Infant mortality", US_national_yearly!$D:$AM, 35, FALSE) / VLOOKUP("electricity|PM25|Infant mortality", US_national_yearly!$D:$AM, 10, FALSE), 1)</f>
        <v>5.2307060558244563E-6</v>
      </c>
      <c r="AB3" s="7">
        <f>$B3 * IFERROR(VLOOKUP("electricity|PM25|Infant mortality", US_national_yearly!$D:$AM, 36, FALSE) / VLOOKUP("electricity|PM25|Infant mortality", US_national_yearly!$D:$AM, 10, FALSE), 1)</f>
        <v>5.1977525027117223E-6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2.3681135393330041E-2</v>
      </c>
      <c r="C6" s="7">
        <f>$B6 * IFERROR(VLOOKUP("electricity|PM25|Asthma symptoms cough", US_national_yearly!$D:$AM, 11, FALSE) / VLOOKUP("electricity|PM25|Asthma symptoms cough", US_national_yearly!$D:$AM, 10, FALSE), 1)</f>
        <v>2.3681135393330041E-2</v>
      </c>
      <c r="D6" s="7">
        <f>$B6 * IFERROR(VLOOKUP("electricity|PM25|Asthma symptoms cough", US_national_yearly!$D:$AM, 12, FALSE) / VLOOKUP("electricity|PM25|Asthma symptoms cough", US_national_yearly!$D:$AM, 10, FALSE), 1)</f>
        <v>2.3681135393330041E-2</v>
      </c>
      <c r="E6" s="7">
        <f>$B6 * IFERROR(VLOOKUP("electricity|PM25|Asthma symptoms cough", US_national_yearly!$D:$AM, 13, FALSE) / VLOOKUP("electricity|PM25|Asthma symptoms cough", US_national_yearly!$D:$AM, 10, FALSE), 1)</f>
        <v>2.3681135393330041E-2</v>
      </c>
      <c r="F6" s="7">
        <f>$B6 * IFERROR(VLOOKUP("electricity|PM25|Asthma symptoms cough", US_national_yearly!$D:$AM, 14, FALSE) / VLOOKUP("electricity|PM25|Asthma symptoms cough", US_national_yearly!$D:$AM, 10, FALSE), 1)</f>
        <v>2.3681135393330041E-2</v>
      </c>
      <c r="G6" s="7">
        <f>$B6 * IFERROR(VLOOKUP("electricity|PM25|Asthma symptoms cough", US_national_yearly!$D:$AM, 15, FALSE) / VLOOKUP("electricity|PM25|Asthma symptoms cough", US_national_yearly!$D:$AM, 10, FALSE), 1)</f>
        <v>2.3681135393330041E-2</v>
      </c>
      <c r="H6" s="7">
        <f>$B6 * IFERROR(VLOOKUP("electricity|PM25|Asthma symptoms cough", US_national_yearly!$D:$AM, 16, FALSE) / VLOOKUP("electricity|PM25|Asthma symptoms cough", US_national_yearly!$D:$AM, 10, FALSE), 1)</f>
        <v>2.3681135393330041E-2</v>
      </c>
      <c r="I6" s="7">
        <f>$B6 * IFERROR(VLOOKUP("electricity|PM25|Asthma symptoms cough", US_national_yearly!$D:$AM, 17, FALSE) / VLOOKUP("electricity|PM25|Asthma symptoms cough", US_national_yearly!$D:$AM, 10, FALSE), 1)</f>
        <v>2.3681135393330041E-2</v>
      </c>
      <c r="J6" s="7">
        <f>$B6 * IFERROR(VLOOKUP("electricity|PM25|Asthma symptoms cough", US_national_yearly!$D:$AM, 18, FALSE) / VLOOKUP("electricity|PM25|Asthma symptoms cough", US_national_yearly!$D:$AM, 10, FALSE), 1)</f>
        <v>2.3681135393330041E-2</v>
      </c>
      <c r="K6" s="7">
        <f>$B6 * IFERROR(VLOOKUP("electricity|PM25|Asthma symptoms cough", US_national_yearly!$D:$AM, 19, FALSE) / VLOOKUP("electricity|PM25|Asthma symptoms cough", US_national_yearly!$D:$AM, 10, FALSE), 1)</f>
        <v>2.3681135393330041E-2</v>
      </c>
      <c r="L6" s="7">
        <f>$B6 * IFERROR(VLOOKUP("electricity|PM25|Asthma symptoms cough", US_national_yearly!$D:$AM, 20, FALSE) / VLOOKUP("electricity|PM25|Asthma symptoms cough", US_national_yearly!$D:$AM, 10, FALSE), 1)</f>
        <v>2.3681135393330041E-2</v>
      </c>
      <c r="M6" s="7">
        <f>$B6 * IFERROR(VLOOKUP("electricity|PM25|Asthma symptoms cough", US_national_yearly!$D:$AM, 21, FALSE) / VLOOKUP("electricity|PM25|Asthma symptoms cough", US_national_yearly!$D:$AM, 10, FALSE), 1)</f>
        <v>2.3681135393330041E-2</v>
      </c>
      <c r="N6" s="7">
        <f>$B6 * IFERROR(VLOOKUP("electricity|PM25|Asthma symptoms cough", US_national_yearly!$D:$AM, 22, FALSE) / VLOOKUP("electricity|PM25|Asthma symptoms cough", US_national_yearly!$D:$AM, 10, FALSE), 1)</f>
        <v>2.3681135393330041E-2</v>
      </c>
      <c r="O6" s="7">
        <f>$B6 * IFERROR(VLOOKUP("electricity|PM25|Asthma symptoms cough", US_national_yearly!$D:$AM, 23, FALSE) / VLOOKUP("electricity|PM25|Asthma symptoms cough", US_national_yearly!$D:$AM, 10, FALSE), 1)</f>
        <v>2.3681135393330041E-2</v>
      </c>
      <c r="P6" s="7">
        <f>$B6 * IFERROR(VLOOKUP("electricity|PM25|Asthma symptoms cough", US_national_yearly!$D:$AM, 24, FALSE) / VLOOKUP("electricity|PM25|Asthma symptoms cough", US_national_yearly!$D:$AM, 10, FALSE), 1)</f>
        <v>2.3681135393330041E-2</v>
      </c>
      <c r="Q6" s="7">
        <f>$B6 * IFERROR(VLOOKUP("electricity|PM25|Asthma symptoms cough", US_national_yearly!$D:$AM, 25, FALSE) / VLOOKUP("electricity|PM25|Asthma symptoms cough", US_national_yearly!$D:$AM, 10, FALSE), 1)</f>
        <v>2.3681135393330041E-2</v>
      </c>
      <c r="R6" s="7">
        <f>$B6 * IFERROR(VLOOKUP("electricity|PM25|Asthma symptoms cough", US_national_yearly!$D:$AM, 26, FALSE) / VLOOKUP("electricity|PM25|Asthma symptoms cough", US_national_yearly!$D:$AM, 10, FALSE), 1)</f>
        <v>2.3681135393330041E-2</v>
      </c>
      <c r="S6" s="7">
        <f>$B6 * IFERROR(VLOOKUP("electricity|PM25|Asthma symptoms cough", US_national_yearly!$D:$AM, 27, FALSE) / VLOOKUP("electricity|PM25|Asthma symptoms cough", US_national_yearly!$D:$AM, 10, FALSE), 1)</f>
        <v>2.3681135393330041E-2</v>
      </c>
      <c r="T6" s="7">
        <f>$B6 * IFERROR(VLOOKUP("electricity|PM25|Asthma symptoms cough", US_national_yearly!$D:$AM, 28, FALSE) / VLOOKUP("electricity|PM25|Asthma symptoms cough", US_national_yearly!$D:$AM, 10, FALSE), 1)</f>
        <v>2.3681135393330041E-2</v>
      </c>
      <c r="U6" s="7">
        <f>$B6 * IFERROR(VLOOKUP("electricity|PM25|Asthma symptoms cough", US_national_yearly!$D:$AM, 29, FALSE) / VLOOKUP("electricity|PM25|Asthma symptoms cough", US_national_yearly!$D:$AM, 10, FALSE), 1)</f>
        <v>2.3681135393330041E-2</v>
      </c>
      <c r="V6" s="7">
        <f>$B6 * IFERROR(VLOOKUP("electricity|PM25|Asthma symptoms cough", US_national_yearly!$D:$AM, 30, FALSE) / VLOOKUP("electricity|PM25|Asthma symptoms cough", US_national_yearly!$D:$AM, 10, FALSE), 1)</f>
        <v>2.3681135393330041E-2</v>
      </c>
      <c r="W6" s="7">
        <f>$B6 * IFERROR(VLOOKUP("electricity|PM25|Asthma symptoms cough", US_national_yearly!$D:$AM, 31, FALSE) / VLOOKUP("electricity|PM25|Asthma symptoms cough", US_national_yearly!$D:$AM, 10, FALSE), 1)</f>
        <v>2.3681135393330041E-2</v>
      </c>
      <c r="X6" s="7">
        <f>$B6 * IFERROR(VLOOKUP("electricity|PM25|Asthma symptoms cough", US_national_yearly!$D:$AM, 32, FALSE) / VLOOKUP("electricity|PM25|Asthma symptoms cough", US_national_yearly!$D:$AM, 10, FALSE), 1)</f>
        <v>2.3681135393330041E-2</v>
      </c>
      <c r="Y6" s="7">
        <f>$B6 * IFERROR(VLOOKUP("electricity|PM25|Asthma symptoms cough", US_national_yearly!$D:$AM, 33, FALSE) / VLOOKUP("electricity|PM25|Asthma symptoms cough", US_national_yearly!$D:$AM, 10, FALSE), 1)</f>
        <v>2.3681135393330041E-2</v>
      </c>
      <c r="Z6" s="7">
        <f>$B6 * IFERROR(VLOOKUP("electricity|PM25|Asthma symptoms cough", US_national_yearly!$D:$AM, 34, FALSE) / VLOOKUP("electricity|PM25|Asthma symptoms cough", US_national_yearly!$D:$AM, 10, FALSE), 1)</f>
        <v>2.3681135393330041E-2</v>
      </c>
      <c r="AA6" s="7">
        <f>$B6 * IFERROR(VLOOKUP("electricity|PM25|Asthma symptoms cough", US_national_yearly!$D:$AM, 35, FALSE) / VLOOKUP("electricity|PM25|Asthma symptoms cough", US_national_yearly!$D:$AM, 10, FALSE), 1)</f>
        <v>2.3681135393330041E-2</v>
      </c>
      <c r="AB6" s="7">
        <f>$B6 * IFERROR(VLOOKUP("electricity|PM25|Asthma symptoms cough", US_national_yearly!$D:$AM, 36, FALSE) / VLOOKUP("electricity|PM25|Asthma symptoms cough", US_national_yearly!$D:$AM, 10, FALSE), 1)</f>
        <v>2.3681135393330041E-2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3.1889953216760497E-2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3.1889953216760497E-2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3.1889953216760497E-2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3.1889953216760497E-2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3.1889953216760497E-2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3.1889953216760497E-2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3.1889953216760497E-2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3.1889953216760497E-2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3.1889953216760497E-2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3.1889953216760497E-2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3.1889953216760497E-2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3.1889953216760497E-2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3.1889953216760497E-2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3.1889953216760497E-2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3.1889953216760497E-2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3.1889953216760497E-2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3.1889953216760497E-2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3.1889953216760497E-2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3.1889953216760497E-2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3.1889953216760497E-2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3.1889953216760497E-2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3.1889953216760497E-2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3.1889953216760497E-2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3.1889953216760497E-2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3.1889953216760497E-2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3.1889953216760497E-2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3.1889953216760497E-2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4.8722914158304362E-2</v>
      </c>
      <c r="C8" s="7">
        <f>$B8 * IFERROR(VLOOKUP("electricity|PM25|Asthma symptoms wheeze", US_national_yearly!$D:$AM, 11, FALSE) / VLOOKUP("electricity|PM25|Asthma symptoms wheeze", US_national_yearly!$D:$AM, 10, FALSE), 1)</f>
        <v>4.8722914158304362E-2</v>
      </c>
      <c r="D8" s="7">
        <f>$B8 * IFERROR(VLOOKUP("electricity|PM25|Asthma symptoms wheeze", US_national_yearly!$D:$AM, 12, FALSE) / VLOOKUP("electricity|PM25|Asthma symptoms wheeze", US_national_yearly!$D:$AM, 10, FALSE), 1)</f>
        <v>4.8722914158304362E-2</v>
      </c>
      <c r="E8" s="7">
        <f>$B8 * IFERROR(VLOOKUP("electricity|PM25|Asthma symptoms wheeze", US_national_yearly!$D:$AM, 13, FALSE) / VLOOKUP("electricity|PM25|Asthma symptoms wheeze", US_national_yearly!$D:$AM, 10, FALSE), 1)</f>
        <v>4.8722914158304362E-2</v>
      </c>
      <c r="F8" s="7">
        <f>$B8 * IFERROR(VLOOKUP("electricity|PM25|Asthma symptoms wheeze", US_national_yearly!$D:$AM, 14, FALSE) / VLOOKUP("electricity|PM25|Asthma symptoms wheeze", US_national_yearly!$D:$AM, 10, FALSE), 1)</f>
        <v>4.8722914158304362E-2</v>
      </c>
      <c r="G8" s="7">
        <f>$B8 * IFERROR(VLOOKUP("electricity|PM25|Asthma symptoms wheeze", US_national_yearly!$D:$AM, 15, FALSE) / VLOOKUP("electricity|PM25|Asthma symptoms wheeze", US_national_yearly!$D:$AM, 10, FALSE), 1)</f>
        <v>4.8722914158304362E-2</v>
      </c>
      <c r="H8" s="7">
        <f>$B8 * IFERROR(VLOOKUP("electricity|PM25|Asthma symptoms wheeze", US_national_yearly!$D:$AM, 16, FALSE) / VLOOKUP("electricity|PM25|Asthma symptoms wheeze", US_national_yearly!$D:$AM, 10, FALSE), 1)</f>
        <v>4.8722914158304362E-2</v>
      </c>
      <c r="I8" s="7">
        <f>$B8 * IFERROR(VLOOKUP("electricity|PM25|Asthma symptoms wheeze", US_national_yearly!$D:$AM, 17, FALSE) / VLOOKUP("electricity|PM25|Asthma symptoms wheeze", US_national_yearly!$D:$AM, 10, FALSE), 1)</f>
        <v>4.8722914158304362E-2</v>
      </c>
      <c r="J8" s="7">
        <f>$B8 * IFERROR(VLOOKUP("electricity|PM25|Asthma symptoms wheeze", US_national_yearly!$D:$AM, 18, FALSE) / VLOOKUP("electricity|PM25|Asthma symptoms wheeze", US_national_yearly!$D:$AM, 10, FALSE), 1)</f>
        <v>4.8722914158304362E-2</v>
      </c>
      <c r="K8" s="7">
        <f>$B8 * IFERROR(VLOOKUP("electricity|PM25|Asthma symptoms wheeze", US_national_yearly!$D:$AM, 19, FALSE) / VLOOKUP("electricity|PM25|Asthma symptoms wheeze", US_national_yearly!$D:$AM, 10, FALSE), 1)</f>
        <v>4.8722914158304362E-2</v>
      </c>
      <c r="L8" s="7">
        <f>$B8 * IFERROR(VLOOKUP("electricity|PM25|Asthma symptoms wheeze", US_national_yearly!$D:$AM, 20, FALSE) / VLOOKUP("electricity|PM25|Asthma symptoms wheeze", US_national_yearly!$D:$AM, 10, FALSE), 1)</f>
        <v>4.8722914158304362E-2</v>
      </c>
      <c r="M8" s="7">
        <f>$B8 * IFERROR(VLOOKUP("electricity|PM25|Asthma symptoms wheeze", US_national_yearly!$D:$AM, 21, FALSE) / VLOOKUP("electricity|PM25|Asthma symptoms wheeze", US_national_yearly!$D:$AM, 10, FALSE), 1)</f>
        <v>4.8722914158304362E-2</v>
      </c>
      <c r="N8" s="7">
        <f>$B8 * IFERROR(VLOOKUP("electricity|PM25|Asthma symptoms wheeze", US_national_yearly!$D:$AM, 22, FALSE) / VLOOKUP("electricity|PM25|Asthma symptoms wheeze", US_national_yearly!$D:$AM, 10, FALSE), 1)</f>
        <v>4.8722914158304362E-2</v>
      </c>
      <c r="O8" s="7">
        <f>$B8 * IFERROR(VLOOKUP("electricity|PM25|Asthma symptoms wheeze", US_national_yearly!$D:$AM, 23, FALSE) / VLOOKUP("electricity|PM25|Asthma symptoms wheeze", US_national_yearly!$D:$AM, 10, FALSE), 1)</f>
        <v>4.8722914158304362E-2</v>
      </c>
      <c r="P8" s="7">
        <f>$B8 * IFERROR(VLOOKUP("electricity|PM25|Asthma symptoms wheeze", US_national_yearly!$D:$AM, 24, FALSE) / VLOOKUP("electricity|PM25|Asthma symptoms wheeze", US_national_yearly!$D:$AM, 10, FALSE), 1)</f>
        <v>4.8722914158304362E-2</v>
      </c>
      <c r="Q8" s="7">
        <f>$B8 * IFERROR(VLOOKUP("electricity|PM25|Asthma symptoms wheeze", US_national_yearly!$D:$AM, 25, FALSE) / VLOOKUP("electricity|PM25|Asthma symptoms wheeze", US_national_yearly!$D:$AM, 10, FALSE), 1)</f>
        <v>4.8722914158304362E-2</v>
      </c>
      <c r="R8" s="7">
        <f>$B8 * IFERROR(VLOOKUP("electricity|PM25|Asthma symptoms wheeze", US_national_yearly!$D:$AM, 26, FALSE) / VLOOKUP("electricity|PM25|Asthma symptoms wheeze", US_national_yearly!$D:$AM, 10, FALSE), 1)</f>
        <v>4.8722914158304362E-2</v>
      </c>
      <c r="S8" s="7">
        <f>$B8 * IFERROR(VLOOKUP("electricity|PM25|Asthma symptoms wheeze", US_national_yearly!$D:$AM, 27, FALSE) / VLOOKUP("electricity|PM25|Asthma symptoms wheeze", US_national_yearly!$D:$AM, 10, FALSE), 1)</f>
        <v>4.8722914158304362E-2</v>
      </c>
      <c r="T8" s="7">
        <f>$B8 * IFERROR(VLOOKUP("electricity|PM25|Asthma symptoms wheeze", US_national_yearly!$D:$AM, 28, FALSE) / VLOOKUP("electricity|PM25|Asthma symptoms wheeze", US_national_yearly!$D:$AM, 10, FALSE), 1)</f>
        <v>4.8722914158304362E-2</v>
      </c>
      <c r="U8" s="7">
        <f>$B8 * IFERROR(VLOOKUP("electricity|PM25|Asthma symptoms wheeze", US_national_yearly!$D:$AM, 29, FALSE) / VLOOKUP("electricity|PM25|Asthma symptoms wheeze", US_national_yearly!$D:$AM, 10, FALSE), 1)</f>
        <v>4.8722914158304362E-2</v>
      </c>
      <c r="V8" s="7">
        <f>$B8 * IFERROR(VLOOKUP("electricity|PM25|Asthma symptoms wheeze", US_national_yearly!$D:$AM, 30, FALSE) / VLOOKUP("electricity|PM25|Asthma symptoms wheeze", US_national_yearly!$D:$AM, 10, FALSE), 1)</f>
        <v>4.8722914158304362E-2</v>
      </c>
      <c r="W8" s="7">
        <f>$B8 * IFERROR(VLOOKUP("electricity|PM25|Asthma symptoms wheeze", US_national_yearly!$D:$AM, 31, FALSE) / VLOOKUP("electricity|PM25|Asthma symptoms wheeze", US_national_yearly!$D:$AM, 10, FALSE), 1)</f>
        <v>4.8722914158304362E-2</v>
      </c>
      <c r="X8" s="7">
        <f>$B8 * IFERROR(VLOOKUP("electricity|PM25|Asthma symptoms wheeze", US_national_yearly!$D:$AM, 32, FALSE) / VLOOKUP("electricity|PM25|Asthma symptoms wheeze", US_national_yearly!$D:$AM, 10, FALSE), 1)</f>
        <v>4.8722914158304362E-2</v>
      </c>
      <c r="Y8" s="7">
        <f>$B8 * IFERROR(VLOOKUP("electricity|PM25|Asthma symptoms wheeze", US_national_yearly!$D:$AM, 33, FALSE) / VLOOKUP("electricity|PM25|Asthma symptoms wheeze", US_national_yearly!$D:$AM, 10, FALSE), 1)</f>
        <v>4.8722914158304362E-2</v>
      </c>
      <c r="Z8" s="7">
        <f>$B8 * IFERROR(VLOOKUP("electricity|PM25|Asthma symptoms wheeze", US_national_yearly!$D:$AM, 34, FALSE) / VLOOKUP("electricity|PM25|Asthma symptoms wheeze", US_national_yearly!$D:$AM, 10, FALSE), 1)</f>
        <v>4.8722914158304362E-2</v>
      </c>
      <c r="AA8" s="7">
        <f>$B8 * IFERROR(VLOOKUP("electricity|PM25|Asthma symptoms wheeze", US_national_yearly!$D:$AM, 35, FALSE) / VLOOKUP("electricity|PM25|Asthma symptoms wheeze", US_national_yearly!$D:$AM, 10, FALSE), 1)</f>
        <v>4.8722914158304362E-2</v>
      </c>
      <c r="AB8" s="7">
        <f>$B8 * IFERROR(VLOOKUP("electricity|PM25|Asthma symptoms wheeze", US_national_yearly!$D:$AM, 36, FALSE) / VLOOKUP("electricity|PM25|Asthma symptoms wheeze", US_national_yearly!$D:$AM, 10, FALSE), 1)</f>
        <v>4.8722914158304362E-2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4.96546429130888E-4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4.9927538785506098E-4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5.0200434657923386E-4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5.0473330530340695E-4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5.0746226402757972E-4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5.1038764070012236E-4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5.1331301737266499E-4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5.1592654257625811E-4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5.1854006777985102E-4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5.2115359298344403E-4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5.2376711818703694E-4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5.2638064339063006E-4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5.28143558944982E-4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5.2990647449933405E-4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5.316693900536861E-4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5.3343230560803803E-4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5.3519522116239008E-4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5.3683801191205379E-4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5.3848080266171729E-4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5.401235934113809E-4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5.417663841610445E-4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5.43409174910708E-4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5.450335821164463E-4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5.4665798932218449E-4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5.4828239652792256E-4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5.4990680373366075E-4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5.5153121093939905E-4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3.5491381030451651E-3</v>
      </c>
      <c r="C13" s="7">
        <f>$B13 * IFERROR(VLOOKUP("electricity|PM25|Non-fatal heart attacks", US_national_yearly!$D:$AM, 11, FALSE) / VLOOKUP("electricity|PM25|Non-fatal heart attacks", US_national_yearly!$D:$AM, 10, FALSE), 1)</f>
        <v>3.6519382558230819E-3</v>
      </c>
      <c r="D13" s="7">
        <f>$B13 * IFERROR(VLOOKUP("electricity|PM25|Non-fatal heart attacks", US_national_yearly!$D:$AM, 12, FALSE) / VLOOKUP("electricity|PM25|Non-fatal heart attacks", US_national_yearly!$D:$AM, 10, FALSE), 1)</f>
        <v>3.7547384086009982E-3</v>
      </c>
      <c r="E13" s="7">
        <f>$B13 * IFERROR(VLOOKUP("electricity|PM25|Non-fatal heart attacks", US_national_yearly!$D:$AM, 13, FALSE) / VLOOKUP("electricity|PM25|Non-fatal heart attacks", US_national_yearly!$D:$AM, 10, FALSE), 1)</f>
        <v>3.857538561378914E-3</v>
      </c>
      <c r="F13" s="7">
        <f>$B13 * IFERROR(VLOOKUP("electricity|PM25|Non-fatal heart attacks", US_national_yearly!$D:$AM, 14, FALSE) / VLOOKUP("electricity|PM25|Non-fatal heart attacks", US_national_yearly!$D:$AM, 10, FALSE), 1)</f>
        <v>3.9603387141568308E-3</v>
      </c>
      <c r="G13" s="7">
        <f>$B13 * IFERROR(VLOOKUP("electricity|PM25|Non-fatal heart attacks", US_national_yearly!$D:$AM, 15, FALSE) / VLOOKUP("electricity|PM25|Non-fatal heart attacks", US_national_yearly!$D:$AM, 10, FALSE), 1)</f>
        <v>4.0579132263394817E-3</v>
      </c>
      <c r="H13" s="7">
        <f>$B13 * IFERROR(VLOOKUP("electricity|PM25|Non-fatal heart attacks", US_national_yearly!$D:$AM, 16, FALSE) / VLOOKUP("electricity|PM25|Non-fatal heart attacks", US_national_yearly!$D:$AM, 10, FALSE), 1)</f>
        <v>4.1554877385221317E-3</v>
      </c>
      <c r="I13" s="7">
        <f>$B13 * IFERROR(VLOOKUP("electricity|PM25|Non-fatal heart attacks", US_national_yearly!$D:$AM, 17, FALSE) / VLOOKUP("electricity|PM25|Non-fatal heart attacks", US_national_yearly!$D:$AM, 10, FALSE), 1)</f>
        <v>4.2350970212464709E-3</v>
      </c>
      <c r="J13" s="7">
        <f>$B13 * IFERROR(VLOOKUP("electricity|PM25|Non-fatal heart attacks", US_national_yearly!$D:$AM, 18, FALSE) / VLOOKUP("electricity|PM25|Non-fatal heart attacks", US_national_yearly!$D:$AM, 10, FALSE), 1)</f>
        <v>4.3147063039708101E-3</v>
      </c>
      <c r="K13" s="7">
        <f>$B13 * IFERROR(VLOOKUP("electricity|PM25|Non-fatal heart attacks", US_national_yearly!$D:$AM, 19, FALSE) / VLOOKUP("electricity|PM25|Non-fatal heart attacks", US_national_yearly!$D:$AM, 10, FALSE), 1)</f>
        <v>4.3943155866951493E-3</v>
      </c>
      <c r="L13" s="7">
        <f>$B13 * IFERROR(VLOOKUP("electricity|PM25|Non-fatal heart attacks", US_national_yearly!$D:$AM, 20, FALSE) / VLOOKUP("electricity|PM25|Non-fatal heart attacks", US_national_yearly!$D:$AM, 10, FALSE), 1)</f>
        <v>4.4739248694194876E-3</v>
      </c>
      <c r="M13" s="7">
        <f>$B13 * IFERROR(VLOOKUP("electricity|PM25|Non-fatal heart attacks", US_national_yearly!$D:$AM, 21, FALSE) / VLOOKUP("electricity|PM25|Non-fatal heart attacks", US_national_yearly!$D:$AM, 10, FALSE), 1)</f>
        <v>4.5535341521438276E-3</v>
      </c>
      <c r="N13" s="7">
        <f>$B13 * IFERROR(VLOOKUP("electricity|PM25|Non-fatal heart attacks", US_national_yearly!$D:$AM, 22, FALSE) / VLOOKUP("electricity|PM25|Non-fatal heart attacks", US_national_yearly!$D:$AM, 10, FALSE), 1)</f>
        <v>4.6051902996440183E-3</v>
      </c>
      <c r="O13" s="7">
        <f>$B13 * IFERROR(VLOOKUP("electricity|PM25|Non-fatal heart attacks", US_national_yearly!$D:$AM, 23, FALSE) / VLOOKUP("electricity|PM25|Non-fatal heart attacks", US_national_yearly!$D:$AM, 10, FALSE), 1)</f>
        <v>4.6568464471442098E-3</v>
      </c>
      <c r="P13" s="7">
        <f>$B13 * IFERROR(VLOOKUP("electricity|PM25|Non-fatal heart attacks", US_national_yearly!$D:$AM, 24, FALSE) / VLOOKUP("electricity|PM25|Non-fatal heart attacks", US_national_yearly!$D:$AM, 10, FALSE), 1)</f>
        <v>4.7085025946443995E-3</v>
      </c>
      <c r="Q13" s="7">
        <f>$B13 * IFERROR(VLOOKUP("electricity|PM25|Non-fatal heart attacks", US_national_yearly!$D:$AM, 25, FALSE) / VLOOKUP("electricity|PM25|Non-fatal heart attacks", US_national_yearly!$D:$AM, 10, FALSE), 1)</f>
        <v>4.760158742144591E-3</v>
      </c>
      <c r="R13" s="7">
        <f>$B13 * IFERROR(VLOOKUP("electricity|PM25|Non-fatal heart attacks", US_national_yearly!$D:$AM, 26, FALSE) / VLOOKUP("electricity|PM25|Non-fatal heart attacks", US_national_yearly!$D:$AM, 10, FALSE), 1)</f>
        <v>4.8118148896447816E-3</v>
      </c>
      <c r="S13" s="7">
        <f>$B13 * IFERROR(VLOOKUP("electricity|PM25|Non-fatal heart attacks", US_national_yearly!$D:$AM, 27, FALSE) / VLOOKUP("electricity|PM25|Non-fatal heart attacks", US_national_yearly!$D:$AM, 10, FALSE), 1)</f>
        <v>4.8402529259004403E-3</v>
      </c>
      <c r="T13" s="7">
        <f>$B13 * IFERROR(VLOOKUP("electricity|PM25|Non-fatal heart attacks", US_national_yearly!$D:$AM, 28, FALSE) / VLOOKUP("electricity|PM25|Non-fatal heart attacks", US_national_yearly!$D:$AM, 10, FALSE), 1)</f>
        <v>4.8686909621560989E-3</v>
      </c>
      <c r="U13" s="7">
        <f>$B13 * IFERROR(VLOOKUP("electricity|PM25|Non-fatal heart attacks", US_national_yearly!$D:$AM, 29, FALSE) / VLOOKUP("electricity|PM25|Non-fatal heart attacks", US_national_yearly!$D:$AM, 10, FALSE), 1)</f>
        <v>4.8971289984117575E-3</v>
      </c>
      <c r="V13" s="7">
        <f>$B13 * IFERROR(VLOOKUP("electricity|PM25|Non-fatal heart attacks", US_national_yearly!$D:$AM, 30, FALSE) / VLOOKUP("electricity|PM25|Non-fatal heart attacks", US_national_yearly!$D:$AM, 10, FALSE), 1)</f>
        <v>4.9255670346674161E-3</v>
      </c>
      <c r="W13" s="7">
        <f>$B13 * IFERROR(VLOOKUP("electricity|PM25|Non-fatal heart attacks", US_national_yearly!$D:$AM, 31, FALSE) / VLOOKUP("electricity|PM25|Non-fatal heart attacks", US_national_yearly!$D:$AM, 10, FALSE), 1)</f>
        <v>4.9540050709230756E-3</v>
      </c>
      <c r="X13" s="7">
        <f>$B13 * IFERROR(VLOOKUP("electricity|PM25|Non-fatal heart attacks", US_national_yearly!$D:$AM, 32, FALSE) / VLOOKUP("electricity|PM25|Non-fatal heart attacks", US_national_yearly!$D:$AM, 10, FALSE), 1)</f>
        <v>4.9762525955966688E-3</v>
      </c>
      <c r="Y13" s="7">
        <f>$B13 * IFERROR(VLOOKUP("electricity|PM25|Non-fatal heart attacks", US_national_yearly!$D:$AM, 33, FALSE) / VLOOKUP("electricity|PM25|Non-fatal heart attacks", US_national_yearly!$D:$AM, 10, FALSE), 1)</f>
        <v>4.9985001202702637E-3</v>
      </c>
      <c r="Z13" s="7">
        <f>$B13 * IFERROR(VLOOKUP("electricity|PM25|Non-fatal heart attacks", US_national_yearly!$D:$AM, 34, FALSE) / VLOOKUP("electricity|PM25|Non-fatal heart attacks", US_national_yearly!$D:$AM, 10, FALSE), 1)</f>
        <v>5.0207476449438578E-3</v>
      </c>
      <c r="AA13" s="7">
        <f>$B13 * IFERROR(VLOOKUP("electricity|PM25|Non-fatal heart attacks", US_national_yearly!$D:$AM, 35, FALSE) / VLOOKUP("electricity|PM25|Non-fatal heart attacks", US_national_yearly!$D:$AM, 10, FALSE), 1)</f>
        <v>5.0429951696174527E-3</v>
      </c>
      <c r="AB13" s="7">
        <f>$B13 * IFERROR(VLOOKUP("electricity|PM25|Non-fatal heart attacks", US_national_yearly!$D:$AM, 36, FALSE) / VLOOKUP("electricity|PM25|Non-fatal heart attacks", US_national_yearly!$D:$AM, 10, FALSE), 1)</f>
        <v>5.0652426942910467E-3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2.840970470630404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2.8472772341119779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2.8535839975935522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2.8598907610751261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2.8661975245567004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2.8755560307744159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2.8849145369921314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2.901439110623782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2.9179636842554335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2.9344882578870841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2.9510128315187352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2.9675374051503858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2.990461754529341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3.0133861039082968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3.0363104532872525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3.0592348026662086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3.0821591520451634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3.1052812355615362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3.1284033190779077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3.1515254025942796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3.1746474861106524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3.1977695696270239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3.2175900214734372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3.2374104733198514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3.2572309251662652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3.2770513770126781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3.2968718288590928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0.48210514619085781</v>
      </c>
      <c r="C15" s="7">
        <f>$B15 * IFERROR(VLOOKUP("electricity|PM25|Work loss days", US_national_yearly!$D:$AM, 11, FALSE) / VLOOKUP("electricity|PM25|Work loss days", US_national_yearly!$D:$AM, 10, FALSE), 1)</f>
        <v>0.48348471793471237</v>
      </c>
      <c r="D15" s="7">
        <f>$B15 * IFERROR(VLOOKUP("electricity|PM25|Work loss days", US_national_yearly!$D:$AM, 12, FALSE) / VLOOKUP("electricity|PM25|Work loss days", US_national_yearly!$D:$AM, 10, FALSE), 1)</f>
        <v>0.48486428967856698</v>
      </c>
      <c r="E15" s="7">
        <f>$B15 * IFERROR(VLOOKUP("electricity|PM25|Work loss days", US_national_yearly!$D:$AM, 13, FALSE) / VLOOKUP("electricity|PM25|Work loss days", US_national_yearly!$D:$AM, 10, FALSE), 1)</f>
        <v>0.48624386142242154</v>
      </c>
      <c r="F15" s="7">
        <f>$B15 * IFERROR(VLOOKUP("electricity|PM25|Work loss days", US_national_yearly!$D:$AM, 14, FALSE) / VLOOKUP("electricity|PM25|Work loss days", US_national_yearly!$D:$AM, 10, FALSE), 1)</f>
        <v>0.4876234331662761</v>
      </c>
      <c r="G15" s="7">
        <f>$B15 * IFERROR(VLOOKUP("electricity|PM25|Work loss days", US_national_yearly!$D:$AM, 15, FALSE) / VLOOKUP("electricity|PM25|Work loss days", US_national_yearly!$D:$AM, 10, FALSE), 1)</f>
        <v>0.48941059754033667</v>
      </c>
      <c r="H15" s="7">
        <f>$B15 * IFERROR(VLOOKUP("electricity|PM25|Work loss days", US_national_yearly!$D:$AM, 16, FALSE) / VLOOKUP("electricity|PM25|Work loss days", US_national_yearly!$D:$AM, 10, FALSE), 1)</f>
        <v>0.49119776191439735</v>
      </c>
      <c r="I15" s="7">
        <f>$B15 * IFERROR(VLOOKUP("electricity|PM25|Work loss days", US_national_yearly!$D:$AM, 17, FALSE) / VLOOKUP("electricity|PM25|Work loss days", US_national_yearly!$D:$AM, 10, FALSE), 1)</f>
        <v>0.49388445837617639</v>
      </c>
      <c r="J15" s="7">
        <f>$B15 * IFERROR(VLOOKUP("electricity|PM25|Work loss days", US_national_yearly!$D:$AM, 18, FALSE) / VLOOKUP("electricity|PM25|Work loss days", US_national_yearly!$D:$AM, 10, FALSE), 1)</f>
        <v>0.49657115483795539</v>
      </c>
      <c r="K15" s="7">
        <f>$B15 * IFERROR(VLOOKUP("electricity|PM25|Work loss days", US_national_yearly!$D:$AM, 19, FALSE) / VLOOKUP("electricity|PM25|Work loss days", US_national_yearly!$D:$AM, 10, FALSE), 1)</f>
        <v>0.49925785129973449</v>
      </c>
      <c r="L15" s="7">
        <f>$B15 * IFERROR(VLOOKUP("electricity|PM25|Work loss days", US_national_yearly!$D:$AM, 20, FALSE) / VLOOKUP("electricity|PM25|Work loss days", US_national_yearly!$D:$AM, 10, FALSE), 1)</f>
        <v>0.50194454776151354</v>
      </c>
      <c r="M15" s="7">
        <f>$B15 * IFERROR(VLOOKUP("electricity|PM25|Work loss days", US_national_yearly!$D:$AM, 21, FALSE) / VLOOKUP("electricity|PM25|Work loss days", US_national_yearly!$D:$AM, 10, FALSE), 1)</f>
        <v>0.50463124422329264</v>
      </c>
      <c r="N15" s="7">
        <f>$B15 * IFERROR(VLOOKUP("electricity|PM25|Work loss days", US_national_yearly!$D:$AM, 22, FALSE) / VLOOKUP("electricity|PM25|Work loss days", US_national_yearly!$D:$AM, 10, FALSE), 1)</f>
        <v>0.50809995587256951</v>
      </c>
      <c r="O15" s="7">
        <f>$B15 * IFERROR(VLOOKUP("electricity|PM25|Work loss days", US_national_yearly!$D:$AM, 23, FALSE) / VLOOKUP("electricity|PM25|Work loss days", US_national_yearly!$D:$AM, 10, FALSE), 1)</f>
        <v>0.51156866752184627</v>
      </c>
      <c r="P15" s="7">
        <f>$B15 * IFERROR(VLOOKUP("electricity|PM25|Work loss days", US_national_yearly!$D:$AM, 24, FALSE) / VLOOKUP("electricity|PM25|Work loss days", US_national_yearly!$D:$AM, 10, FALSE), 1)</f>
        <v>0.51503737917112302</v>
      </c>
      <c r="Q15" s="7">
        <f>$B15 * IFERROR(VLOOKUP("electricity|PM25|Work loss days", US_national_yearly!$D:$AM, 25, FALSE) / VLOOKUP("electricity|PM25|Work loss days", US_national_yearly!$D:$AM, 10, FALSE), 1)</f>
        <v>0.51850609082039967</v>
      </c>
      <c r="R15" s="7">
        <f>$B15 * IFERROR(VLOOKUP("electricity|PM25|Work loss days", US_national_yearly!$D:$AM, 26, FALSE) / VLOOKUP("electricity|PM25|Work loss days", US_national_yearly!$D:$AM, 10, FALSE), 1)</f>
        <v>0.52197480246967654</v>
      </c>
      <c r="S15" s="7">
        <f>$B15 * IFERROR(VLOOKUP("electricity|PM25|Work loss days", US_national_yearly!$D:$AM, 27, FALSE) / VLOOKUP("electricity|PM25|Work loss days", US_national_yearly!$D:$AM, 10, FALSE), 1)</f>
        <v>0.52582384754610678</v>
      </c>
      <c r="T15" s="7">
        <f>$B15 * IFERROR(VLOOKUP("electricity|PM25|Work loss days", US_national_yearly!$D:$AM, 28, FALSE) / VLOOKUP("electricity|PM25|Work loss days", US_national_yearly!$D:$AM, 10, FALSE), 1)</f>
        <v>0.52967289262253703</v>
      </c>
      <c r="U15" s="7">
        <f>$B15 * IFERROR(VLOOKUP("electricity|PM25|Work loss days", US_national_yearly!$D:$AM, 29, FALSE) / VLOOKUP("electricity|PM25|Work loss days", US_national_yearly!$D:$AM, 10, FALSE), 1)</f>
        <v>0.53352193769896739</v>
      </c>
      <c r="V15" s="7">
        <f>$B15 * IFERROR(VLOOKUP("electricity|PM25|Work loss days", US_national_yearly!$D:$AM, 30, FALSE) / VLOOKUP("electricity|PM25|Work loss days", US_national_yearly!$D:$AM, 10, FALSE), 1)</f>
        <v>0.53737098277539774</v>
      </c>
      <c r="W15" s="7">
        <f>$B15 * IFERROR(VLOOKUP("electricity|PM25|Work loss days", US_national_yearly!$D:$AM, 31, FALSE) / VLOOKUP("electricity|PM25|Work loss days", US_national_yearly!$D:$AM, 10, FALSE), 1)</f>
        <v>0.54122002785182799</v>
      </c>
      <c r="X15" s="7">
        <f>$B15 * IFERROR(VLOOKUP("electricity|PM25|Work loss days", US_national_yearly!$D:$AM, 32, FALSE) / VLOOKUP("electricity|PM25|Work loss days", US_national_yearly!$D:$AM, 10, FALSE), 1)</f>
        <v>0.54461551718164392</v>
      </c>
      <c r="Y15" s="7">
        <f>$B15 * IFERROR(VLOOKUP("electricity|PM25|Work loss days", US_national_yearly!$D:$AM, 33, FALSE) / VLOOKUP("electricity|PM25|Work loss days", US_national_yearly!$D:$AM, 10, FALSE), 1)</f>
        <v>0.54801100651145962</v>
      </c>
      <c r="Z15" s="7">
        <f>$B15 * IFERROR(VLOOKUP("electricity|PM25|Work loss days", US_national_yearly!$D:$AM, 34, FALSE) / VLOOKUP("electricity|PM25|Work loss days", US_national_yearly!$D:$AM, 10, FALSE), 1)</f>
        <v>0.55140649584127543</v>
      </c>
      <c r="AA15" s="7">
        <f>$B15 * IFERROR(VLOOKUP("electricity|PM25|Work loss days", US_national_yearly!$D:$AM, 35, FALSE) / VLOOKUP("electricity|PM25|Work loss days", US_national_yearly!$D:$AM, 10, FALSE), 1)</f>
        <v>0.55480198517109125</v>
      </c>
      <c r="AB15" s="7">
        <f>$B15 * IFERROR(VLOOKUP("electricity|PM25|Work loss days", US_national_yearly!$D:$AM, 36, FALSE) / VLOOKUP("electricity|PM25|Work loss days", US_national_yearly!$D:$AM, 10, FALSE), 1)</f>
        <v>0.55819747450090706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7.2727531625182474E-4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7.4885714520023542E-4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7.7043897414864611E-4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7.9202080309705668E-4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8.1360263204546736E-4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8.3441827258432888E-4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8.552339131231904E-4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8.7326607530036592E-4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8.9129823747754132E-4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9.0933039965471652E-4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9.2736256183189203E-4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9.4539472400906723E-4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9.5751635673422381E-4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9.6963798945938029E-4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9.8175962218453676E-4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9.9388125490969324E-4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1.0060028876348497E-3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1.0126928329160286E-3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1.0193827781972073E-3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1.0260727234783862E-3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1.0327626687595649E-3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1.0394526140407436E-3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1.044119882165647E-3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1.0487871502905504E-3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1.0534544184154539E-3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1.0581216865403575E-3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1.062788954665261E-3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2.004217654091537E-4</v>
      </c>
      <c r="C2" s="7">
        <f>$B2 * IFERROR(VLOOKUP("electricity|NOx|Premature mortality", US_national_yearly!$D:$AM, 11, FALSE) / VLOOKUP("electricity|NOx|Premature mortality", US_national_yearly!$D:$AM, 10, FALSE), 1)</f>
        <v>2.0345427372857043E-4</v>
      </c>
      <c r="D2" s="7">
        <f>$B2 * IFERROR(VLOOKUP("electricity|NOx|Premature mortality", US_national_yearly!$D:$AM, 12, FALSE) / VLOOKUP("electricity|NOx|Premature mortality", US_national_yearly!$D:$AM, 10, FALSE), 1)</f>
        <v>2.0648678204798722E-4</v>
      </c>
      <c r="E2" s="7">
        <f>$B2 * IFERROR(VLOOKUP("electricity|NOx|Premature mortality", US_national_yearly!$D:$AM, 13, FALSE) / VLOOKUP("electricity|NOx|Premature mortality", US_national_yearly!$D:$AM, 10, FALSE), 1)</f>
        <v>2.0951929036740395E-4</v>
      </c>
      <c r="F2" s="7">
        <f>$B2 * IFERROR(VLOOKUP("electricity|NOx|Premature mortality", US_national_yearly!$D:$AM, 14, FALSE) / VLOOKUP("electricity|NOx|Premature mortality", US_national_yearly!$D:$AM, 10, FALSE), 1)</f>
        <v>2.1255179868682068E-4</v>
      </c>
      <c r="G2" s="7">
        <f>$B2 * IFERROR(VLOOKUP("electricity|NOx|Premature mortality", US_national_yearly!$D:$AM, 15, FALSE) / VLOOKUP("electricity|NOx|Premature mortality", US_national_yearly!$D:$AM, 10, FALSE), 1)</f>
        <v>2.179689753921436E-4</v>
      </c>
      <c r="H2" s="7">
        <f>$B2 * IFERROR(VLOOKUP("electricity|NOx|Premature mortality", US_national_yearly!$D:$AM, 16, FALSE) / VLOOKUP("electricity|NOx|Premature mortality", US_national_yearly!$D:$AM, 10, FALSE), 1)</f>
        <v>2.2338615209746646E-4</v>
      </c>
      <c r="I2" s="7">
        <f>$B2 * IFERROR(VLOOKUP("electricity|NOx|Premature mortality", US_national_yearly!$D:$AM, 17, FALSE) / VLOOKUP("electricity|NOx|Premature mortality", US_national_yearly!$D:$AM, 10, FALSE), 1)</f>
        <v>2.2698608852761637E-4</v>
      </c>
      <c r="J2" s="7">
        <f>$B2 * IFERROR(VLOOKUP("electricity|NOx|Premature mortality", US_national_yearly!$D:$AM, 18, FALSE) / VLOOKUP("electricity|NOx|Premature mortality", US_national_yearly!$D:$AM, 10, FALSE), 1)</f>
        <v>2.3058602495776634E-4</v>
      </c>
      <c r="K2" s="7">
        <f>$B2 * IFERROR(VLOOKUP("electricity|NOx|Premature mortality", US_national_yearly!$D:$AM, 19, FALSE) / VLOOKUP("electricity|NOx|Premature mortality", US_national_yearly!$D:$AM, 10, FALSE), 1)</f>
        <v>2.3418596138791625E-4</v>
      </c>
      <c r="L2" s="7">
        <f>$B2 * IFERROR(VLOOKUP("electricity|NOx|Premature mortality", US_national_yearly!$D:$AM, 20, FALSE) / VLOOKUP("electricity|NOx|Premature mortality", US_national_yearly!$D:$AM, 10, FALSE), 1)</f>
        <v>2.3778589781806616E-4</v>
      </c>
      <c r="M2" s="7">
        <f>$B2 * IFERROR(VLOOKUP("electricity|NOx|Premature mortality", US_national_yearly!$D:$AM, 21, FALSE) / VLOOKUP("electricity|NOx|Premature mortality", US_national_yearly!$D:$AM, 10, FALSE), 1)</f>
        <v>2.4138583424821607E-4</v>
      </c>
      <c r="N2" s="7">
        <f>$B2 * IFERROR(VLOOKUP("electricity|NOx|Premature mortality", US_national_yearly!$D:$AM, 22, FALSE) / VLOOKUP("electricity|NOx|Premature mortality", US_national_yearly!$D:$AM, 10, FALSE), 1)</f>
        <v>2.4416360137431714E-4</v>
      </c>
      <c r="O2" s="7">
        <f>$B2 * IFERROR(VLOOKUP("electricity|NOx|Premature mortality", US_national_yearly!$D:$AM, 23, FALSE) / VLOOKUP("electricity|NOx|Premature mortality", US_national_yearly!$D:$AM, 10, FALSE), 1)</f>
        <v>2.4694136850041836E-4</v>
      </c>
      <c r="P2" s="7">
        <f>$B2 * IFERROR(VLOOKUP("electricity|NOx|Premature mortality", US_national_yearly!$D:$AM, 24, FALSE) / VLOOKUP("electricity|NOx|Premature mortality", US_national_yearly!$D:$AM, 10, FALSE), 1)</f>
        <v>2.4971913562651943E-4</v>
      </c>
      <c r="Q2" s="7">
        <f>$B2 * IFERROR(VLOOKUP("electricity|NOx|Premature mortality", US_national_yearly!$D:$AM, 25, FALSE) / VLOOKUP("electricity|NOx|Premature mortality", US_national_yearly!$D:$AM, 10, FALSE), 1)</f>
        <v>2.5249690275262054E-4</v>
      </c>
      <c r="R2" s="7">
        <f>$B2 * IFERROR(VLOOKUP("electricity|NOx|Premature mortality", US_national_yearly!$D:$AM, 26, FALSE) / VLOOKUP("electricity|NOx|Premature mortality", US_national_yearly!$D:$AM, 10, FALSE), 1)</f>
        <v>2.5527466987872166E-4</v>
      </c>
      <c r="S2" s="7">
        <f>$B2 * IFERROR(VLOOKUP("electricity|NOx|Premature mortality", US_national_yearly!$D:$AM, 27, FALSE) / VLOOKUP("electricity|NOx|Premature mortality", US_national_yearly!$D:$AM, 10, FALSE), 1)</f>
        <v>2.5671005845984694E-4</v>
      </c>
      <c r="T2" s="7">
        <f>$B2 * IFERROR(VLOOKUP("electricity|NOx|Premature mortality", US_national_yearly!$D:$AM, 28, FALSE) / VLOOKUP("electricity|NOx|Premature mortality", US_national_yearly!$D:$AM, 10, FALSE), 1)</f>
        <v>2.5814544704097226E-4</v>
      </c>
      <c r="U2" s="7">
        <f>$B2 * IFERROR(VLOOKUP("electricity|NOx|Premature mortality", US_national_yearly!$D:$AM, 29, FALSE) / VLOOKUP("electricity|NOx|Premature mortality", US_national_yearly!$D:$AM, 10, FALSE), 1)</f>
        <v>2.5958083562209764E-4</v>
      </c>
      <c r="V2" s="7">
        <f>$B2 * IFERROR(VLOOKUP("electricity|NOx|Premature mortality", US_national_yearly!$D:$AM, 30, FALSE) / VLOOKUP("electricity|NOx|Premature mortality", US_national_yearly!$D:$AM, 10, FALSE), 1)</f>
        <v>2.6101622420322297E-4</v>
      </c>
      <c r="W2" s="7">
        <f>$B2 * IFERROR(VLOOKUP("electricity|NOx|Premature mortality", US_national_yearly!$D:$AM, 31, FALSE) / VLOOKUP("electricity|NOx|Premature mortality", US_national_yearly!$D:$AM, 10, FALSE), 1)</f>
        <v>2.624516127843483E-4</v>
      </c>
      <c r="X2" s="7">
        <f>$B2 * IFERROR(VLOOKUP("electricity|NOx|Premature mortality", US_national_yearly!$D:$AM, 32, FALSE) / VLOOKUP("electricity|NOx|Premature mortality", US_national_yearly!$D:$AM, 10, FALSE), 1)</f>
        <v>2.6277634227355053E-4</v>
      </c>
      <c r="Y2" s="7">
        <f>$B2 * IFERROR(VLOOKUP("electricity|NOx|Premature mortality", US_national_yearly!$D:$AM, 33, FALSE) / VLOOKUP("electricity|NOx|Premature mortality", US_national_yearly!$D:$AM, 10, FALSE), 1)</f>
        <v>2.6310107176275276E-4</v>
      </c>
      <c r="Z2" s="7">
        <f>$B2 * IFERROR(VLOOKUP("electricity|NOx|Premature mortality", US_national_yearly!$D:$AM, 34, FALSE) / VLOOKUP("electricity|NOx|Premature mortality", US_national_yearly!$D:$AM, 10, FALSE), 1)</f>
        <v>2.63425801251955E-4</v>
      </c>
      <c r="AA2" s="7">
        <f>$B2 * IFERROR(VLOOKUP("electricity|NOx|Premature mortality", US_national_yearly!$D:$AM, 35, FALSE) / VLOOKUP("electricity|NOx|Premature mortality", US_national_yearly!$D:$AM, 10, FALSE), 1)</f>
        <v>2.6375053074115717E-4</v>
      </c>
      <c r="AB2" s="7">
        <f>$B2 * IFERROR(VLOOKUP("electricity|NOx|Premature mortality", US_national_yearly!$D:$AM, 36, FALSE) / VLOOKUP("electricity|NOx|Premature mortality", US_national_yearly!$D:$AM, 10, FALSE), 1)</f>
        <v>2.6407526023035941E-4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3.5599178295923999E-7</v>
      </c>
      <c r="C3" s="7">
        <f>$B3 * IFERROR(VLOOKUP("electricity|NOx|Infant mortality", US_national_yearly!$D:$AM, 11, FALSE) / VLOOKUP("electricity|NOx|Infant mortality", US_national_yearly!$D:$AM, 10, FALSE), 1)</f>
        <v>3.5266127643321559E-7</v>
      </c>
      <c r="D3" s="7">
        <f>$B3 * IFERROR(VLOOKUP("electricity|NOx|Infant mortality", US_national_yearly!$D:$AM, 12, FALSE) / VLOOKUP("electricity|NOx|Infant mortality", US_national_yearly!$D:$AM, 10, FALSE), 1)</f>
        <v>3.4933076990719108E-7</v>
      </c>
      <c r="E3" s="7">
        <f>$B3 * IFERROR(VLOOKUP("electricity|NOx|Infant mortality", US_national_yearly!$D:$AM, 13, FALSE) / VLOOKUP("electricity|NOx|Infant mortality", US_national_yearly!$D:$AM, 10, FALSE), 1)</f>
        <v>3.4600026338116668E-7</v>
      </c>
      <c r="F3" s="7">
        <f>$B3 * IFERROR(VLOOKUP("electricity|NOx|Infant mortality", US_national_yearly!$D:$AM, 14, FALSE) / VLOOKUP("electricity|NOx|Infant mortality", US_national_yearly!$D:$AM, 10, FALSE), 1)</f>
        <v>3.4266975685514217E-7</v>
      </c>
      <c r="G3" s="7">
        <f>$B3 * IFERROR(VLOOKUP("electricity|NOx|Infant mortality", US_national_yearly!$D:$AM, 15, FALSE) / VLOOKUP("electricity|NOx|Infant mortality", US_national_yearly!$D:$AM, 10, FALSE), 1)</f>
        <v>2.2703569101491094E-7</v>
      </c>
      <c r="H3" s="7">
        <f>$B3 * IFERROR(VLOOKUP("electricity|NOx|Infant mortality", US_national_yearly!$D:$AM, 16, FALSE) / VLOOKUP("electricity|NOx|Infant mortality", US_national_yearly!$D:$AM, 10, FALSE), 1)</f>
        <v>1.1140162517467974E-7</v>
      </c>
      <c r="I3" s="7">
        <f>$B3 * IFERROR(VLOOKUP("electricity|NOx|Infant mortality", US_national_yearly!$D:$AM, 17, FALSE) / VLOOKUP("electricity|NOx|Infant mortality", US_national_yearly!$D:$AM, 10, FALSE), 1)</f>
        <v>1.1059145168007911E-7</v>
      </c>
      <c r="J3" s="7">
        <f>$B3 * IFERROR(VLOOKUP("electricity|NOx|Infant mortality", US_national_yearly!$D:$AM, 18, FALSE) / VLOOKUP("electricity|NOx|Infant mortality", US_national_yearly!$D:$AM, 10, FALSE), 1)</f>
        <v>1.0978127818547848E-7</v>
      </c>
      <c r="K3" s="7">
        <f>$B3 * IFERROR(VLOOKUP("electricity|NOx|Infant mortality", US_national_yearly!$D:$AM, 19, FALSE) / VLOOKUP("electricity|NOx|Infant mortality", US_national_yearly!$D:$AM, 10, FALSE), 1)</f>
        <v>1.0897110469087785E-7</v>
      </c>
      <c r="L3" s="7">
        <f>$B3 * IFERROR(VLOOKUP("electricity|NOx|Infant mortality", US_national_yearly!$D:$AM, 20, FALSE) / VLOOKUP("electricity|NOx|Infant mortality", US_national_yearly!$D:$AM, 10, FALSE), 1)</f>
        <v>1.0816093119627723E-7</v>
      </c>
      <c r="M3" s="7">
        <f>$B3 * IFERROR(VLOOKUP("electricity|NOx|Infant mortality", US_national_yearly!$D:$AM, 21, FALSE) / VLOOKUP("electricity|NOx|Infant mortality", US_national_yearly!$D:$AM, 10, FALSE), 1)</f>
        <v>1.0735075770167657E-7</v>
      </c>
      <c r="N3" s="7">
        <f>$B3 * IFERROR(VLOOKUP("electricity|NOx|Infant mortality", US_national_yearly!$D:$AM, 22, FALSE) / VLOOKUP("electricity|NOx|Infant mortality", US_national_yearly!$D:$AM, 10, FALSE), 1)</f>
        <v>1.0680672038024422E-7</v>
      </c>
      <c r="O3" s="7">
        <f>$B3 * IFERROR(VLOOKUP("electricity|NOx|Infant mortality", US_national_yearly!$D:$AM, 23, FALSE) / VLOOKUP("electricity|NOx|Infant mortality", US_national_yearly!$D:$AM, 10, FALSE), 1)</f>
        <v>1.0626268305881186E-7</v>
      </c>
      <c r="P3" s="7">
        <f>$B3 * IFERROR(VLOOKUP("electricity|NOx|Infant mortality", US_national_yearly!$D:$AM, 24, FALSE) / VLOOKUP("electricity|NOx|Infant mortality", US_national_yearly!$D:$AM, 10, FALSE), 1)</f>
        <v>1.0571864573737948E-7</v>
      </c>
      <c r="Q3" s="7">
        <f>$B3 * IFERROR(VLOOKUP("electricity|NOx|Infant mortality", US_national_yearly!$D:$AM, 25, FALSE) / VLOOKUP("electricity|NOx|Infant mortality", US_national_yearly!$D:$AM, 10, FALSE), 1)</f>
        <v>1.0517460841594712E-7</v>
      </c>
      <c r="R3" s="7">
        <f>$B3 * IFERROR(VLOOKUP("electricity|NOx|Infant mortality", US_national_yearly!$D:$AM, 26, FALSE) / VLOOKUP("electricity|NOx|Infant mortality", US_national_yearly!$D:$AM, 10, FALSE), 1)</f>
        <v>1.0463057109451477E-7</v>
      </c>
      <c r="S3" s="7">
        <f>$B3 * IFERROR(VLOOKUP("electricity|NOx|Infant mortality", US_national_yearly!$D:$AM, 27, FALSE) / VLOOKUP("electricity|NOx|Infant mortality", US_national_yearly!$D:$AM, 10, FALSE), 1)</f>
        <v>1.0398470405288242E-7</v>
      </c>
      <c r="T3" s="7">
        <f>$B3 * IFERROR(VLOOKUP("electricity|NOx|Infant mortality", US_national_yearly!$D:$AM, 28, FALSE) / VLOOKUP("electricity|NOx|Infant mortality", US_national_yearly!$D:$AM, 10, FALSE), 1)</f>
        <v>1.0333883701125009E-7</v>
      </c>
      <c r="U3" s="7">
        <f>$B3 * IFERROR(VLOOKUP("electricity|NOx|Infant mortality", US_national_yearly!$D:$AM, 29, FALSE) / VLOOKUP("electricity|NOx|Infant mortality", US_national_yearly!$D:$AM, 10, FALSE), 1)</f>
        <v>1.0269296996961778E-7</v>
      </c>
      <c r="V3" s="7">
        <f>$B3 * IFERROR(VLOOKUP("electricity|NOx|Infant mortality", US_national_yearly!$D:$AM, 30, FALSE) / VLOOKUP("electricity|NOx|Infant mortality", US_national_yearly!$D:$AM, 10, FALSE), 1)</f>
        <v>1.0204710292798546E-7</v>
      </c>
      <c r="W3" s="7">
        <f>$B3 * IFERROR(VLOOKUP("electricity|NOx|Infant mortality", US_national_yearly!$D:$AM, 31, FALSE) / VLOOKUP("electricity|NOx|Infant mortality", US_national_yearly!$D:$AM, 10, FALSE), 1)</f>
        <v>1.0140123588635313E-7</v>
      </c>
      <c r="X3" s="7">
        <f>$B3 * IFERROR(VLOOKUP("electricity|NOx|Infant mortality", US_national_yearly!$D:$AM, 32, FALSE) / VLOOKUP("electricity|NOx|Infant mortality", US_national_yearly!$D:$AM, 10, FALSE), 1)</f>
        <v>1.0073620314578744E-7</v>
      </c>
      <c r="Y3" s="7">
        <f>$B3 * IFERROR(VLOOKUP("electricity|NOx|Infant mortality", US_national_yearly!$D:$AM, 33, FALSE) / VLOOKUP("electricity|NOx|Infant mortality", US_national_yearly!$D:$AM, 10, FALSE), 1)</f>
        <v>1.0007117040522174E-7</v>
      </c>
      <c r="Z3" s="7">
        <f>$B3 * IFERROR(VLOOKUP("electricity|NOx|Infant mortality", US_national_yearly!$D:$AM, 34, FALSE) / VLOOKUP("electricity|NOx|Infant mortality", US_national_yearly!$D:$AM, 10, FALSE), 1)</f>
        <v>9.9406137664656051E-8</v>
      </c>
      <c r="AA3" s="7">
        <f>$B3 * IFERROR(VLOOKUP("electricity|NOx|Infant mortality", US_national_yearly!$D:$AM, 35, FALSE) / VLOOKUP("electricity|NOx|Infant mortality", US_national_yearly!$D:$AM, 10, FALSE), 1)</f>
        <v>9.8741104924090357E-8</v>
      </c>
      <c r="AB3" s="7">
        <f>$B3 * IFERROR(VLOOKUP("electricity|NOx|Infant mortality", US_national_yearly!$D:$AM, 36, FALSE) / VLOOKUP("electricity|NOx|Infant mortality", US_national_yearly!$D:$AM, 10, FALSE), 1)</f>
        <v>9.8076072183524651E-8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4.7465778530717158E-4</v>
      </c>
      <c r="C6" s="7">
        <f>$B6 * IFERROR(VLOOKUP("electricity|NOx|Asthma symptoms cough", US_national_yearly!$D:$AM, 11, FALSE) / VLOOKUP("electricity|NOx|Asthma symptoms cough", US_national_yearly!$D:$AM, 10, FALSE), 1)</f>
        <v>4.8117423433310415E-4</v>
      </c>
      <c r="D6" s="7">
        <f>$B6 * IFERROR(VLOOKUP("electricity|NOx|Asthma symptoms cough", US_national_yearly!$D:$AM, 12, FALSE) / VLOOKUP("electricity|NOx|Asthma symptoms cough", US_national_yearly!$D:$AM, 10, FALSE), 1)</f>
        <v>4.8769068335903688E-4</v>
      </c>
      <c r="E6" s="7">
        <f>$B6 * IFERROR(VLOOKUP("electricity|NOx|Asthma symptoms cough", US_national_yearly!$D:$AM, 13, FALSE) / VLOOKUP("electricity|NOx|Asthma symptoms cough", US_national_yearly!$D:$AM, 10, FALSE), 1)</f>
        <v>4.942071323849695E-4</v>
      </c>
      <c r="F6" s="7">
        <f>$B6 * IFERROR(VLOOKUP("electricity|NOx|Asthma symptoms cough", US_national_yearly!$D:$AM, 14, FALSE) / VLOOKUP("electricity|NOx|Asthma symptoms cough", US_national_yearly!$D:$AM, 10, FALSE), 1)</f>
        <v>5.0072358141090207E-4</v>
      </c>
      <c r="G6" s="7">
        <f>$B6 * IFERROR(VLOOKUP("electricity|NOx|Asthma symptoms cough", US_national_yearly!$D:$AM, 15, FALSE) / VLOOKUP("electricity|NOx|Asthma symptoms cough", US_national_yearly!$D:$AM, 10, FALSE), 1)</f>
        <v>5.0602179998571314E-4</v>
      </c>
      <c r="H6" s="7">
        <f>$B6 * IFERROR(VLOOKUP("electricity|NOx|Asthma symptoms cough", US_national_yearly!$D:$AM, 16, FALSE) / VLOOKUP("electricity|NOx|Asthma symptoms cough", US_national_yearly!$D:$AM, 10, FALSE), 1)</f>
        <v>5.1132001856052421E-4</v>
      </c>
      <c r="I6" s="7">
        <f>$B6 * IFERROR(VLOOKUP("electricity|NOx|Asthma symptoms cough", US_national_yearly!$D:$AM, 17, FALSE) / VLOOKUP("electricity|NOx|Asthma symptoms cough", US_national_yearly!$D:$AM, 10, FALSE), 1)</f>
        <v>5.1328956796221838E-4</v>
      </c>
      <c r="J6" s="7">
        <f>$B6 * IFERROR(VLOOKUP("electricity|NOx|Asthma symptoms cough", US_national_yearly!$D:$AM, 18, FALSE) / VLOOKUP("electricity|NOx|Asthma symptoms cough", US_national_yearly!$D:$AM, 10, FALSE), 1)</f>
        <v>5.1525911736391254E-4</v>
      </c>
      <c r="K6" s="7">
        <f>$B6 * IFERROR(VLOOKUP("electricity|NOx|Asthma symptoms cough", US_national_yearly!$D:$AM, 19, FALSE) / VLOOKUP("electricity|NOx|Asthma symptoms cough", US_national_yearly!$D:$AM, 10, FALSE), 1)</f>
        <v>5.1722866676560681E-4</v>
      </c>
      <c r="L6" s="7">
        <f>$B6 * IFERROR(VLOOKUP("electricity|NOx|Asthma symptoms cough", US_national_yearly!$D:$AM, 20, FALSE) / VLOOKUP("electricity|NOx|Asthma symptoms cough", US_national_yearly!$D:$AM, 10, FALSE), 1)</f>
        <v>5.1919821616730098E-4</v>
      </c>
      <c r="M6" s="7">
        <f>$B6 * IFERROR(VLOOKUP("electricity|NOx|Asthma symptoms cough", US_national_yearly!$D:$AM, 21, FALSE) / VLOOKUP("electricity|NOx|Asthma symptoms cough", US_national_yearly!$D:$AM, 10, FALSE), 1)</f>
        <v>5.2116776556899525E-4</v>
      </c>
      <c r="N6" s="7">
        <f>$B6 * IFERROR(VLOOKUP("electricity|NOx|Asthma symptoms cough", US_national_yearly!$D:$AM, 22, FALSE) / VLOOKUP("electricity|NOx|Asthma symptoms cough", US_national_yearly!$D:$AM, 10, FALSE), 1)</f>
        <v>5.2335000990065832E-4</v>
      </c>
      <c r="O6" s="7">
        <f>$B6 * IFERROR(VLOOKUP("electricity|NOx|Asthma symptoms cough", US_national_yearly!$D:$AM, 23, FALSE) / VLOOKUP("electricity|NOx|Asthma symptoms cough", US_national_yearly!$D:$AM, 10, FALSE), 1)</f>
        <v>5.2553225423232161E-4</v>
      </c>
      <c r="P6" s="7">
        <f>$B6 * IFERROR(VLOOKUP("electricity|NOx|Asthma symptoms cough", US_national_yearly!$D:$AM, 24, FALSE) / VLOOKUP("electricity|NOx|Asthma symptoms cough", US_national_yearly!$D:$AM, 10, FALSE), 1)</f>
        <v>5.2771449856398468E-4</v>
      </c>
      <c r="Q6" s="7">
        <f>$B6 * IFERROR(VLOOKUP("electricity|NOx|Asthma symptoms cough", US_national_yearly!$D:$AM, 25, FALSE) / VLOOKUP("electricity|NOx|Asthma symptoms cough", US_national_yearly!$D:$AM, 10, FALSE), 1)</f>
        <v>5.2989674289564785E-4</v>
      </c>
      <c r="R6" s="7">
        <f>$B6 * IFERROR(VLOOKUP("electricity|NOx|Asthma symptoms cough", US_national_yearly!$D:$AM, 26, FALSE) / VLOOKUP("electricity|NOx|Asthma symptoms cough", US_national_yearly!$D:$AM, 10, FALSE), 1)</f>
        <v>5.3207898722731103E-4</v>
      </c>
      <c r="S6" s="7">
        <f>$B6 * IFERROR(VLOOKUP("electricity|NOx|Asthma symptoms cough", US_national_yearly!$D:$AM, 27, FALSE) / VLOOKUP("electricity|NOx|Asthma symptoms cough", US_national_yearly!$D:$AM, 10, FALSE), 1)</f>
        <v>5.3480153798935771E-4</v>
      </c>
      <c r="T6" s="7">
        <f>$B6 * IFERROR(VLOOKUP("electricity|NOx|Asthma symptoms cough", US_national_yearly!$D:$AM, 28, FALSE) / VLOOKUP("electricity|NOx|Asthma symptoms cough", US_national_yearly!$D:$AM, 10, FALSE), 1)</f>
        <v>5.3752408875140428E-4</v>
      </c>
      <c r="U6" s="7">
        <f>$B6 * IFERROR(VLOOKUP("electricity|NOx|Asthma symptoms cough", US_national_yearly!$D:$AM, 29, FALSE) / VLOOKUP("electricity|NOx|Asthma symptoms cough", US_national_yearly!$D:$AM, 10, FALSE), 1)</f>
        <v>5.4024663951345107E-4</v>
      </c>
      <c r="V6" s="7">
        <f>$B6 * IFERROR(VLOOKUP("electricity|NOx|Asthma symptoms cough", US_national_yearly!$D:$AM, 30, FALSE) / VLOOKUP("electricity|NOx|Asthma symptoms cough", US_national_yearly!$D:$AM, 10, FALSE), 1)</f>
        <v>5.4296919027549764E-4</v>
      </c>
      <c r="W6" s="7">
        <f>$B6 * IFERROR(VLOOKUP("electricity|NOx|Asthma symptoms cough", US_national_yearly!$D:$AM, 31, FALSE) / VLOOKUP("electricity|NOx|Asthma symptoms cough", US_national_yearly!$D:$AM, 10, FALSE), 1)</f>
        <v>5.4569174103754421E-4</v>
      </c>
      <c r="X6" s="7">
        <f>$B6 * IFERROR(VLOOKUP("electricity|NOx|Asthma symptoms cough", US_national_yearly!$D:$AM, 32, FALSE) / VLOOKUP("electricity|NOx|Asthma symptoms cough", US_national_yearly!$D:$AM, 10, FALSE), 1)</f>
        <v>5.4820004522811985E-4</v>
      </c>
      <c r="Y6" s="7">
        <f>$B6 * IFERROR(VLOOKUP("electricity|NOx|Asthma symptoms cough", US_national_yearly!$D:$AM, 33, FALSE) / VLOOKUP("electricity|NOx|Asthma symptoms cough", US_national_yearly!$D:$AM, 10, FALSE), 1)</f>
        <v>5.5070834941869549E-4</v>
      </c>
      <c r="Z6" s="7">
        <f>$B6 * IFERROR(VLOOKUP("electricity|NOx|Asthma symptoms cough", US_national_yearly!$D:$AM, 34, FALSE) / VLOOKUP("electricity|NOx|Asthma symptoms cough", US_national_yearly!$D:$AM, 10, FALSE), 1)</f>
        <v>5.5321665360927113E-4</v>
      </c>
      <c r="AA6" s="7">
        <f>$B6 * IFERROR(VLOOKUP("electricity|NOx|Asthma symptoms cough", US_national_yearly!$D:$AM, 35, FALSE) / VLOOKUP("electricity|NOx|Asthma symptoms cough", US_national_yearly!$D:$AM, 10, FALSE), 1)</f>
        <v>5.5572495779984666E-4</v>
      </c>
      <c r="AB6" s="7">
        <f>$B6 * IFERROR(VLOOKUP("electricity|NOx|Asthma symptoms cough", US_national_yearly!$D:$AM, 36, FALSE) / VLOOKUP("electricity|NOx|Asthma symptoms cough", US_national_yearly!$D:$AM, 10, FALSE), 1)</f>
        <v>5.5823326199042241E-4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6.3919539236432165E-4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6.4797073391168012E-4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6.5674607545903869E-4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6.6552141700639727E-4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6.7429675855375573E-4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6.8143157651094199E-4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6.8856639446812813E-4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6.9121867771212205E-4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6.9387096095611565E-4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6.9652324420010935E-4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6.9917552744410295E-4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7.0182781068809665E-4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7.0476651843566756E-4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7.0770522618323858E-4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7.1064393393080948E-4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7.135826416783805E-4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7.1652134942595141E-4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7.2018765796988751E-4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7.2385396651382351E-4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7.2752027505775961E-4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7.311865836016956E-4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7.3485289214563171E-4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7.3823068667837528E-4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7.4160848121111907E-4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7.4498627574386264E-4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7.4836407027660632E-4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7.5174186480935011E-4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9.7658291064118348E-4</v>
      </c>
      <c r="C8" s="7">
        <f>$B8 * IFERROR(VLOOKUP("electricity|NOx|Asthma symptoms wheeze", US_national_yearly!$D:$AM, 11, FALSE) / VLOOKUP("electricity|NOx|Asthma symptoms wheeze", US_national_yearly!$D:$AM, 10, FALSE), 1)</f>
        <v>9.8999015466441197E-4</v>
      </c>
      <c r="D8" s="7">
        <f>$B8 * IFERROR(VLOOKUP("electricity|NOx|Asthma symptoms wheeze", US_national_yearly!$D:$AM, 12, FALSE) / VLOOKUP("electricity|NOx|Asthma symptoms wheeze", US_national_yearly!$D:$AM, 10, FALSE), 1)</f>
        <v>1.0033973986876407E-3</v>
      </c>
      <c r="E8" s="7">
        <f>$B8 * IFERROR(VLOOKUP("electricity|NOx|Asthma symptoms wheeze", US_national_yearly!$D:$AM, 13, FALSE) / VLOOKUP("electricity|NOx|Asthma symptoms wheeze", US_national_yearly!$D:$AM, 10, FALSE), 1)</f>
        <v>1.0168046427108692E-3</v>
      </c>
      <c r="F8" s="7">
        <f>$B8 * IFERROR(VLOOKUP("electricity|NOx|Asthma symptoms wheeze", US_national_yearly!$D:$AM, 14, FALSE) / VLOOKUP("electricity|NOx|Asthma symptoms wheeze", US_national_yearly!$D:$AM, 10, FALSE), 1)</f>
        <v>1.0302118867340979E-3</v>
      </c>
      <c r="G8" s="7">
        <f>$B8 * IFERROR(VLOOKUP("electricity|NOx|Asthma symptoms wheeze", US_national_yearly!$D:$AM, 15, FALSE) / VLOOKUP("electricity|NOx|Asthma symptoms wheeze", US_national_yearly!$D:$AM, 10, FALSE), 1)</f>
        <v>1.0411126870046804E-3</v>
      </c>
      <c r="H8" s="7">
        <f>$B8 * IFERROR(VLOOKUP("electricity|NOx|Asthma symptoms wheeze", US_national_yearly!$D:$AM, 16, FALSE) / VLOOKUP("electricity|NOx|Asthma symptoms wheeze", US_national_yearly!$D:$AM, 10, FALSE), 1)</f>
        <v>1.0520134872752632E-3</v>
      </c>
      <c r="I8" s="7">
        <f>$B8 * IFERROR(VLOOKUP("electricity|NOx|Asthma symptoms wheeze", US_national_yearly!$D:$AM, 17, FALSE) / VLOOKUP("electricity|NOx|Asthma symptoms wheeze", US_national_yearly!$D:$AM, 10, FALSE), 1)</f>
        <v>1.0560657294238849E-3</v>
      </c>
      <c r="J8" s="7">
        <f>$B8 * IFERROR(VLOOKUP("electricity|NOx|Asthma symptoms wheeze", US_national_yearly!$D:$AM, 18, FALSE) / VLOOKUP("electricity|NOx|Asthma symptoms wheeze", US_national_yearly!$D:$AM, 10, FALSE), 1)</f>
        <v>1.0601179715725064E-3</v>
      </c>
      <c r="K8" s="7">
        <f>$B8 * IFERROR(VLOOKUP("electricity|NOx|Asthma symptoms wheeze", US_national_yearly!$D:$AM, 19, FALSE) / VLOOKUP("electricity|NOx|Asthma symptoms wheeze", US_national_yearly!$D:$AM, 10, FALSE), 1)</f>
        <v>1.0641702137211286E-3</v>
      </c>
      <c r="L8" s="7">
        <f>$B8 * IFERROR(VLOOKUP("electricity|NOx|Asthma symptoms wheeze", US_national_yearly!$D:$AM, 20, FALSE) / VLOOKUP("electricity|NOx|Asthma symptoms wheeze", US_national_yearly!$D:$AM, 10, FALSE), 1)</f>
        <v>1.0682224558697501E-3</v>
      </c>
      <c r="M8" s="7">
        <f>$B8 * IFERROR(VLOOKUP("electricity|NOx|Asthma symptoms wheeze", US_national_yearly!$D:$AM, 21, FALSE) / VLOOKUP("electricity|NOx|Asthma symptoms wheeze", US_national_yearly!$D:$AM, 10, FALSE), 1)</f>
        <v>1.0722746980183716E-3</v>
      </c>
      <c r="N8" s="7">
        <f>$B8 * IFERROR(VLOOKUP("electricity|NOx|Asthma symptoms wheeze", US_national_yearly!$D:$AM, 22, FALSE) / VLOOKUP("electricity|NOx|Asthma symptoms wheeze", US_national_yearly!$D:$AM, 10, FALSE), 1)</f>
        <v>1.0767645485662927E-3</v>
      </c>
      <c r="O8" s="7">
        <f>$B8 * IFERROR(VLOOKUP("electricity|NOx|Asthma symptoms wheeze", US_national_yearly!$D:$AM, 23, FALSE) / VLOOKUP("electricity|NOx|Asthma symptoms wheeze", US_national_yearly!$D:$AM, 10, FALSE), 1)</f>
        <v>1.0812543991142139E-3</v>
      </c>
      <c r="P8" s="7">
        <f>$B8 * IFERROR(VLOOKUP("electricity|NOx|Asthma symptoms wheeze", US_national_yearly!$D:$AM, 24, FALSE) / VLOOKUP("electricity|NOx|Asthma symptoms wheeze", US_national_yearly!$D:$AM, 10, FALSE), 1)</f>
        <v>1.0857442496621352E-3</v>
      </c>
      <c r="Q8" s="7">
        <f>$B8 * IFERROR(VLOOKUP("electricity|NOx|Asthma symptoms wheeze", US_national_yearly!$D:$AM, 25, FALSE) / VLOOKUP("electricity|NOx|Asthma symptoms wheeze", US_national_yearly!$D:$AM, 10, FALSE), 1)</f>
        <v>1.0902341002100562E-3</v>
      </c>
      <c r="R8" s="7">
        <f>$B8 * IFERROR(VLOOKUP("electricity|NOx|Asthma symptoms wheeze", US_national_yearly!$D:$AM, 26, FALSE) / VLOOKUP("electricity|NOx|Asthma symptoms wheeze", US_national_yearly!$D:$AM, 10, FALSE), 1)</f>
        <v>1.0947239507579773E-3</v>
      </c>
      <c r="S8" s="7">
        <f>$B8 * IFERROR(VLOOKUP("electricity|NOx|Asthma symptoms wheeze", US_national_yearly!$D:$AM, 27, FALSE) / VLOOKUP("electricity|NOx|Asthma symptoms wheeze", US_national_yearly!$D:$AM, 10, FALSE), 1)</f>
        <v>1.10032545277907E-3</v>
      </c>
      <c r="T8" s="7">
        <f>$B8 * IFERROR(VLOOKUP("electricity|NOx|Asthma symptoms wheeze", US_national_yearly!$D:$AM, 28, FALSE) / VLOOKUP("electricity|NOx|Asthma symptoms wheeze", US_national_yearly!$D:$AM, 10, FALSE), 1)</f>
        <v>1.1059269548001625E-3</v>
      </c>
      <c r="U8" s="7">
        <f>$B8 * IFERROR(VLOOKUP("electricity|NOx|Asthma symptoms wheeze", US_national_yearly!$D:$AM, 29, FALSE) / VLOOKUP("electricity|NOx|Asthma symptoms wheeze", US_national_yearly!$D:$AM, 10, FALSE), 1)</f>
        <v>1.1115284568212547E-3</v>
      </c>
      <c r="V8" s="7">
        <f>$B8 * IFERROR(VLOOKUP("electricity|NOx|Asthma symptoms wheeze", US_national_yearly!$D:$AM, 30, FALSE) / VLOOKUP("electricity|NOx|Asthma symptoms wheeze", US_national_yearly!$D:$AM, 10, FALSE), 1)</f>
        <v>1.1171299588423472E-3</v>
      </c>
      <c r="W8" s="7">
        <f>$B8 * IFERROR(VLOOKUP("electricity|NOx|Asthma symptoms wheeze", US_national_yearly!$D:$AM, 31, FALSE) / VLOOKUP("electricity|NOx|Asthma symptoms wheeze", US_national_yearly!$D:$AM, 10, FALSE), 1)</f>
        <v>1.1227314608634399E-3</v>
      </c>
      <c r="X8" s="7">
        <f>$B8 * IFERROR(VLOOKUP("electricity|NOx|Asthma symptoms wheeze", US_national_yearly!$D:$AM, 32, FALSE) / VLOOKUP("electricity|NOx|Asthma symptoms wheeze", US_national_yearly!$D:$AM, 10, FALSE), 1)</f>
        <v>1.1278921620656215E-3</v>
      </c>
      <c r="Y8" s="7">
        <f>$B8 * IFERROR(VLOOKUP("electricity|NOx|Asthma symptoms wheeze", US_national_yearly!$D:$AM, 33, FALSE) / VLOOKUP("electricity|NOx|Asthma symptoms wheeze", US_national_yearly!$D:$AM, 10, FALSE), 1)</f>
        <v>1.133052863267803E-3</v>
      </c>
      <c r="Z8" s="7">
        <f>$B8 * IFERROR(VLOOKUP("electricity|NOx|Asthma symptoms wheeze", US_national_yearly!$D:$AM, 34, FALSE) / VLOOKUP("electricity|NOx|Asthma symptoms wheeze", US_national_yearly!$D:$AM, 10, FALSE), 1)</f>
        <v>1.1382135644699843E-3</v>
      </c>
      <c r="AA8" s="7">
        <f>$B8 * IFERROR(VLOOKUP("electricity|NOx|Asthma symptoms wheeze", US_national_yearly!$D:$AM, 35, FALSE) / VLOOKUP("electricity|NOx|Asthma symptoms wheeze", US_national_yearly!$D:$AM, 10, FALSE), 1)</f>
        <v>1.1433742656721661E-3</v>
      </c>
      <c r="AB8" s="7">
        <f>$B8 * IFERROR(VLOOKUP("electricity|NOx|Asthma symptoms wheeze", US_national_yearly!$D:$AM, 36, FALSE) / VLOOKUP("electricity|NOx|Asthma symptoms wheeze", US_national_yearly!$D:$AM, 10, FALSE), 1)</f>
        <v>1.1485349668743476E-3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1.1850427524219172E-5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1.2153936766138959E-5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1.2457446008058749E-5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1.2760955249978537E-5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1.3064464491898321E-5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1.335663896413587E-5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1.3648813436373418E-5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1.3900059445777335E-5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1.415130545518125E-5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1.440255146458517E-5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1.4653797473989085E-5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1.4905043483393004E-5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1.5077225528556676E-5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1.5249407573720349E-5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1.5421589618884021E-5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1.5593771664047695E-5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1.5765953709211369E-5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1.5864016877088701E-5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1.5962080044966034E-5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1.6060143212843367E-5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1.61582063807207E-5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1.6256269548598033E-5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1.6327595361552045E-5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1.6398921174506054E-5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1.6470246987460072E-5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1.6541572800414085E-5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1.6612898613368093E-5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7.7023012570767924E-5</v>
      </c>
      <c r="C13" s="7">
        <f>$B13 * IFERROR(VLOOKUP("electricity|NOx|Non-fatal heart attacks", US_national_yearly!$D:$AM, 11, FALSE) / VLOOKUP("electricity|NOx|Non-fatal heart attacks", US_national_yearly!$D:$AM, 10, FALSE), 1)</f>
        <v>7.9233360837041838E-5</v>
      </c>
      <c r="D13" s="7">
        <f>$B13 * IFERROR(VLOOKUP("electricity|NOx|Non-fatal heart attacks", US_national_yearly!$D:$AM, 12, FALSE) / VLOOKUP("electricity|NOx|Non-fatal heart attacks", US_national_yearly!$D:$AM, 10, FALSE), 1)</f>
        <v>8.1443709103315752E-5</v>
      </c>
      <c r="E13" s="7">
        <f>$B13 * IFERROR(VLOOKUP("electricity|NOx|Non-fatal heart attacks", US_national_yearly!$D:$AM, 13, FALSE) / VLOOKUP("electricity|NOx|Non-fatal heart attacks", US_national_yearly!$D:$AM, 10, FALSE), 1)</f>
        <v>8.3654057369589665E-5</v>
      </c>
      <c r="F13" s="7">
        <f>$B13 * IFERROR(VLOOKUP("electricity|NOx|Non-fatal heart attacks", US_national_yearly!$D:$AM, 14, FALSE) / VLOOKUP("electricity|NOx|Non-fatal heart attacks", US_national_yearly!$D:$AM, 10, FALSE), 1)</f>
        <v>8.5864405635863606E-5</v>
      </c>
      <c r="G13" s="7">
        <f>$B13 * IFERROR(VLOOKUP("electricity|NOx|Non-fatal heart attacks", US_national_yearly!$D:$AM, 15, FALSE) / VLOOKUP("electricity|NOx|Non-fatal heart attacks", US_national_yearly!$D:$AM, 10, FALSE), 1)</f>
        <v>8.79466385101001E-5</v>
      </c>
      <c r="H13" s="7">
        <f>$B13 * IFERROR(VLOOKUP("electricity|NOx|Non-fatal heart attacks", US_national_yearly!$D:$AM, 16, FALSE) / VLOOKUP("electricity|NOx|Non-fatal heart attacks", US_national_yearly!$D:$AM, 10, FALSE), 1)</f>
        <v>9.0028871384336594E-5</v>
      </c>
      <c r="I13" s="7">
        <f>$B13 * IFERROR(VLOOKUP("electricity|NOx|Non-fatal heart attacks", US_national_yearly!$D:$AM, 17, FALSE) / VLOOKUP("electricity|NOx|Non-fatal heart attacks", US_national_yearly!$D:$AM, 10, FALSE), 1)</f>
        <v>9.1698611491400608E-5</v>
      </c>
      <c r="J13" s="7">
        <f>$B13 * IFERROR(VLOOKUP("electricity|NOx|Non-fatal heart attacks", US_national_yearly!$D:$AM, 18, FALSE) / VLOOKUP("electricity|NOx|Non-fatal heart attacks", US_national_yearly!$D:$AM, 10, FALSE), 1)</f>
        <v>9.3368351598464635E-5</v>
      </c>
      <c r="K13" s="7">
        <f>$B13 * IFERROR(VLOOKUP("electricity|NOx|Non-fatal heart attacks", US_national_yearly!$D:$AM, 19, FALSE) / VLOOKUP("electricity|NOx|Non-fatal heart attacks", US_national_yearly!$D:$AM, 10, FALSE), 1)</f>
        <v>9.5038091705528568E-5</v>
      </c>
      <c r="L13" s="7">
        <f>$B13 * IFERROR(VLOOKUP("electricity|NOx|Non-fatal heart attacks", US_national_yearly!$D:$AM, 20, FALSE) / VLOOKUP("electricity|NOx|Non-fatal heart attacks", US_national_yearly!$D:$AM, 10, FALSE), 1)</f>
        <v>9.6707831812592582E-5</v>
      </c>
      <c r="M13" s="7">
        <f>$B13 * IFERROR(VLOOKUP("electricity|NOx|Non-fatal heart attacks", US_national_yearly!$D:$AM, 21, FALSE) / VLOOKUP("electricity|NOx|Non-fatal heart attacks", US_national_yearly!$D:$AM, 10, FALSE), 1)</f>
        <v>9.8377571919656609E-5</v>
      </c>
      <c r="N13" s="7">
        <f>$B13 * IFERROR(VLOOKUP("electricity|NOx|Non-fatal heart attacks", US_national_yearly!$D:$AM, 22, FALSE) / VLOOKUP("electricity|NOx|Non-fatal heart attacks", US_national_yearly!$D:$AM, 10, FALSE), 1)</f>
        <v>9.9407335336622286E-5</v>
      </c>
      <c r="O13" s="7">
        <f>$B13 * IFERROR(VLOOKUP("electricity|NOx|Non-fatal heart attacks", US_national_yearly!$D:$AM, 23, FALSE) / VLOOKUP("electricity|NOx|Non-fatal heart attacks", US_national_yearly!$D:$AM, 10, FALSE), 1)</f>
        <v>1.0043709875358798E-4</v>
      </c>
      <c r="P13" s="7">
        <f>$B13 * IFERROR(VLOOKUP("electricity|NOx|Non-fatal heart attacks", US_national_yearly!$D:$AM, 24, FALSE) / VLOOKUP("electricity|NOx|Non-fatal heart attacks", US_national_yearly!$D:$AM, 10, FALSE), 1)</f>
        <v>1.0146686217055367E-4</v>
      </c>
      <c r="Q13" s="7">
        <f>$B13 * IFERROR(VLOOKUP("electricity|NOx|Non-fatal heart attacks", US_national_yearly!$D:$AM, 25, FALSE) / VLOOKUP("electricity|NOx|Non-fatal heart attacks", US_national_yearly!$D:$AM, 10, FALSE), 1)</f>
        <v>1.0249662558751934E-4</v>
      </c>
      <c r="R13" s="7">
        <f>$B13 * IFERROR(VLOOKUP("electricity|NOx|Non-fatal heart attacks", US_national_yearly!$D:$AM, 26, FALSE) / VLOOKUP("electricity|NOx|Non-fatal heart attacks", US_national_yearly!$D:$AM, 10, FALSE), 1)</f>
        <v>1.0352638900448503E-4</v>
      </c>
      <c r="S13" s="7">
        <f>$B13 * IFERROR(VLOOKUP("electricity|NOx|Non-fatal heart attacks", US_national_yearly!$D:$AM, 27, FALSE) / VLOOKUP("electricity|NOx|Non-fatal heart attacks", US_national_yearly!$D:$AM, 10, FALSE), 1)</f>
        <v>1.0402952797934003E-4</v>
      </c>
      <c r="T13" s="7">
        <f>$B13 * IFERROR(VLOOKUP("electricity|NOx|Non-fatal heart attacks", US_national_yearly!$D:$AM, 28, FALSE) / VLOOKUP("electricity|NOx|Non-fatal heart attacks", US_national_yearly!$D:$AM, 10, FALSE), 1)</f>
        <v>1.0453266695419503E-4</v>
      </c>
      <c r="U13" s="7">
        <f>$B13 * IFERROR(VLOOKUP("electricity|NOx|Non-fatal heart attacks", US_national_yearly!$D:$AM, 29, FALSE) / VLOOKUP("electricity|NOx|Non-fatal heart attacks", US_national_yearly!$D:$AM, 10, FALSE), 1)</f>
        <v>1.0503580592905006E-4</v>
      </c>
      <c r="V13" s="7">
        <f>$B13 * IFERROR(VLOOKUP("electricity|NOx|Non-fatal heart attacks", US_national_yearly!$D:$AM, 30, FALSE) / VLOOKUP("electricity|NOx|Non-fatal heart attacks", US_national_yearly!$D:$AM, 10, FALSE), 1)</f>
        <v>1.0553894490390504E-4</v>
      </c>
      <c r="W13" s="7">
        <f>$B13 * IFERROR(VLOOKUP("electricity|NOx|Non-fatal heart attacks", US_national_yearly!$D:$AM, 31, FALSE) / VLOOKUP("electricity|NOx|Non-fatal heart attacks", US_national_yearly!$D:$AM, 10, FALSE), 1)</f>
        <v>1.0604208387876007E-4</v>
      </c>
      <c r="X13" s="7">
        <f>$B13 * IFERROR(VLOOKUP("electricity|NOx|Non-fatal heart attacks", US_national_yearly!$D:$AM, 32, FALSE) / VLOOKUP("electricity|NOx|Non-fatal heart attacks", US_national_yearly!$D:$AM, 10, FALSE), 1)</f>
        <v>1.0639326151222677E-4</v>
      </c>
      <c r="Y13" s="7">
        <f>$B13 * IFERROR(VLOOKUP("electricity|NOx|Non-fatal heart attacks", US_national_yearly!$D:$AM, 33, FALSE) / VLOOKUP("electricity|NOx|Non-fatal heart attacks", US_national_yearly!$D:$AM, 10, FALSE), 1)</f>
        <v>1.0674443914569352E-4</v>
      </c>
      <c r="Z13" s="7">
        <f>$B13 * IFERROR(VLOOKUP("electricity|NOx|Non-fatal heart attacks", US_national_yearly!$D:$AM, 34, FALSE) / VLOOKUP("electricity|NOx|Non-fatal heart attacks", US_national_yearly!$D:$AM, 10, FALSE), 1)</f>
        <v>1.0709561677916022E-4</v>
      </c>
      <c r="AA13" s="7">
        <f>$B13 * IFERROR(VLOOKUP("electricity|NOx|Non-fatal heart attacks", US_national_yearly!$D:$AM, 35, FALSE) / VLOOKUP("electricity|NOx|Non-fatal heart attacks", US_national_yearly!$D:$AM, 10, FALSE), 1)</f>
        <v>1.0744679441262692E-4</v>
      </c>
      <c r="AB13" s="7">
        <f>$B13 * IFERROR(VLOOKUP("electricity|NOx|Non-fatal heart attacks", US_national_yearly!$D:$AM, 36, FALSE) / VLOOKUP("electricity|NOx|Non-fatal heart attacks", US_national_yearly!$D:$AM, 10, FALSE), 1)</f>
        <v>1.0779797204609367E-4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5.7505381708760926E-2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5.7593550014665984E-2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5.7681718320571042E-2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5.77698866264761E-2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5.7858054932381171E-2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5.8011851268969156E-2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5.8165647605557119E-2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5.8469932615964719E-2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5.8774217626372284E-2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5.9078502636779884E-2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5.9382787647187449E-2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5.9687072657595049E-2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6.0127094348778491E-2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6.0567116039961927E-2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6.1007137731145356E-2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6.1447159422328798E-2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6.1887181113512248E-2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6.2330530390592283E-2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6.2773879667672311E-2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6.321722894475236E-2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6.3660578221832395E-2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6.410392749891243E-2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6.4478869599825239E-2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6.4853811700737993E-2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6.5228753801650843E-2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6.5603695902563638E-2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6.597863800347642E-2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9.7019627102909838E-3</v>
      </c>
      <c r="C15" s="7">
        <f>$B15 * IFERROR(VLOOKUP("electricity|NOx|Work loss days", US_national_yearly!$D:$AM, 11, FALSE) / VLOOKUP("electricity|NOx|Work loss days", US_national_yearly!$D:$AM, 10, FALSE), 1)</f>
        <v>9.7236015546199196E-3</v>
      </c>
      <c r="D15" s="7">
        <f>$B15 * IFERROR(VLOOKUP("electricity|NOx|Work loss days", US_national_yearly!$D:$AM, 12, FALSE) / VLOOKUP("electricity|NOx|Work loss days", US_national_yearly!$D:$AM, 10, FALSE), 1)</f>
        <v>9.7452403989488536E-3</v>
      </c>
      <c r="E15" s="7">
        <f>$B15 * IFERROR(VLOOKUP("electricity|NOx|Work loss days", US_national_yearly!$D:$AM, 13, FALSE) / VLOOKUP("electricity|NOx|Work loss days", US_national_yearly!$D:$AM, 10, FALSE), 1)</f>
        <v>9.7668792432777894E-3</v>
      </c>
      <c r="F15" s="7">
        <f>$B15 * IFERROR(VLOOKUP("electricity|NOx|Work loss days", US_national_yearly!$D:$AM, 14, FALSE) / VLOOKUP("electricity|NOx|Work loss days", US_national_yearly!$D:$AM, 10, FALSE), 1)</f>
        <v>9.7885180876067235E-3</v>
      </c>
      <c r="G15" s="7">
        <f>$B15 * IFERROR(VLOOKUP("electricity|NOx|Work loss days", US_national_yearly!$D:$AM, 15, FALSE) / VLOOKUP("electricity|NOx|Work loss days", US_national_yearly!$D:$AM, 10, FALSE), 1)</f>
        <v>9.8190238975822408E-3</v>
      </c>
      <c r="H15" s="7">
        <f>$B15 * IFERROR(VLOOKUP("electricity|NOx|Work loss days", US_national_yearly!$D:$AM, 16, FALSE) / VLOOKUP("electricity|NOx|Work loss days", US_national_yearly!$D:$AM, 10, FALSE), 1)</f>
        <v>9.8495297075577529E-3</v>
      </c>
      <c r="I15" s="7">
        <f>$B15 * IFERROR(VLOOKUP("electricity|NOx|Work loss days", US_national_yearly!$D:$AM, 17, FALSE) / VLOOKUP("electricity|NOx|Work loss days", US_national_yearly!$D:$AM, 10, FALSE), 1)</f>
        <v>9.8990629537484311E-3</v>
      </c>
      <c r="J15" s="7">
        <f>$B15 * IFERROR(VLOOKUP("electricity|NOx|Work loss days", US_national_yearly!$D:$AM, 18, FALSE) / VLOOKUP("electricity|NOx|Work loss days", US_national_yearly!$D:$AM, 10, FALSE), 1)</f>
        <v>9.9485961999391092E-3</v>
      </c>
      <c r="K15" s="7">
        <f>$B15 * IFERROR(VLOOKUP("electricity|NOx|Work loss days", US_national_yearly!$D:$AM, 19, FALSE) / VLOOKUP("electricity|NOx|Work loss days", US_national_yearly!$D:$AM, 10, FALSE), 1)</f>
        <v>9.9981294461297856E-3</v>
      </c>
      <c r="L15" s="7">
        <f>$B15 * IFERROR(VLOOKUP("electricity|NOx|Work loss days", US_national_yearly!$D:$AM, 20, FALSE) / VLOOKUP("electricity|NOx|Work loss days", US_national_yearly!$D:$AM, 10, FALSE), 1)</f>
        <v>1.004766269232046E-2</v>
      </c>
      <c r="M15" s="7">
        <f>$B15 * IFERROR(VLOOKUP("electricity|NOx|Work loss days", US_national_yearly!$D:$AM, 21, FALSE) / VLOOKUP("electricity|NOx|Work loss days", US_national_yearly!$D:$AM, 10, FALSE), 1)</f>
        <v>1.0097195938511137E-2</v>
      </c>
      <c r="N15" s="7">
        <f>$B15 * IFERROR(VLOOKUP("electricity|NOx|Work loss days", US_national_yearly!$D:$AM, 22, FALSE) / VLOOKUP("electricity|NOx|Work loss days", US_national_yearly!$D:$AM, 10, FALSE), 1)</f>
        <v>1.0162548571104022E-2</v>
      </c>
      <c r="O15" s="7">
        <f>$B15 * IFERROR(VLOOKUP("electricity|NOx|Work loss days", US_national_yearly!$D:$AM, 23, FALSE) / VLOOKUP("electricity|NOx|Work loss days", US_national_yearly!$D:$AM, 10, FALSE), 1)</f>
        <v>1.0227901203696904E-2</v>
      </c>
      <c r="P15" s="7">
        <f>$B15 * IFERROR(VLOOKUP("electricity|NOx|Work loss days", US_national_yearly!$D:$AM, 24, FALSE) / VLOOKUP("electricity|NOx|Work loss days", US_national_yearly!$D:$AM, 10, FALSE), 1)</f>
        <v>1.029325383628979E-2</v>
      </c>
      <c r="Q15" s="7">
        <f>$B15 * IFERROR(VLOOKUP("electricity|NOx|Work loss days", US_national_yearly!$D:$AM, 25, FALSE) / VLOOKUP("electricity|NOx|Work loss days", US_national_yearly!$D:$AM, 10, FALSE), 1)</f>
        <v>1.0358606468882675E-2</v>
      </c>
      <c r="R15" s="7">
        <f>$B15 * IFERROR(VLOOKUP("electricity|NOx|Work loss days", US_national_yearly!$D:$AM, 26, FALSE) / VLOOKUP("electricity|NOx|Work loss days", US_national_yearly!$D:$AM, 10, FALSE), 1)</f>
        <v>1.0423959101475555E-2</v>
      </c>
      <c r="S15" s="7">
        <f>$B15 * IFERROR(VLOOKUP("electricity|NOx|Work loss days", US_national_yearly!$D:$AM, 27, FALSE) / VLOOKUP("electricity|NOx|Work loss days", US_national_yearly!$D:$AM, 10, FALSE), 1)</f>
        <v>1.0497195048309286E-2</v>
      </c>
      <c r="T15" s="7">
        <f>$B15 * IFERROR(VLOOKUP("electricity|NOx|Work loss days", US_national_yearly!$D:$AM, 28, FALSE) / VLOOKUP("electricity|NOx|Work loss days", US_national_yearly!$D:$AM, 10, FALSE), 1)</f>
        <v>1.0570430995143014E-2</v>
      </c>
      <c r="U15" s="7">
        <f>$B15 * IFERROR(VLOOKUP("electricity|NOx|Work loss days", US_national_yearly!$D:$AM, 29, FALSE) / VLOOKUP("electricity|NOx|Work loss days", US_national_yearly!$D:$AM, 10, FALSE), 1)</f>
        <v>1.0643666941976741E-2</v>
      </c>
      <c r="V15" s="7">
        <f>$B15 * IFERROR(VLOOKUP("electricity|NOx|Work loss days", US_national_yearly!$D:$AM, 30, FALSE) / VLOOKUP("electricity|NOx|Work loss days", US_national_yearly!$D:$AM, 10, FALSE), 1)</f>
        <v>1.071690288881047E-2</v>
      </c>
      <c r="W15" s="7">
        <f>$B15 * IFERROR(VLOOKUP("electricity|NOx|Work loss days", US_national_yearly!$D:$AM, 31, FALSE) / VLOOKUP("electricity|NOx|Work loss days", US_national_yearly!$D:$AM, 10, FALSE), 1)</f>
        <v>1.0790138835644199E-2</v>
      </c>
      <c r="X15" s="7">
        <f>$B15 * IFERROR(VLOOKUP("electricity|NOx|Work loss days", US_national_yearly!$D:$AM, 32, FALSE) / VLOOKUP("electricity|NOx|Work loss days", US_national_yearly!$D:$AM, 10, FALSE), 1)</f>
        <v>1.0853978927585117E-2</v>
      </c>
      <c r="Y15" s="7">
        <f>$B15 * IFERROR(VLOOKUP("electricity|NOx|Work loss days", US_national_yearly!$D:$AM, 33, FALSE) / VLOOKUP("electricity|NOx|Work loss days", US_national_yearly!$D:$AM, 10, FALSE), 1)</f>
        <v>1.0917819019526032E-2</v>
      </c>
      <c r="Z15" s="7">
        <f>$B15 * IFERROR(VLOOKUP("electricity|NOx|Work loss days", US_national_yearly!$D:$AM, 34, FALSE) / VLOOKUP("electricity|NOx|Work loss days", US_national_yearly!$D:$AM, 10, FALSE), 1)</f>
        <v>1.0981659111466948E-2</v>
      </c>
      <c r="AA15" s="7">
        <f>$B15 * IFERROR(VLOOKUP("electricity|NOx|Work loss days", US_national_yearly!$D:$AM, 35, FALSE) / VLOOKUP("electricity|NOx|Work loss days", US_national_yearly!$D:$AM, 10, FALSE), 1)</f>
        <v>1.1045499203407867E-2</v>
      </c>
      <c r="AB15" s="7">
        <f>$B15 * IFERROR(VLOOKUP("electricity|NOx|Work loss days", US_national_yearly!$D:$AM, 36, FALSE) / VLOOKUP("electricity|NOx|Work loss days", US_national_yearly!$D:$AM, 10, FALSE), 1)</f>
        <v>1.1109339295348783E-2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1.6725756326432218E-5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1.7218440798999373E-5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1.7711125271566531E-5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1.8203809744133685E-5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1.8696494216700843E-5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1.9168277852874803E-5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1.9640061489048765E-5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2.0042753041416298E-5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2.0445444593783838E-5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2.0848136146151374E-5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2.1250827698518914E-5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2.1653519250886447E-5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2.1911955463682288E-5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2.2170391676478133E-5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2.2428827889273974E-5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2.2687264102069815E-5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2.2945700314865656E-5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2.3072881329654217E-5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2.3200062344442778E-5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2.3327243359231339E-5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2.3454424374019903E-5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2.3581605388808463E-5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2.3657829801767932E-5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2.3734054214727404E-5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2.3810278627686872E-5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2.3886503040646344E-5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2.3962727453605812E-5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1.0500384456316623E-3</v>
      </c>
      <c r="C2" s="7">
        <f>$B2 * IFERROR(VLOOKUP("electricity|SO2|Premature mortality", US_national_yearly!$D:$AM, 11, FALSE) / VLOOKUP("electricity|SO2|Premature mortality", US_national_yearly!$D:$AM, 10, FALSE), 1)</f>
        <v>1.0635001807553675E-3</v>
      </c>
      <c r="D2" s="7">
        <f>$B2 * IFERROR(VLOOKUP("electricity|SO2|Premature mortality", US_national_yearly!$D:$AM, 12, FALSE) / VLOOKUP("electricity|SO2|Premature mortality", US_national_yearly!$D:$AM, 10, FALSE), 1)</f>
        <v>1.0769619158790722E-3</v>
      </c>
      <c r="E2" s="7">
        <f>$B2 * IFERROR(VLOOKUP("electricity|SO2|Premature mortality", US_national_yearly!$D:$AM, 13, FALSE) / VLOOKUP("electricity|SO2|Premature mortality", US_national_yearly!$D:$AM, 10, FALSE), 1)</f>
        <v>1.0904236510027774E-3</v>
      </c>
      <c r="F2" s="7">
        <f>$B2 * IFERROR(VLOOKUP("electricity|SO2|Premature mortality", US_national_yearly!$D:$AM, 14, FALSE) / VLOOKUP("electricity|SO2|Premature mortality", US_national_yearly!$D:$AM, 10, FALSE), 1)</f>
        <v>1.1038853861264823E-3</v>
      </c>
      <c r="G2" s="7">
        <f>$B2 * IFERROR(VLOOKUP("electricity|SO2|Premature mortality", US_national_yearly!$D:$AM, 15, FALSE) / VLOOKUP("electricity|SO2|Premature mortality", US_national_yearly!$D:$AM, 10, FALSE), 1)</f>
        <v>1.12981808741766E-3</v>
      </c>
      <c r="H2" s="7">
        <f>$B2 * IFERROR(VLOOKUP("electricity|SO2|Premature mortality", US_national_yearly!$D:$AM, 16, FALSE) / VLOOKUP("electricity|SO2|Premature mortality", US_national_yearly!$D:$AM, 10, FALSE), 1)</f>
        <v>1.1557507887088375E-3</v>
      </c>
      <c r="I2" s="7">
        <f>$B2 * IFERROR(VLOOKUP("electricity|SO2|Premature mortality", US_national_yearly!$D:$AM, 17, FALSE) / VLOOKUP("electricity|SO2|Premature mortality", US_national_yearly!$D:$AM, 10, FALSE), 1)</f>
        <v>1.1732070784100806E-3</v>
      </c>
      <c r="J2" s="7">
        <f>$B2 * IFERROR(VLOOKUP("electricity|SO2|Premature mortality", US_national_yearly!$D:$AM, 18, FALSE) / VLOOKUP("electricity|SO2|Premature mortality", US_national_yearly!$D:$AM, 10, FALSE), 1)</f>
        <v>1.1906633681113238E-3</v>
      </c>
      <c r="K2" s="7">
        <f>$B2 * IFERROR(VLOOKUP("electricity|SO2|Premature mortality", US_national_yearly!$D:$AM, 19, FALSE) / VLOOKUP("electricity|SO2|Premature mortality", US_national_yearly!$D:$AM, 10, FALSE), 1)</f>
        <v>1.2081196578125667E-3</v>
      </c>
      <c r="L2" s="7">
        <f>$B2 * IFERROR(VLOOKUP("electricity|SO2|Premature mortality", US_national_yearly!$D:$AM, 20, FALSE) / VLOOKUP("electricity|SO2|Premature mortality", US_national_yearly!$D:$AM, 10, FALSE), 1)</f>
        <v>1.22557594751381E-3</v>
      </c>
      <c r="M2" s="7">
        <f>$B2 * IFERROR(VLOOKUP("electricity|SO2|Premature mortality", US_national_yearly!$D:$AM, 21, FALSE) / VLOOKUP("electricity|SO2|Premature mortality", US_national_yearly!$D:$AM, 10, FALSE), 1)</f>
        <v>1.243032237215053E-3</v>
      </c>
      <c r="N2" s="7">
        <f>$B2 * IFERROR(VLOOKUP("electricity|SO2|Premature mortality", US_national_yearly!$D:$AM, 22, FALSE) / VLOOKUP("electricity|SO2|Premature mortality", US_national_yearly!$D:$AM, 10, FALSE), 1)</f>
        <v>1.2570220620682043E-3</v>
      </c>
      <c r="O2" s="7">
        <f>$B2 * IFERROR(VLOOKUP("electricity|SO2|Premature mortality", US_national_yearly!$D:$AM, 23, FALSE) / VLOOKUP("electricity|SO2|Premature mortality", US_national_yearly!$D:$AM, 10, FALSE), 1)</f>
        <v>1.2710118869213561E-3</v>
      </c>
      <c r="P2" s="7">
        <f>$B2 * IFERROR(VLOOKUP("electricity|SO2|Premature mortality", US_national_yearly!$D:$AM, 24, FALSE) / VLOOKUP("electricity|SO2|Premature mortality", US_national_yearly!$D:$AM, 10, FALSE), 1)</f>
        <v>1.2850017117745072E-3</v>
      </c>
      <c r="Q2" s="7">
        <f>$B2 * IFERROR(VLOOKUP("electricity|SO2|Premature mortality", US_national_yearly!$D:$AM, 25, FALSE) / VLOOKUP("electricity|SO2|Premature mortality", US_national_yearly!$D:$AM, 10, FALSE), 1)</f>
        <v>1.2989915366276588E-3</v>
      </c>
      <c r="R2" s="7">
        <f>$B2 * IFERROR(VLOOKUP("electricity|SO2|Premature mortality", US_national_yearly!$D:$AM, 26, FALSE) / VLOOKUP("electricity|SO2|Premature mortality", US_national_yearly!$D:$AM, 10, FALSE), 1)</f>
        <v>1.3129813614808101E-3</v>
      </c>
      <c r="S2" s="7">
        <f>$B2 * IFERROR(VLOOKUP("electricity|SO2|Premature mortality", US_national_yearly!$D:$AM, 27, FALSE) / VLOOKUP("electricity|SO2|Premature mortality", US_national_yearly!$D:$AM, 10, FALSE), 1)</f>
        <v>1.3210021367055481E-3</v>
      </c>
      <c r="T2" s="7">
        <f>$B2 * IFERROR(VLOOKUP("electricity|SO2|Premature mortality", US_national_yearly!$D:$AM, 28, FALSE) / VLOOKUP("electricity|SO2|Premature mortality", US_national_yearly!$D:$AM, 10, FALSE), 1)</f>
        <v>1.3290229119302863E-3</v>
      </c>
      <c r="U2" s="7">
        <f>$B2 * IFERROR(VLOOKUP("electricity|SO2|Premature mortality", US_national_yearly!$D:$AM, 29, FALSE) / VLOOKUP("electricity|SO2|Premature mortality", US_national_yearly!$D:$AM, 10, FALSE), 1)</f>
        <v>1.3370436871550243E-3</v>
      </c>
      <c r="V2" s="7">
        <f>$B2 * IFERROR(VLOOKUP("electricity|SO2|Premature mortality", US_national_yearly!$D:$AM, 30, FALSE) / VLOOKUP("electricity|SO2|Premature mortality", US_national_yearly!$D:$AM, 10, FALSE), 1)</f>
        <v>1.3450644623797625E-3</v>
      </c>
      <c r="W2" s="7">
        <f>$B2 * IFERROR(VLOOKUP("electricity|SO2|Premature mortality", US_national_yearly!$D:$AM, 31, FALSE) / VLOOKUP("electricity|SO2|Premature mortality", US_national_yearly!$D:$AM, 10, FALSE), 1)</f>
        <v>1.3530852376045005E-3</v>
      </c>
      <c r="X2" s="7">
        <f>$B2 * IFERROR(VLOOKUP("electricity|SO2|Premature mortality", US_national_yearly!$D:$AM, 32, FALSE) / VLOOKUP("electricity|SO2|Premature mortality", US_national_yearly!$D:$AM, 10, FALSE), 1)</f>
        <v>1.3554485242813412E-3</v>
      </c>
      <c r="Y2" s="7">
        <f>$B2 * IFERROR(VLOOKUP("electricity|SO2|Premature mortality", US_national_yearly!$D:$AM, 33, FALSE) / VLOOKUP("electricity|SO2|Premature mortality", US_national_yearly!$D:$AM, 10, FALSE), 1)</f>
        <v>1.3578118109581817E-3</v>
      </c>
      <c r="Z2" s="7">
        <f>$B2 * IFERROR(VLOOKUP("electricity|SO2|Premature mortality", US_national_yearly!$D:$AM, 34, FALSE) / VLOOKUP("electricity|SO2|Premature mortality", US_national_yearly!$D:$AM, 10, FALSE), 1)</f>
        <v>1.3601750976350222E-3</v>
      </c>
      <c r="AA2" s="7">
        <f>$B2 * IFERROR(VLOOKUP("electricity|SO2|Premature mortality", US_national_yearly!$D:$AM, 35, FALSE) / VLOOKUP("electricity|SO2|Premature mortality", US_national_yearly!$D:$AM, 10, FALSE), 1)</f>
        <v>1.3625383843118629E-3</v>
      </c>
      <c r="AB2" s="7">
        <f>$B2 * IFERROR(VLOOKUP("electricity|SO2|Premature mortality", US_national_yearly!$D:$AM, 36, FALSE) / VLOOKUP("electricity|SO2|Premature mortality", US_national_yearly!$D:$AM, 10, FALSE), 1)</f>
        <v>1.3649016709887034E-3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2.0321254639964256E-6</v>
      </c>
      <c r="C3" s="7">
        <f>$B3 * IFERROR(VLOOKUP("electricity|SO2|Infant mortality", US_national_yearly!$D:$AM, 11, FALSE) / VLOOKUP("electricity|SO2|Infant mortality", US_national_yearly!$D:$AM, 10, FALSE), 1)</f>
        <v>2.0149578676385586E-6</v>
      </c>
      <c r="D3" s="7">
        <f>$B3 * IFERROR(VLOOKUP("electricity|SO2|Infant mortality", US_national_yearly!$D:$AM, 12, FALSE) / VLOOKUP("electricity|SO2|Infant mortality", US_national_yearly!$D:$AM, 10, FALSE), 1)</f>
        <v>1.9977902712806912E-6</v>
      </c>
      <c r="E3" s="7">
        <f>$B3 * IFERROR(VLOOKUP("electricity|SO2|Infant mortality", US_national_yearly!$D:$AM, 13, FALSE) / VLOOKUP("electricity|SO2|Infant mortality", US_national_yearly!$D:$AM, 10, FALSE), 1)</f>
        <v>1.9806226749228242E-6</v>
      </c>
      <c r="F3" s="7">
        <f>$B3 * IFERROR(VLOOKUP("electricity|SO2|Infant mortality", US_national_yearly!$D:$AM, 14, FALSE) / VLOOKUP("electricity|SO2|Infant mortality", US_national_yearly!$D:$AM, 10, FALSE), 1)</f>
        <v>1.9634550785649572E-6</v>
      </c>
      <c r="G3" s="7">
        <f>$B3 * IFERROR(VLOOKUP("electricity|SO2|Infant mortality", US_national_yearly!$D:$AM, 15, FALSE) / VLOOKUP("electricity|SO2|Infant mortality", US_national_yearly!$D:$AM, 10, FALSE), 1)</f>
        <v>1.3057993367060079E-6</v>
      </c>
      <c r="H3" s="7">
        <f>$B3 * IFERROR(VLOOKUP("electricity|SO2|Infant mortality", US_national_yearly!$D:$AM, 16, FALSE) / VLOOKUP("electricity|SO2|Infant mortality", US_national_yearly!$D:$AM, 10, FALSE), 1)</f>
        <v>6.4814359484705851E-7</v>
      </c>
      <c r="I3" s="7">
        <f>$B3 * IFERROR(VLOOKUP("electricity|SO2|Infant mortality", US_national_yearly!$D:$AM, 17, FALSE) / VLOOKUP("electricity|SO2|Infant mortality", US_national_yearly!$D:$AM, 10, FALSE), 1)</f>
        <v>6.439971087473704E-7</v>
      </c>
      <c r="J3" s="7">
        <f>$B3 * IFERROR(VLOOKUP("electricity|SO2|Infant mortality", US_national_yearly!$D:$AM, 18, FALSE) / VLOOKUP("electricity|SO2|Infant mortality", US_national_yearly!$D:$AM, 10, FALSE), 1)</f>
        <v>6.3985062264768208E-7</v>
      </c>
      <c r="K3" s="7">
        <f>$B3 * IFERROR(VLOOKUP("electricity|SO2|Infant mortality", US_national_yearly!$D:$AM, 19, FALSE) / VLOOKUP("electricity|SO2|Infant mortality", US_national_yearly!$D:$AM, 10, FALSE), 1)</f>
        <v>6.3570413654799398E-7</v>
      </c>
      <c r="L3" s="7">
        <f>$B3 * IFERROR(VLOOKUP("electricity|SO2|Infant mortality", US_national_yearly!$D:$AM, 20, FALSE) / VLOOKUP("electricity|SO2|Infant mortality", US_national_yearly!$D:$AM, 10, FALSE), 1)</f>
        <v>6.3155765044830566E-7</v>
      </c>
      <c r="M3" s="7">
        <f>$B3 * IFERROR(VLOOKUP("electricity|SO2|Infant mortality", US_national_yearly!$D:$AM, 21, FALSE) / VLOOKUP("electricity|SO2|Infant mortality", US_national_yearly!$D:$AM, 10, FALSE), 1)</f>
        <v>6.2741116434861744E-7</v>
      </c>
      <c r="N3" s="7">
        <f>$B3 * IFERROR(VLOOKUP("electricity|SO2|Infant mortality", US_national_yearly!$D:$AM, 22, FALSE) / VLOOKUP("electricity|SO2|Infant mortality", US_national_yearly!$D:$AM, 10, FALSE), 1)</f>
        <v>6.2478376701249376E-7</v>
      </c>
      <c r="O3" s="7">
        <f>$B3 * IFERROR(VLOOKUP("electricity|SO2|Infant mortality", US_national_yearly!$D:$AM, 23, FALSE) / VLOOKUP("electricity|SO2|Infant mortality", US_national_yearly!$D:$AM, 10, FALSE), 1)</f>
        <v>6.2215636967636996E-7</v>
      </c>
      <c r="P3" s="7">
        <f>$B3 * IFERROR(VLOOKUP("electricity|SO2|Infant mortality", US_national_yearly!$D:$AM, 24, FALSE) / VLOOKUP("electricity|SO2|Infant mortality", US_national_yearly!$D:$AM, 10, FALSE), 1)</f>
        <v>6.1952897234024606E-7</v>
      </c>
      <c r="Q3" s="7">
        <f>$B3 * IFERROR(VLOOKUP("electricity|SO2|Infant mortality", US_national_yearly!$D:$AM, 25, FALSE) / VLOOKUP("electricity|SO2|Infant mortality", US_national_yearly!$D:$AM, 10, FALSE), 1)</f>
        <v>6.1690157500412237E-7</v>
      </c>
      <c r="R3" s="7">
        <f>$B3 * IFERROR(VLOOKUP("electricity|SO2|Infant mortality", US_national_yearly!$D:$AM, 26, FALSE) / VLOOKUP("electricity|SO2|Infant mortality", US_national_yearly!$D:$AM, 10, FALSE), 1)</f>
        <v>6.1427417766799868E-7</v>
      </c>
      <c r="S3" s="7">
        <f>$B3 * IFERROR(VLOOKUP("electricity|SO2|Infant mortality", US_national_yearly!$D:$AM, 27, FALSE) / VLOOKUP("electricity|SO2|Infant mortality", US_national_yearly!$D:$AM, 10, FALSE), 1)</f>
        <v>6.1099945980818442E-7</v>
      </c>
      <c r="T3" s="7">
        <f>$B3 * IFERROR(VLOOKUP("electricity|SO2|Infant mortality", US_national_yearly!$D:$AM, 28, FALSE) / VLOOKUP("electricity|SO2|Infant mortality", US_national_yearly!$D:$AM, 10, FALSE), 1)</f>
        <v>6.0772474194837015E-7</v>
      </c>
      <c r="U3" s="7">
        <f>$B3 * IFERROR(VLOOKUP("electricity|SO2|Infant mortality", US_national_yearly!$D:$AM, 29, FALSE) / VLOOKUP("electricity|SO2|Infant mortality", US_national_yearly!$D:$AM, 10, FALSE), 1)</f>
        <v>6.0445002408855599E-7</v>
      </c>
      <c r="V3" s="7">
        <f>$B3 * IFERROR(VLOOKUP("electricity|SO2|Infant mortality", US_national_yearly!$D:$AM, 30, FALSE) / VLOOKUP("electricity|SO2|Infant mortality", US_national_yearly!$D:$AM, 10, FALSE), 1)</f>
        <v>6.0117530622874184E-7</v>
      </c>
      <c r="W3" s="7">
        <f>$B3 * IFERROR(VLOOKUP("electricity|SO2|Infant mortality", US_national_yearly!$D:$AM, 31, FALSE) / VLOOKUP("electricity|SO2|Infant mortality", US_national_yearly!$D:$AM, 10, FALSE), 1)</f>
        <v>5.9790058836892757E-7</v>
      </c>
      <c r="X3" s="7">
        <f>$B3 * IFERROR(VLOOKUP("electricity|SO2|Infant mortality", US_national_yearly!$D:$AM, 32, FALSE) / VLOOKUP("electricity|SO2|Infant mortality", US_national_yearly!$D:$AM, 10, FALSE), 1)</f>
        <v>5.9440656030907158E-7</v>
      </c>
      <c r="Y3" s="7">
        <f>$B3 * IFERROR(VLOOKUP("electricity|SO2|Infant mortality", US_national_yearly!$D:$AM, 33, FALSE) / VLOOKUP("electricity|SO2|Infant mortality", US_national_yearly!$D:$AM, 10, FALSE), 1)</f>
        <v>5.9091253224921527E-7</v>
      </c>
      <c r="Z3" s="7">
        <f>$B3 * IFERROR(VLOOKUP("electricity|SO2|Infant mortality", US_national_yearly!$D:$AM, 34, FALSE) / VLOOKUP("electricity|SO2|Infant mortality", US_national_yearly!$D:$AM, 10, FALSE), 1)</f>
        <v>5.8741850418935927E-7</v>
      </c>
      <c r="AA3" s="7">
        <f>$B3 * IFERROR(VLOOKUP("electricity|SO2|Infant mortality", US_national_yearly!$D:$AM, 35, FALSE) / VLOOKUP("electricity|SO2|Infant mortality", US_national_yearly!$D:$AM, 10, FALSE), 1)</f>
        <v>5.8392447612950317E-7</v>
      </c>
      <c r="AB3" s="7">
        <f>$B3 * IFERROR(VLOOKUP("electricity|SO2|Infant mortality", US_national_yearly!$D:$AM, 36, FALSE) / VLOOKUP("electricity|SO2|Infant mortality", US_national_yearly!$D:$AM, 10, FALSE), 1)</f>
        <v>5.8043044806964707E-7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2.6811070160938496E-3</v>
      </c>
      <c r="C6" s="7">
        <f>$B6 * IFERROR(VLOOKUP("electricity|SO2|Asthma symptoms cough", US_national_yearly!$D:$AM, 11, FALSE) / VLOOKUP("electricity|SO2|Asthma symptoms cough", US_national_yearly!$D:$AM, 10, FALSE), 1)</f>
        <v>2.6811070160938496E-3</v>
      </c>
      <c r="D6" s="7">
        <f>$B6 * IFERROR(VLOOKUP("electricity|SO2|Asthma symptoms cough", US_national_yearly!$D:$AM, 12, FALSE) / VLOOKUP("electricity|SO2|Asthma symptoms cough", US_national_yearly!$D:$AM, 10, FALSE), 1)</f>
        <v>2.6811070160938496E-3</v>
      </c>
      <c r="E6" s="7">
        <f>$B6 * IFERROR(VLOOKUP("electricity|SO2|Asthma symptoms cough", US_national_yearly!$D:$AM, 13, FALSE) / VLOOKUP("electricity|SO2|Asthma symptoms cough", US_national_yearly!$D:$AM, 10, FALSE), 1)</f>
        <v>2.6811070160938496E-3</v>
      </c>
      <c r="F6" s="7">
        <f>$B6 * IFERROR(VLOOKUP("electricity|SO2|Asthma symptoms cough", US_national_yearly!$D:$AM, 14, FALSE) / VLOOKUP("electricity|SO2|Asthma symptoms cough", US_national_yearly!$D:$AM, 10, FALSE), 1)</f>
        <v>2.6811070160938496E-3</v>
      </c>
      <c r="G6" s="7">
        <f>$B6 * IFERROR(VLOOKUP("electricity|SO2|Asthma symptoms cough", US_national_yearly!$D:$AM, 15, FALSE) / VLOOKUP("electricity|SO2|Asthma symptoms cough", US_national_yearly!$D:$AM, 10, FALSE), 1)</f>
        <v>2.6811070160938496E-3</v>
      </c>
      <c r="H6" s="7">
        <f>$B6 * IFERROR(VLOOKUP("electricity|SO2|Asthma symptoms cough", US_national_yearly!$D:$AM, 16, FALSE) / VLOOKUP("electricity|SO2|Asthma symptoms cough", US_national_yearly!$D:$AM, 10, FALSE), 1)</f>
        <v>2.6811070160938496E-3</v>
      </c>
      <c r="I6" s="7">
        <f>$B6 * IFERROR(VLOOKUP("electricity|SO2|Asthma symptoms cough", US_national_yearly!$D:$AM, 17, FALSE) / VLOOKUP("electricity|SO2|Asthma symptoms cough", US_national_yearly!$D:$AM, 10, FALSE), 1)</f>
        <v>2.6811070160938496E-3</v>
      </c>
      <c r="J6" s="7">
        <f>$B6 * IFERROR(VLOOKUP("electricity|SO2|Asthma symptoms cough", US_national_yearly!$D:$AM, 18, FALSE) / VLOOKUP("electricity|SO2|Asthma symptoms cough", US_national_yearly!$D:$AM, 10, FALSE), 1)</f>
        <v>2.6811070160938496E-3</v>
      </c>
      <c r="K6" s="7">
        <f>$B6 * IFERROR(VLOOKUP("electricity|SO2|Asthma symptoms cough", US_national_yearly!$D:$AM, 19, FALSE) / VLOOKUP("electricity|SO2|Asthma symptoms cough", US_national_yearly!$D:$AM, 10, FALSE), 1)</f>
        <v>2.6811070160938496E-3</v>
      </c>
      <c r="L6" s="7">
        <f>$B6 * IFERROR(VLOOKUP("electricity|SO2|Asthma symptoms cough", US_national_yearly!$D:$AM, 20, FALSE) / VLOOKUP("electricity|SO2|Asthma symptoms cough", US_national_yearly!$D:$AM, 10, FALSE), 1)</f>
        <v>2.6811070160938496E-3</v>
      </c>
      <c r="M6" s="7">
        <f>$B6 * IFERROR(VLOOKUP("electricity|SO2|Asthma symptoms cough", US_national_yearly!$D:$AM, 21, FALSE) / VLOOKUP("electricity|SO2|Asthma symptoms cough", US_national_yearly!$D:$AM, 10, FALSE), 1)</f>
        <v>2.6811070160938496E-3</v>
      </c>
      <c r="N6" s="7">
        <f>$B6 * IFERROR(VLOOKUP("electricity|SO2|Asthma symptoms cough", US_national_yearly!$D:$AM, 22, FALSE) / VLOOKUP("electricity|SO2|Asthma symptoms cough", US_national_yearly!$D:$AM, 10, FALSE), 1)</f>
        <v>2.6811070160938496E-3</v>
      </c>
      <c r="O6" s="7">
        <f>$B6 * IFERROR(VLOOKUP("electricity|SO2|Asthma symptoms cough", US_national_yearly!$D:$AM, 23, FALSE) / VLOOKUP("electricity|SO2|Asthma symptoms cough", US_national_yearly!$D:$AM, 10, FALSE), 1)</f>
        <v>2.6811070160938496E-3</v>
      </c>
      <c r="P6" s="7">
        <f>$B6 * IFERROR(VLOOKUP("electricity|SO2|Asthma symptoms cough", US_national_yearly!$D:$AM, 24, FALSE) / VLOOKUP("electricity|SO2|Asthma symptoms cough", US_national_yearly!$D:$AM, 10, FALSE), 1)</f>
        <v>2.6811070160938496E-3</v>
      </c>
      <c r="Q6" s="7">
        <f>$B6 * IFERROR(VLOOKUP("electricity|SO2|Asthma symptoms cough", US_national_yearly!$D:$AM, 25, FALSE) / VLOOKUP("electricity|SO2|Asthma symptoms cough", US_national_yearly!$D:$AM, 10, FALSE), 1)</f>
        <v>2.6811070160938496E-3</v>
      </c>
      <c r="R6" s="7">
        <f>$B6 * IFERROR(VLOOKUP("electricity|SO2|Asthma symptoms cough", US_national_yearly!$D:$AM, 26, FALSE) / VLOOKUP("electricity|SO2|Asthma symptoms cough", US_national_yearly!$D:$AM, 10, FALSE), 1)</f>
        <v>2.6811070160938496E-3</v>
      </c>
      <c r="S6" s="7">
        <f>$B6 * IFERROR(VLOOKUP("electricity|SO2|Asthma symptoms cough", US_national_yearly!$D:$AM, 27, FALSE) / VLOOKUP("electricity|SO2|Asthma symptoms cough", US_national_yearly!$D:$AM, 10, FALSE), 1)</f>
        <v>2.6811070160938496E-3</v>
      </c>
      <c r="T6" s="7">
        <f>$B6 * IFERROR(VLOOKUP("electricity|SO2|Asthma symptoms cough", US_national_yearly!$D:$AM, 28, FALSE) / VLOOKUP("electricity|SO2|Asthma symptoms cough", US_national_yearly!$D:$AM, 10, FALSE), 1)</f>
        <v>2.6811070160938496E-3</v>
      </c>
      <c r="U6" s="7">
        <f>$B6 * IFERROR(VLOOKUP("electricity|SO2|Asthma symptoms cough", US_national_yearly!$D:$AM, 29, FALSE) / VLOOKUP("electricity|SO2|Asthma symptoms cough", US_national_yearly!$D:$AM, 10, FALSE), 1)</f>
        <v>2.6811070160938496E-3</v>
      </c>
      <c r="V6" s="7">
        <f>$B6 * IFERROR(VLOOKUP("electricity|SO2|Asthma symptoms cough", US_national_yearly!$D:$AM, 30, FALSE) / VLOOKUP("electricity|SO2|Asthma symptoms cough", US_national_yearly!$D:$AM, 10, FALSE), 1)</f>
        <v>2.6811070160938496E-3</v>
      </c>
      <c r="W6" s="7">
        <f>$B6 * IFERROR(VLOOKUP("electricity|SO2|Asthma symptoms cough", US_national_yearly!$D:$AM, 31, FALSE) / VLOOKUP("electricity|SO2|Asthma symptoms cough", US_national_yearly!$D:$AM, 10, FALSE), 1)</f>
        <v>2.6811070160938496E-3</v>
      </c>
      <c r="X6" s="7">
        <f>$B6 * IFERROR(VLOOKUP("electricity|SO2|Asthma symptoms cough", US_national_yearly!$D:$AM, 32, FALSE) / VLOOKUP("electricity|SO2|Asthma symptoms cough", US_national_yearly!$D:$AM, 10, FALSE), 1)</f>
        <v>2.6811070160938496E-3</v>
      </c>
      <c r="Y6" s="7">
        <f>$B6 * IFERROR(VLOOKUP("electricity|SO2|Asthma symptoms cough", US_national_yearly!$D:$AM, 33, FALSE) / VLOOKUP("electricity|SO2|Asthma symptoms cough", US_national_yearly!$D:$AM, 10, FALSE), 1)</f>
        <v>2.6811070160938496E-3</v>
      </c>
      <c r="Z6" s="7">
        <f>$B6 * IFERROR(VLOOKUP("electricity|SO2|Asthma symptoms cough", US_national_yearly!$D:$AM, 34, FALSE) / VLOOKUP("electricity|SO2|Asthma symptoms cough", US_national_yearly!$D:$AM, 10, FALSE), 1)</f>
        <v>2.6811070160938496E-3</v>
      </c>
      <c r="AA6" s="7">
        <f>$B6 * IFERROR(VLOOKUP("electricity|SO2|Asthma symptoms cough", US_national_yearly!$D:$AM, 35, FALSE) / VLOOKUP("electricity|SO2|Asthma symptoms cough", US_national_yearly!$D:$AM, 10, FALSE), 1)</f>
        <v>2.6811070160938496E-3</v>
      </c>
      <c r="AB6" s="7">
        <f>$B6 * IFERROR(VLOOKUP("electricity|SO2|Asthma symptoms cough", US_national_yearly!$D:$AM, 36, FALSE) / VLOOKUP("electricity|SO2|Asthma symptoms cough", US_national_yearly!$D:$AM, 10, FALSE), 1)</f>
        <v>2.6811070160938496E-3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3.6104975879126125E-3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3.6104975879126125E-3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3.6104975879126125E-3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3.6104975879126125E-3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3.6104975879126125E-3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3.6104975879126125E-3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3.6104975879126125E-3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3.6104975879126125E-3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3.6104975879126125E-3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3.6104975879126125E-3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3.6104975879126125E-3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3.6104975879126125E-3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3.6104975879126125E-3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3.6104975879126125E-3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3.6104975879126125E-3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3.6104975879126125E-3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3.6104975879126125E-3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3.6104975879126125E-3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3.6104975879126125E-3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3.6104975879126125E-3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3.6104975879126125E-3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3.6104975879126125E-3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3.6104975879126125E-3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3.6104975879126125E-3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3.6104975879126125E-3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3.6104975879126125E-3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3.6104975879126125E-3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5.516235727825781E-3</v>
      </c>
      <c r="C8" s="7">
        <f>$B8 * IFERROR(VLOOKUP("electricity|SO2|Asthma symptoms wheeze", US_national_yearly!$D:$AM, 11, FALSE) / VLOOKUP("electricity|SO2|Asthma symptoms wheeze", US_national_yearly!$D:$AM, 10, FALSE), 1)</f>
        <v>5.516235727825781E-3</v>
      </c>
      <c r="D8" s="7">
        <f>$B8 * IFERROR(VLOOKUP("electricity|SO2|Asthma symptoms wheeze", US_national_yearly!$D:$AM, 12, FALSE) / VLOOKUP("electricity|SO2|Asthma symptoms wheeze", US_national_yearly!$D:$AM, 10, FALSE), 1)</f>
        <v>5.516235727825781E-3</v>
      </c>
      <c r="E8" s="7">
        <f>$B8 * IFERROR(VLOOKUP("electricity|SO2|Asthma symptoms wheeze", US_national_yearly!$D:$AM, 13, FALSE) / VLOOKUP("electricity|SO2|Asthma symptoms wheeze", US_national_yearly!$D:$AM, 10, FALSE), 1)</f>
        <v>5.516235727825781E-3</v>
      </c>
      <c r="F8" s="7">
        <f>$B8 * IFERROR(VLOOKUP("electricity|SO2|Asthma symptoms wheeze", US_national_yearly!$D:$AM, 14, FALSE) / VLOOKUP("electricity|SO2|Asthma symptoms wheeze", US_national_yearly!$D:$AM, 10, FALSE), 1)</f>
        <v>5.516235727825781E-3</v>
      </c>
      <c r="G8" s="7">
        <f>$B8 * IFERROR(VLOOKUP("electricity|SO2|Asthma symptoms wheeze", US_national_yearly!$D:$AM, 15, FALSE) / VLOOKUP("electricity|SO2|Asthma symptoms wheeze", US_national_yearly!$D:$AM, 10, FALSE), 1)</f>
        <v>5.516235727825781E-3</v>
      </c>
      <c r="H8" s="7">
        <f>$B8 * IFERROR(VLOOKUP("electricity|SO2|Asthma symptoms wheeze", US_national_yearly!$D:$AM, 16, FALSE) / VLOOKUP("electricity|SO2|Asthma symptoms wheeze", US_national_yearly!$D:$AM, 10, FALSE), 1)</f>
        <v>5.516235727825781E-3</v>
      </c>
      <c r="I8" s="7">
        <f>$B8 * IFERROR(VLOOKUP("electricity|SO2|Asthma symptoms wheeze", US_national_yearly!$D:$AM, 17, FALSE) / VLOOKUP("electricity|SO2|Asthma symptoms wheeze", US_national_yearly!$D:$AM, 10, FALSE), 1)</f>
        <v>5.516235727825781E-3</v>
      </c>
      <c r="J8" s="7">
        <f>$B8 * IFERROR(VLOOKUP("electricity|SO2|Asthma symptoms wheeze", US_national_yearly!$D:$AM, 18, FALSE) / VLOOKUP("electricity|SO2|Asthma symptoms wheeze", US_national_yearly!$D:$AM, 10, FALSE), 1)</f>
        <v>5.516235727825781E-3</v>
      </c>
      <c r="K8" s="7">
        <f>$B8 * IFERROR(VLOOKUP("electricity|SO2|Asthma symptoms wheeze", US_national_yearly!$D:$AM, 19, FALSE) / VLOOKUP("electricity|SO2|Asthma symptoms wheeze", US_national_yearly!$D:$AM, 10, FALSE), 1)</f>
        <v>5.516235727825781E-3</v>
      </c>
      <c r="L8" s="7">
        <f>$B8 * IFERROR(VLOOKUP("electricity|SO2|Asthma symptoms wheeze", US_national_yearly!$D:$AM, 20, FALSE) / VLOOKUP("electricity|SO2|Asthma symptoms wheeze", US_national_yearly!$D:$AM, 10, FALSE), 1)</f>
        <v>5.516235727825781E-3</v>
      </c>
      <c r="M8" s="7">
        <f>$B8 * IFERROR(VLOOKUP("electricity|SO2|Asthma symptoms wheeze", US_national_yearly!$D:$AM, 21, FALSE) / VLOOKUP("electricity|SO2|Asthma symptoms wheeze", US_national_yearly!$D:$AM, 10, FALSE), 1)</f>
        <v>5.516235727825781E-3</v>
      </c>
      <c r="N8" s="7">
        <f>$B8 * IFERROR(VLOOKUP("electricity|SO2|Asthma symptoms wheeze", US_national_yearly!$D:$AM, 22, FALSE) / VLOOKUP("electricity|SO2|Asthma symptoms wheeze", US_national_yearly!$D:$AM, 10, FALSE), 1)</f>
        <v>5.516235727825781E-3</v>
      </c>
      <c r="O8" s="7">
        <f>$B8 * IFERROR(VLOOKUP("electricity|SO2|Asthma symptoms wheeze", US_national_yearly!$D:$AM, 23, FALSE) / VLOOKUP("electricity|SO2|Asthma symptoms wheeze", US_national_yearly!$D:$AM, 10, FALSE), 1)</f>
        <v>5.516235727825781E-3</v>
      </c>
      <c r="P8" s="7">
        <f>$B8 * IFERROR(VLOOKUP("electricity|SO2|Asthma symptoms wheeze", US_national_yearly!$D:$AM, 24, FALSE) / VLOOKUP("electricity|SO2|Asthma symptoms wheeze", US_national_yearly!$D:$AM, 10, FALSE), 1)</f>
        <v>5.516235727825781E-3</v>
      </c>
      <c r="Q8" s="7">
        <f>$B8 * IFERROR(VLOOKUP("electricity|SO2|Asthma symptoms wheeze", US_national_yearly!$D:$AM, 25, FALSE) / VLOOKUP("electricity|SO2|Asthma symptoms wheeze", US_national_yearly!$D:$AM, 10, FALSE), 1)</f>
        <v>5.516235727825781E-3</v>
      </c>
      <c r="R8" s="7">
        <f>$B8 * IFERROR(VLOOKUP("electricity|SO2|Asthma symptoms wheeze", US_national_yearly!$D:$AM, 26, FALSE) / VLOOKUP("electricity|SO2|Asthma symptoms wheeze", US_national_yearly!$D:$AM, 10, FALSE), 1)</f>
        <v>5.516235727825781E-3</v>
      </c>
      <c r="S8" s="7">
        <f>$B8 * IFERROR(VLOOKUP("electricity|SO2|Asthma symptoms wheeze", US_national_yearly!$D:$AM, 27, FALSE) / VLOOKUP("electricity|SO2|Asthma symptoms wheeze", US_national_yearly!$D:$AM, 10, FALSE), 1)</f>
        <v>5.516235727825781E-3</v>
      </c>
      <c r="T8" s="7">
        <f>$B8 * IFERROR(VLOOKUP("electricity|SO2|Asthma symptoms wheeze", US_national_yearly!$D:$AM, 28, FALSE) / VLOOKUP("electricity|SO2|Asthma symptoms wheeze", US_national_yearly!$D:$AM, 10, FALSE), 1)</f>
        <v>5.516235727825781E-3</v>
      </c>
      <c r="U8" s="7">
        <f>$B8 * IFERROR(VLOOKUP("electricity|SO2|Asthma symptoms wheeze", US_national_yearly!$D:$AM, 29, FALSE) / VLOOKUP("electricity|SO2|Asthma symptoms wheeze", US_national_yearly!$D:$AM, 10, FALSE), 1)</f>
        <v>5.516235727825781E-3</v>
      </c>
      <c r="V8" s="7">
        <f>$B8 * IFERROR(VLOOKUP("electricity|SO2|Asthma symptoms wheeze", US_national_yearly!$D:$AM, 30, FALSE) / VLOOKUP("electricity|SO2|Asthma symptoms wheeze", US_national_yearly!$D:$AM, 10, FALSE), 1)</f>
        <v>5.516235727825781E-3</v>
      </c>
      <c r="W8" s="7">
        <f>$B8 * IFERROR(VLOOKUP("electricity|SO2|Asthma symptoms wheeze", US_national_yearly!$D:$AM, 31, FALSE) / VLOOKUP("electricity|SO2|Asthma symptoms wheeze", US_national_yearly!$D:$AM, 10, FALSE), 1)</f>
        <v>5.516235727825781E-3</v>
      </c>
      <c r="X8" s="7">
        <f>$B8 * IFERROR(VLOOKUP("electricity|SO2|Asthma symptoms wheeze", US_national_yearly!$D:$AM, 32, FALSE) / VLOOKUP("electricity|SO2|Asthma symptoms wheeze", US_national_yearly!$D:$AM, 10, FALSE), 1)</f>
        <v>5.516235727825781E-3</v>
      </c>
      <c r="Y8" s="7">
        <f>$B8 * IFERROR(VLOOKUP("electricity|SO2|Asthma symptoms wheeze", US_national_yearly!$D:$AM, 33, FALSE) / VLOOKUP("electricity|SO2|Asthma symptoms wheeze", US_national_yearly!$D:$AM, 10, FALSE), 1)</f>
        <v>5.516235727825781E-3</v>
      </c>
      <c r="Z8" s="7">
        <f>$B8 * IFERROR(VLOOKUP("electricity|SO2|Asthma symptoms wheeze", US_national_yearly!$D:$AM, 34, FALSE) / VLOOKUP("electricity|SO2|Asthma symptoms wheeze", US_national_yearly!$D:$AM, 10, FALSE), 1)</f>
        <v>5.516235727825781E-3</v>
      </c>
      <c r="AA8" s="7">
        <f>$B8 * IFERROR(VLOOKUP("electricity|SO2|Asthma symptoms wheeze", US_national_yearly!$D:$AM, 35, FALSE) / VLOOKUP("electricity|SO2|Asthma symptoms wheeze", US_national_yearly!$D:$AM, 10, FALSE), 1)</f>
        <v>5.516235727825781E-3</v>
      </c>
      <c r="AB8" s="7">
        <f>$B8 * IFERROR(VLOOKUP("electricity|SO2|Asthma symptoms wheeze", US_national_yearly!$D:$AM, 36, FALSE) / VLOOKUP("electricity|SO2|Asthma symptoms wheeze", US_national_yearly!$D:$AM, 10, FALSE), 1)</f>
        <v>5.516235727825781E-3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6.0305562053088959E-5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6.0660739555842265E-5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6.1015917058595584E-5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6.1371094561348896E-5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6.1726272064102216E-5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6.2113307413052608E-5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6.2500342762003013E-5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6.287267642391092E-5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6.3245010085818853E-5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6.3617343747726787E-5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6.3989677409634707E-5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6.436201107154264E-5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6.4629071263606365E-5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6.4896131455670104E-5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6.5163191647733828E-5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6.5430251839797553E-5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6.5697312031861291E-5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6.5949377542131647E-5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6.6201443052402002E-5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6.6453508562672357E-5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6.6705574072942713E-5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6.6957639583213081E-5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6.7199452818078408E-5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6.7441266052943775E-5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6.7683079287809143E-5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6.7924892522674483E-5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6.8166705757539836E-5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4.1595152642872745E-4</v>
      </c>
      <c r="C13" s="7">
        <f>$B13 * IFERROR(VLOOKUP("electricity|SO2|Non-fatal heart attacks", US_national_yearly!$D:$AM, 11, FALSE) / VLOOKUP("electricity|SO2|Non-fatal heart attacks", US_national_yearly!$D:$AM, 10, FALSE), 1)</f>
        <v>4.2820361553128707E-4</v>
      </c>
      <c r="D13" s="7">
        <f>$B13 * IFERROR(VLOOKUP("electricity|SO2|Non-fatal heart attacks", US_national_yearly!$D:$AM, 12, FALSE) / VLOOKUP("electricity|SO2|Non-fatal heart attacks", US_national_yearly!$D:$AM, 10, FALSE), 1)</f>
        <v>4.4045570463384647E-4</v>
      </c>
      <c r="E13" s="7">
        <f>$B13 * IFERROR(VLOOKUP("electricity|SO2|Non-fatal heart attacks", US_national_yearly!$D:$AM, 13, FALSE) / VLOOKUP("electricity|SO2|Non-fatal heart attacks", US_national_yearly!$D:$AM, 10, FALSE), 1)</f>
        <v>4.5270779373640608E-4</v>
      </c>
      <c r="F13" s="7">
        <f>$B13 * IFERROR(VLOOKUP("electricity|SO2|Non-fatal heart attacks", US_national_yearly!$D:$AM, 14, FALSE) / VLOOKUP("electricity|SO2|Non-fatal heart attacks", US_national_yearly!$D:$AM, 10, FALSE), 1)</f>
        <v>4.6495988283896559E-4</v>
      </c>
      <c r="G13" s="7">
        <f>$B13 * IFERROR(VLOOKUP("electricity|SO2|Non-fatal heart attacks", US_national_yearly!$D:$AM, 15, FALSE) / VLOOKUP("electricity|SO2|Non-fatal heart attacks", US_national_yearly!$D:$AM, 10, FALSE), 1)</f>
        <v>4.7658748299750413E-4</v>
      </c>
      <c r="H13" s="7">
        <f>$B13 * IFERROR(VLOOKUP("electricity|SO2|Non-fatal heart attacks", US_national_yearly!$D:$AM, 16, FALSE) / VLOOKUP("electricity|SO2|Non-fatal heart attacks", US_national_yearly!$D:$AM, 10, FALSE), 1)</f>
        <v>4.8821508315604278E-4</v>
      </c>
      <c r="I13" s="7">
        <f>$B13 * IFERROR(VLOOKUP("electricity|SO2|Non-fatal heart attacks", US_national_yearly!$D:$AM, 17, FALSE) / VLOOKUP("electricity|SO2|Non-fatal heart attacks", US_national_yearly!$D:$AM, 10, FALSE), 1)</f>
        <v>4.9768443256945115E-4</v>
      </c>
      <c r="J13" s="7">
        <f>$B13 * IFERROR(VLOOKUP("electricity|SO2|Non-fatal heart attacks", US_national_yearly!$D:$AM, 18, FALSE) / VLOOKUP("electricity|SO2|Non-fatal heart attacks", US_national_yearly!$D:$AM, 10, FALSE), 1)</f>
        <v>5.0715378198285942E-4</v>
      </c>
      <c r="K13" s="7">
        <f>$B13 * IFERROR(VLOOKUP("electricity|SO2|Non-fatal heart attacks", US_national_yearly!$D:$AM, 19, FALSE) / VLOOKUP("electricity|SO2|Non-fatal heart attacks", US_national_yearly!$D:$AM, 10, FALSE), 1)</f>
        <v>5.166231313962678E-4</v>
      </c>
      <c r="L13" s="7">
        <f>$B13 * IFERROR(VLOOKUP("electricity|SO2|Non-fatal heart attacks", US_national_yearly!$D:$AM, 20, FALSE) / VLOOKUP("electricity|SO2|Non-fatal heart attacks", US_national_yearly!$D:$AM, 10, FALSE), 1)</f>
        <v>5.2609248080967607E-4</v>
      </c>
      <c r="M13" s="7">
        <f>$B13 * IFERROR(VLOOKUP("electricity|SO2|Non-fatal heart attacks", US_national_yearly!$D:$AM, 21, FALSE) / VLOOKUP("electricity|SO2|Non-fatal heart attacks", US_national_yearly!$D:$AM, 10, FALSE), 1)</f>
        <v>5.3556183022308444E-4</v>
      </c>
      <c r="N13" s="7">
        <f>$B13 * IFERROR(VLOOKUP("electricity|SO2|Non-fatal heart attacks", US_national_yearly!$D:$AM, 22, FALSE) / VLOOKUP("electricity|SO2|Non-fatal heart attacks", US_national_yearly!$D:$AM, 10, FALSE), 1)</f>
        <v>5.4180642035896761E-4</v>
      </c>
      <c r="O13" s="7">
        <f>$B13 * IFERROR(VLOOKUP("electricity|SO2|Non-fatal heart attacks", US_national_yearly!$D:$AM, 23, FALSE) / VLOOKUP("electricity|SO2|Non-fatal heart attacks", US_national_yearly!$D:$AM, 10, FALSE), 1)</f>
        <v>5.4805101049485057E-4</v>
      </c>
      <c r="P13" s="7">
        <f>$B13 * IFERROR(VLOOKUP("electricity|SO2|Non-fatal heart attacks", US_national_yearly!$D:$AM, 24, FALSE) / VLOOKUP("electricity|SO2|Non-fatal heart attacks", US_national_yearly!$D:$AM, 10, FALSE), 1)</f>
        <v>5.5429560063073363E-4</v>
      </c>
      <c r="Q13" s="7">
        <f>$B13 * IFERROR(VLOOKUP("electricity|SO2|Non-fatal heart attacks", US_national_yearly!$D:$AM, 25, FALSE) / VLOOKUP("electricity|SO2|Non-fatal heart attacks", US_national_yearly!$D:$AM, 10, FALSE), 1)</f>
        <v>5.605401907666168E-4</v>
      </c>
      <c r="R13" s="7">
        <f>$B13 * IFERROR(VLOOKUP("electricity|SO2|Non-fatal heart attacks", US_national_yearly!$D:$AM, 26, FALSE) / VLOOKUP("electricity|SO2|Non-fatal heart attacks", US_national_yearly!$D:$AM, 10, FALSE), 1)</f>
        <v>5.6678478090249986E-4</v>
      </c>
      <c r="S13" s="7">
        <f>$B13 * IFERROR(VLOOKUP("electricity|SO2|Non-fatal heart attacks", US_national_yearly!$D:$AM, 27, FALSE) / VLOOKUP("electricity|SO2|Non-fatal heart attacks", US_national_yearly!$D:$AM, 10, FALSE), 1)</f>
        <v>5.7018293825177935E-4</v>
      </c>
      <c r="T13" s="7">
        <f>$B13 * IFERROR(VLOOKUP("electricity|SO2|Non-fatal heart attacks", US_national_yearly!$D:$AM, 28, FALSE) / VLOOKUP("electricity|SO2|Non-fatal heart attacks", US_national_yearly!$D:$AM, 10, FALSE), 1)</f>
        <v>5.7358109560105895E-4</v>
      </c>
      <c r="U13" s="7">
        <f>$B13 * IFERROR(VLOOKUP("electricity|SO2|Non-fatal heart attacks", US_national_yearly!$D:$AM, 29, FALSE) / VLOOKUP("electricity|SO2|Non-fatal heart attacks", US_national_yearly!$D:$AM, 10, FALSE), 1)</f>
        <v>5.7697925295033855E-4</v>
      </c>
      <c r="V13" s="7">
        <f>$B13 * IFERROR(VLOOKUP("electricity|SO2|Non-fatal heart attacks", US_national_yearly!$D:$AM, 30, FALSE) / VLOOKUP("electricity|SO2|Non-fatal heart attacks", US_national_yearly!$D:$AM, 10, FALSE), 1)</f>
        <v>5.8037741029961793E-4</v>
      </c>
      <c r="W13" s="7">
        <f>$B13 * IFERROR(VLOOKUP("electricity|SO2|Non-fatal heart attacks", US_national_yearly!$D:$AM, 31, FALSE) / VLOOKUP("electricity|SO2|Non-fatal heart attacks", US_national_yearly!$D:$AM, 10, FALSE), 1)</f>
        <v>5.8377556764889753E-4</v>
      </c>
      <c r="X13" s="7">
        <f>$B13 * IFERROR(VLOOKUP("electricity|SO2|Non-fatal heart attacks", US_national_yearly!$D:$AM, 32, FALSE) / VLOOKUP("electricity|SO2|Non-fatal heart attacks", US_national_yearly!$D:$AM, 10, FALSE), 1)</f>
        <v>5.8638591980164634E-4</v>
      </c>
      <c r="Y13" s="7">
        <f>$B13 * IFERROR(VLOOKUP("electricity|SO2|Non-fatal heart attacks", US_national_yearly!$D:$AM, 33, FALSE) / VLOOKUP("electricity|SO2|Non-fatal heart attacks", US_national_yearly!$D:$AM, 10, FALSE), 1)</f>
        <v>5.8899627195439525E-4</v>
      </c>
      <c r="Z13" s="7">
        <f>$B13 * IFERROR(VLOOKUP("electricity|SO2|Non-fatal heart attacks", US_national_yearly!$D:$AM, 34, FALSE) / VLOOKUP("electricity|SO2|Non-fatal heart attacks", US_national_yearly!$D:$AM, 10, FALSE), 1)</f>
        <v>5.9160662410714406E-4</v>
      </c>
      <c r="AA13" s="7">
        <f>$B13 * IFERROR(VLOOKUP("electricity|SO2|Non-fatal heart attacks", US_national_yearly!$D:$AM, 35, FALSE) / VLOOKUP("electricity|SO2|Non-fatal heart attacks", US_national_yearly!$D:$AM, 10, FALSE), 1)</f>
        <v>5.9421697625989286E-4</v>
      </c>
      <c r="AB13" s="7">
        <f>$B13 * IFERROR(VLOOKUP("electricity|SO2|Non-fatal heart attacks", US_national_yearly!$D:$AM, 36, FALSE) / VLOOKUP("electricity|SO2|Non-fatal heart attacks", US_national_yearly!$D:$AM, 10, FALSE), 1)</f>
        <v>5.9682732841264167E-4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0.32463588436557334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0.32545167881322712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0.32626747326088085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0.32708326770853469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0.32789906215618836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0.32907770876361858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0.3302563553710488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0.33227782504819148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0.33429929472533421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0.33632076440247688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0.33834223407961966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0.34036370375676234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0.34314755949831532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0.34593141523986826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0.34871527098142119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0.35149912672297423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0.35428298246452716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0.35713687349842366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0.35999076453232021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0.36284465556621665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0.36569854660011319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0.36855243763400969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0.37106354896468491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0.37357466029536002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0.37608577162603518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0.3785968829567104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0.38110799428738551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5.4965653058957079E-2</v>
      </c>
      <c r="C15" s="7">
        <f>$B15 * IFERROR(VLOOKUP("electricity|SO2|Work loss days", US_national_yearly!$D:$AM, 11, FALSE) / VLOOKUP("electricity|SO2|Work loss days", US_national_yearly!$D:$AM, 10, FALSE), 1)</f>
        <v>5.5143633505897682E-2</v>
      </c>
      <c r="D15" s="7">
        <f>$B15 * IFERROR(VLOOKUP("electricity|SO2|Work loss days", US_national_yearly!$D:$AM, 12, FALSE) / VLOOKUP("electricity|SO2|Work loss days", US_national_yearly!$D:$AM, 10, FALSE), 1)</f>
        <v>5.5321613952838286E-2</v>
      </c>
      <c r="E15" s="7">
        <f>$B15 * IFERROR(VLOOKUP("electricity|SO2|Work loss days", US_national_yearly!$D:$AM, 13, FALSE) / VLOOKUP("electricity|SO2|Work loss days", US_national_yearly!$D:$AM, 10, FALSE), 1)</f>
        <v>5.5499594399778904E-2</v>
      </c>
      <c r="F15" s="7">
        <f>$B15 * IFERROR(VLOOKUP("electricity|SO2|Work loss days", US_national_yearly!$D:$AM, 14, FALSE) / VLOOKUP("electricity|SO2|Work loss days", US_national_yearly!$D:$AM, 10, FALSE), 1)</f>
        <v>5.5677574846719508E-2</v>
      </c>
      <c r="G15" s="7">
        <f>$B15 * IFERROR(VLOOKUP("electricity|SO2|Work loss days", US_national_yearly!$D:$AM, 15, FALSE) / VLOOKUP("electricity|SO2|Work loss days", US_national_yearly!$D:$AM, 10, FALSE), 1)</f>
        <v>5.590557882762167E-2</v>
      </c>
      <c r="H15" s="7">
        <f>$B15 * IFERROR(VLOOKUP("electricity|SO2|Work loss days", US_national_yearly!$D:$AM, 16, FALSE) / VLOOKUP("electricity|SO2|Work loss days", US_national_yearly!$D:$AM, 10, FALSE), 1)</f>
        <v>5.6133582808523826E-2</v>
      </c>
      <c r="I15" s="7">
        <f>$B15 * IFERROR(VLOOKUP("electricity|SO2|Work loss days", US_national_yearly!$D:$AM, 17, FALSE) / VLOOKUP("electricity|SO2|Work loss days", US_national_yearly!$D:$AM, 10, FALSE), 1)</f>
        <v>5.6467179452477374E-2</v>
      </c>
      <c r="J15" s="7">
        <f>$B15 * IFERROR(VLOOKUP("electricity|SO2|Work loss days", US_national_yearly!$D:$AM, 18, FALSE) / VLOOKUP("electricity|SO2|Work loss days", US_national_yearly!$D:$AM, 10, FALSE), 1)</f>
        <v>5.6800776096430909E-2</v>
      </c>
      <c r="K15" s="7">
        <f>$B15 * IFERROR(VLOOKUP("electricity|SO2|Work loss days", US_national_yearly!$D:$AM, 19, FALSE) / VLOOKUP("electricity|SO2|Work loss days", US_national_yearly!$D:$AM, 10, FALSE), 1)</f>
        <v>5.7134372740384472E-2</v>
      </c>
      <c r="L15" s="7">
        <f>$B15 * IFERROR(VLOOKUP("electricity|SO2|Work loss days", US_national_yearly!$D:$AM, 20, FALSE) / VLOOKUP("electricity|SO2|Work loss days", US_national_yearly!$D:$AM, 10, FALSE), 1)</f>
        <v>5.7467969384338007E-2</v>
      </c>
      <c r="M15" s="7">
        <f>$B15 * IFERROR(VLOOKUP("electricity|SO2|Work loss days", US_national_yearly!$D:$AM, 21, FALSE) / VLOOKUP("electricity|SO2|Work loss days", US_national_yearly!$D:$AM, 10, FALSE), 1)</f>
        <v>5.7801566028291569E-2</v>
      </c>
      <c r="N15" s="7">
        <f>$B15 * IFERROR(VLOOKUP("electricity|SO2|Work loss days", US_national_yearly!$D:$AM, 22, FALSE) / VLOOKUP("electricity|SO2|Work loss days", US_national_yearly!$D:$AM, 10, FALSE), 1)</f>
        <v>5.8223648746456962E-2</v>
      </c>
      <c r="O15" s="7">
        <f>$B15 * IFERROR(VLOOKUP("electricity|SO2|Work loss days", US_national_yearly!$D:$AM, 23, FALSE) / VLOOKUP("electricity|SO2|Work loss days", US_national_yearly!$D:$AM, 10, FALSE), 1)</f>
        <v>5.8645731464622368E-2</v>
      </c>
      <c r="P15" s="7">
        <f>$B15 * IFERROR(VLOOKUP("electricity|SO2|Work loss days", US_national_yearly!$D:$AM, 24, FALSE) / VLOOKUP("electricity|SO2|Work loss days", US_national_yearly!$D:$AM, 10, FALSE), 1)</f>
        <v>5.9067814182787767E-2</v>
      </c>
      <c r="Q15" s="7">
        <f>$B15 * IFERROR(VLOOKUP("electricity|SO2|Work loss days", US_national_yearly!$D:$AM, 25, FALSE) / VLOOKUP("electricity|SO2|Work loss days", US_national_yearly!$D:$AM, 10, FALSE), 1)</f>
        <v>5.948989690095316E-2</v>
      </c>
      <c r="R15" s="7">
        <f>$B15 * IFERROR(VLOOKUP("electricity|SO2|Work loss days", US_national_yearly!$D:$AM, 26, FALSE) / VLOOKUP("electricity|SO2|Work loss days", US_national_yearly!$D:$AM, 10, FALSE), 1)</f>
        <v>5.9911979619118566E-2</v>
      </c>
      <c r="S15" s="7">
        <f>$B15 * IFERROR(VLOOKUP("electricity|SO2|Work loss days", US_national_yearly!$D:$AM, 27, FALSE) / VLOOKUP("electricity|SO2|Work loss days", US_national_yearly!$D:$AM, 10, FALSE), 1)</f>
        <v>6.0385173733701704E-2</v>
      </c>
      <c r="T15" s="7">
        <f>$B15 * IFERROR(VLOOKUP("electricity|SO2|Work loss days", US_national_yearly!$D:$AM, 28, FALSE) / VLOOKUP("electricity|SO2|Work loss days", US_national_yearly!$D:$AM, 10, FALSE), 1)</f>
        <v>6.0858367848284856E-2</v>
      </c>
      <c r="U15" s="7">
        <f>$B15 * IFERROR(VLOOKUP("electricity|SO2|Work loss days", US_national_yearly!$D:$AM, 29, FALSE) / VLOOKUP("electricity|SO2|Work loss days", US_national_yearly!$D:$AM, 10, FALSE), 1)</f>
        <v>6.1331561962868007E-2</v>
      </c>
      <c r="V15" s="7">
        <f>$B15 * IFERROR(VLOOKUP("electricity|SO2|Work loss days", US_national_yearly!$D:$AM, 30, FALSE) / VLOOKUP("electricity|SO2|Work loss days", US_national_yearly!$D:$AM, 10, FALSE), 1)</f>
        <v>6.1804756077451159E-2</v>
      </c>
      <c r="W15" s="7">
        <f>$B15 * IFERROR(VLOOKUP("electricity|SO2|Work loss days", US_national_yearly!$D:$AM, 31, FALSE) / VLOOKUP("electricity|SO2|Work loss days", US_national_yearly!$D:$AM, 10, FALSE), 1)</f>
        <v>6.2277950192034311E-2</v>
      </c>
      <c r="X15" s="7">
        <f>$B15 * IFERROR(VLOOKUP("electricity|SO2|Work loss days", US_national_yearly!$D:$AM, 32, FALSE) / VLOOKUP("electricity|SO2|Work loss days", US_national_yearly!$D:$AM, 10, FALSE), 1)</f>
        <v>6.2704251287596408E-2</v>
      </c>
      <c r="Y15" s="7">
        <f>$B15 * IFERROR(VLOOKUP("electricity|SO2|Work loss days", US_national_yearly!$D:$AM, 33, FALSE) / VLOOKUP("electricity|SO2|Work loss days", US_national_yearly!$D:$AM, 10, FALSE), 1)</f>
        <v>6.3130552383158511E-2</v>
      </c>
      <c r="Z15" s="7">
        <f>$B15 * IFERROR(VLOOKUP("electricity|SO2|Work loss days", US_national_yearly!$D:$AM, 34, FALSE) / VLOOKUP("electricity|SO2|Work loss days", US_national_yearly!$D:$AM, 10, FALSE), 1)</f>
        <v>6.3556853478720587E-2</v>
      </c>
      <c r="AA15" s="7">
        <f>$B15 * IFERROR(VLOOKUP("electricity|SO2|Work loss days", US_national_yearly!$D:$AM, 35, FALSE) / VLOOKUP("electricity|SO2|Work loss days", US_national_yearly!$D:$AM, 10, FALSE), 1)</f>
        <v>6.3983154574282691E-2</v>
      </c>
      <c r="AB15" s="7">
        <f>$B15 * IFERROR(VLOOKUP("electricity|SO2|Work loss days", US_national_yearly!$D:$AM, 36, FALSE) / VLOOKUP("electricity|SO2|Work loss days", US_national_yearly!$D:$AM, 10, FALSE), 1)</f>
        <v>6.4409455669844795E-2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8.7296180572113535E-5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8.9941497511292266E-5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9.2586814450470998E-5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9.5232131389649742E-5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9.7877448328828473E-5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1.00427365294502E-4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1.0297728226017553E-4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1.0518484875097684E-4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1.0739241524177813E-4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1.0959998173257942E-4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1.1180754822338068E-4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1.1401511471418199E-4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1.1552177295852469E-4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1.1702843120286739E-4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1.1853508944721014E-4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1.2004174769155283E-4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1.2154840593589554E-4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1.2237438358647066E-4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1.2320036123704571E-4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1.2402633888762083E-4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1.2485231653819591E-4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1.25678294188771E-4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1.2624845650138934E-4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1.2681861881400766E-4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1.2738878112662598E-4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1.2795894343924433E-4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1.2852910575186265E-4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1.7471700701569975E-2</v>
      </c>
      <c r="C2" s="7">
        <f>$B2 * IFERROR(VLOOKUP("buildings|PM25|Premature mortality", US_national_yearly!$D:$AM, 11, FALSE) / VLOOKUP("buildings|PM25|Premature mortality", US_national_yearly!$D:$AM, 10, FALSE), 1)</f>
        <v>1.7688468395433456E-2</v>
      </c>
      <c r="D2" s="7">
        <f>$B2 * IFERROR(VLOOKUP("buildings|PM25|Premature mortality", US_national_yearly!$D:$AM, 12, FALSE) / VLOOKUP("buildings|PM25|Premature mortality", US_national_yearly!$D:$AM, 10, FALSE), 1)</f>
        <v>1.7905236089296932E-2</v>
      </c>
      <c r="E2" s="7">
        <f>$B2 * IFERROR(VLOOKUP("buildings|PM25|Premature mortality", US_national_yearly!$D:$AM, 13, FALSE) / VLOOKUP("buildings|PM25|Premature mortality", US_national_yearly!$D:$AM, 10, FALSE), 1)</f>
        <v>1.8122003783160413E-2</v>
      </c>
      <c r="F2" s="7">
        <f>$B2 * IFERROR(VLOOKUP("buildings|PM25|Premature mortality", US_national_yearly!$D:$AM, 14, FALSE) / VLOOKUP("buildings|PM25|Premature mortality", US_national_yearly!$D:$AM, 10, FALSE), 1)</f>
        <v>1.8338771477023893E-2</v>
      </c>
      <c r="G2" s="7">
        <f>$B2 * IFERROR(VLOOKUP("buildings|PM25|Premature mortality", US_national_yearly!$D:$AM, 15, FALSE) / VLOOKUP("buildings|PM25|Premature mortality", US_national_yearly!$D:$AM, 10, FALSE), 1)</f>
        <v>1.87608626297605E-2</v>
      </c>
      <c r="H2" s="7">
        <f>$B2 * IFERROR(VLOOKUP("buildings|PM25|Premature mortality", US_national_yearly!$D:$AM, 16, FALSE) / VLOOKUP("buildings|PM25|Premature mortality", US_national_yearly!$D:$AM, 10, FALSE), 1)</f>
        <v>1.9182953782497111E-2</v>
      </c>
      <c r="I2" s="7">
        <f>$B2 * IFERROR(VLOOKUP("buildings|PM25|Premature mortality", US_national_yearly!$D:$AM, 17, FALSE) / VLOOKUP("buildings|PM25|Premature mortality", US_national_yearly!$D:$AM, 10, FALSE), 1)</f>
        <v>1.9460555863538963E-2</v>
      </c>
      <c r="J2" s="7">
        <f>$B2 * IFERROR(VLOOKUP("buildings|PM25|Premature mortality", US_national_yearly!$D:$AM, 18, FALSE) / VLOOKUP("buildings|PM25|Premature mortality", US_national_yearly!$D:$AM, 10, FALSE), 1)</f>
        <v>1.9738157944580816E-2</v>
      </c>
      <c r="K2" s="7">
        <f>$B2 * IFERROR(VLOOKUP("buildings|PM25|Premature mortality", US_national_yearly!$D:$AM, 19, FALSE) / VLOOKUP("buildings|PM25|Premature mortality", US_national_yearly!$D:$AM, 10, FALSE), 1)</f>
        <v>2.0015760025622671E-2</v>
      </c>
      <c r="L2" s="7">
        <f>$B2 * IFERROR(VLOOKUP("buildings|PM25|Premature mortality", US_national_yearly!$D:$AM, 20, FALSE) / VLOOKUP("buildings|PM25|Premature mortality", US_national_yearly!$D:$AM, 10, FALSE), 1)</f>
        <v>2.0293362106664523E-2</v>
      </c>
      <c r="M2" s="7">
        <f>$B2 * IFERROR(VLOOKUP("buildings|PM25|Premature mortality", US_national_yearly!$D:$AM, 21, FALSE) / VLOOKUP("buildings|PM25|Premature mortality", US_national_yearly!$D:$AM, 10, FALSE), 1)</f>
        <v>2.0570964187706375E-2</v>
      </c>
      <c r="N2" s="7">
        <f>$B2 * IFERROR(VLOOKUP("buildings|PM25|Premature mortality", US_national_yearly!$D:$AM, 22, FALSE) / VLOOKUP("buildings|PM25|Premature mortality", US_national_yearly!$D:$AM, 10, FALSE), 1)</f>
        <v>2.0786830658914769E-2</v>
      </c>
      <c r="O2" s="7">
        <f>$B2 * IFERROR(VLOOKUP("buildings|PM25|Premature mortality", US_national_yearly!$D:$AM, 23, FALSE) / VLOOKUP("buildings|PM25|Premature mortality", US_national_yearly!$D:$AM, 10, FALSE), 1)</f>
        <v>2.1002697130123166E-2</v>
      </c>
      <c r="P2" s="7">
        <f>$B2 * IFERROR(VLOOKUP("buildings|PM25|Premature mortality", US_national_yearly!$D:$AM, 24, FALSE) / VLOOKUP("buildings|PM25|Premature mortality", US_national_yearly!$D:$AM, 10, FALSE), 1)</f>
        <v>2.121856360133156E-2</v>
      </c>
      <c r="Q2" s="7">
        <f>$B2 * IFERROR(VLOOKUP("buildings|PM25|Premature mortality", US_national_yearly!$D:$AM, 25, FALSE) / VLOOKUP("buildings|PM25|Premature mortality", US_national_yearly!$D:$AM, 10, FALSE), 1)</f>
        <v>2.1434430072539958E-2</v>
      </c>
      <c r="R2" s="7">
        <f>$B2 * IFERROR(VLOOKUP("buildings|PM25|Premature mortality", US_national_yearly!$D:$AM, 26, FALSE) / VLOOKUP("buildings|PM25|Premature mortality", US_national_yearly!$D:$AM, 10, FALSE), 1)</f>
        <v>2.1650296543748351E-2</v>
      </c>
      <c r="S2" s="7">
        <f>$B2 * IFERROR(VLOOKUP("buildings|PM25|Premature mortality", US_national_yearly!$D:$AM, 27, FALSE) / VLOOKUP("buildings|PM25|Premature mortality", US_national_yearly!$D:$AM, 10, FALSE), 1)</f>
        <v>2.1765031717370886E-2</v>
      </c>
      <c r="T2" s="7">
        <f>$B2 * IFERROR(VLOOKUP("buildings|PM25|Premature mortality", US_national_yearly!$D:$AM, 28, FALSE) / VLOOKUP("buildings|PM25|Premature mortality", US_national_yearly!$D:$AM, 10, FALSE), 1)</f>
        <v>2.187976689099342E-2</v>
      </c>
      <c r="U2" s="7">
        <f>$B2 * IFERROR(VLOOKUP("buildings|PM25|Premature mortality", US_national_yearly!$D:$AM, 29, FALSE) / VLOOKUP("buildings|PM25|Premature mortality", US_national_yearly!$D:$AM, 10, FALSE), 1)</f>
        <v>2.1994502064615958E-2</v>
      </c>
      <c r="V2" s="7">
        <f>$B2 * IFERROR(VLOOKUP("buildings|PM25|Premature mortality", US_national_yearly!$D:$AM, 30, FALSE) / VLOOKUP("buildings|PM25|Premature mortality", US_national_yearly!$D:$AM, 10, FALSE), 1)</f>
        <v>2.2109237238238492E-2</v>
      </c>
      <c r="W2" s="7">
        <f>$B2 * IFERROR(VLOOKUP("buildings|PM25|Premature mortality", US_national_yearly!$D:$AM, 31, FALSE) / VLOOKUP("buildings|PM25|Premature mortality", US_national_yearly!$D:$AM, 10, FALSE), 1)</f>
        <v>2.2223972411861026E-2</v>
      </c>
      <c r="X2" s="7">
        <f>$B2 * IFERROR(VLOOKUP("buildings|PM25|Premature mortality", US_national_yearly!$D:$AM, 32, FALSE) / VLOOKUP("buildings|PM25|Premature mortality", US_national_yearly!$D:$AM, 10, FALSE), 1)</f>
        <v>2.224456645441333E-2</v>
      </c>
      <c r="Y2" s="7">
        <f>$B2 * IFERROR(VLOOKUP("buildings|PM25|Premature mortality", US_national_yearly!$D:$AM, 33, FALSE) / VLOOKUP("buildings|PM25|Premature mortality", US_national_yearly!$D:$AM, 10, FALSE), 1)</f>
        <v>2.2265160496965631E-2</v>
      </c>
      <c r="Z2" s="7">
        <f>$B2 * IFERROR(VLOOKUP("buildings|PM25|Premature mortality", US_national_yearly!$D:$AM, 34, FALSE) / VLOOKUP("buildings|PM25|Premature mortality", US_national_yearly!$D:$AM, 10, FALSE), 1)</f>
        <v>2.2285754539517935E-2</v>
      </c>
      <c r="AA2" s="7">
        <f>$B2 * IFERROR(VLOOKUP("buildings|PM25|Premature mortality", US_national_yearly!$D:$AM, 35, FALSE) / VLOOKUP("buildings|PM25|Premature mortality", US_national_yearly!$D:$AM, 10, FALSE), 1)</f>
        <v>2.2306348582070243E-2</v>
      </c>
      <c r="AB2" s="7">
        <f>$B2 * IFERROR(VLOOKUP("buildings|PM25|Premature mortality", US_national_yearly!$D:$AM, 36, FALSE) / VLOOKUP("buildings|PM25|Premature mortality", US_national_yearly!$D:$AM, 10, FALSE), 1)</f>
        <v>2.2326942624622544E-2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3.0204144208184566E-5</v>
      </c>
      <c r="C3" s="7">
        <f>$B3 * IFERROR(VLOOKUP("buildings|PM25|Infant mortality", US_national_yearly!$D:$AM, 11, FALSE) / VLOOKUP("buildings|PM25|Infant mortality", US_national_yearly!$D:$AM, 10, FALSE), 1)</f>
        <v>2.9942527459554277E-5</v>
      </c>
      <c r="D3" s="7">
        <f>$B3 * IFERROR(VLOOKUP("buildings|PM25|Infant mortality", US_national_yearly!$D:$AM, 12, FALSE) / VLOOKUP("buildings|PM25|Infant mortality", US_national_yearly!$D:$AM, 10, FALSE), 1)</f>
        <v>2.9680910710923988E-5</v>
      </c>
      <c r="E3" s="7">
        <f>$B3 * IFERROR(VLOOKUP("buildings|PM25|Infant mortality", US_national_yearly!$D:$AM, 13, FALSE) / VLOOKUP("buildings|PM25|Infant mortality", US_national_yearly!$D:$AM, 10, FALSE), 1)</f>
        <v>2.9419293962293703E-5</v>
      </c>
      <c r="F3" s="7">
        <f>$B3 * IFERROR(VLOOKUP("buildings|PM25|Infant mortality", US_national_yearly!$D:$AM, 14, FALSE) / VLOOKUP("buildings|PM25|Infant mortality", US_national_yearly!$D:$AM, 10, FALSE), 1)</f>
        <v>2.9157677213663418E-5</v>
      </c>
      <c r="G3" s="7">
        <f>$B3 * IFERROR(VLOOKUP("buildings|PM25|Infant mortality", US_national_yearly!$D:$AM, 15, FALSE) / VLOOKUP("buildings|PM25|Infant mortality", US_national_yearly!$D:$AM, 10, FALSE), 1)</f>
        <v>1.9388797530605468E-5</v>
      </c>
      <c r="H3" s="7">
        <f>$B3 * IFERROR(VLOOKUP("buildings|PM25|Infant mortality", US_national_yearly!$D:$AM, 16, FALSE) / VLOOKUP("buildings|PM25|Infant mortality", US_national_yearly!$D:$AM, 10, FALSE), 1)</f>
        <v>9.6199178475475188E-6</v>
      </c>
      <c r="I3" s="7">
        <f>$B3 * IFERROR(VLOOKUP("buildings|PM25|Infant mortality", US_national_yearly!$D:$AM, 17, FALSE) / VLOOKUP("buildings|PM25|Infant mortality", US_national_yearly!$D:$AM, 10, FALSE), 1)</f>
        <v>9.5572305607175771E-6</v>
      </c>
      <c r="J3" s="7">
        <f>$B3 * IFERROR(VLOOKUP("buildings|PM25|Infant mortality", US_national_yearly!$D:$AM, 18, FALSE) / VLOOKUP("buildings|PM25|Infant mortality", US_national_yearly!$D:$AM, 10, FALSE), 1)</f>
        <v>9.4945432738876355E-6</v>
      </c>
      <c r="K3" s="7">
        <f>$B3 * IFERROR(VLOOKUP("buildings|PM25|Infant mortality", US_national_yearly!$D:$AM, 19, FALSE) / VLOOKUP("buildings|PM25|Infant mortality", US_national_yearly!$D:$AM, 10, FALSE), 1)</f>
        <v>9.4318559870576922E-6</v>
      </c>
      <c r="L3" s="7">
        <f>$B3 * IFERROR(VLOOKUP("buildings|PM25|Infant mortality", US_national_yearly!$D:$AM, 20, FALSE) / VLOOKUP("buildings|PM25|Infant mortality", US_national_yearly!$D:$AM, 10, FALSE), 1)</f>
        <v>9.3691687002277506E-6</v>
      </c>
      <c r="M3" s="7">
        <f>$B3 * IFERROR(VLOOKUP("buildings|PM25|Infant mortality", US_national_yearly!$D:$AM, 21, FALSE) / VLOOKUP("buildings|PM25|Infant mortality", US_national_yearly!$D:$AM, 10, FALSE), 1)</f>
        <v>9.306481413397809E-6</v>
      </c>
      <c r="N3" s="7">
        <f>$B3 * IFERROR(VLOOKUP("buildings|PM25|Infant mortality", US_national_yearly!$D:$AM, 22, FALSE) / VLOOKUP("buildings|PM25|Infant mortality", US_national_yearly!$D:$AM, 10, FALSE), 1)</f>
        <v>9.2672582470588366E-6</v>
      </c>
      <c r="O3" s="7">
        <f>$B3 * IFERROR(VLOOKUP("buildings|PM25|Infant mortality", US_national_yearly!$D:$AM, 23, FALSE) / VLOOKUP("buildings|PM25|Infant mortality", US_national_yearly!$D:$AM, 10, FALSE), 1)</f>
        <v>9.2280350807198643E-6</v>
      </c>
      <c r="P3" s="7">
        <f>$B3 * IFERROR(VLOOKUP("buildings|PM25|Infant mortality", US_national_yearly!$D:$AM, 24, FALSE) / VLOOKUP("buildings|PM25|Infant mortality", US_national_yearly!$D:$AM, 10, FALSE), 1)</f>
        <v>9.1888119143808919E-6</v>
      </c>
      <c r="Q3" s="7">
        <f>$B3 * IFERROR(VLOOKUP("buildings|PM25|Infant mortality", US_national_yearly!$D:$AM, 25, FALSE) / VLOOKUP("buildings|PM25|Infant mortality", US_national_yearly!$D:$AM, 10, FALSE), 1)</f>
        <v>9.1495887480419195E-6</v>
      </c>
      <c r="R3" s="7">
        <f>$B3 * IFERROR(VLOOKUP("buildings|PM25|Infant mortality", US_national_yearly!$D:$AM, 26, FALSE) / VLOOKUP("buildings|PM25|Infant mortality", US_national_yearly!$D:$AM, 10, FALSE), 1)</f>
        <v>9.1103655817029455E-6</v>
      </c>
      <c r="S3" s="7">
        <f>$B3 * IFERROR(VLOOKUP("buildings|PM25|Infant mortality", US_national_yearly!$D:$AM, 27, FALSE) / VLOOKUP("buildings|PM25|Infant mortality", US_national_yearly!$D:$AM, 10, FALSE), 1)</f>
        <v>9.061392761442554E-6</v>
      </c>
      <c r="T3" s="7">
        <f>$B3 * IFERROR(VLOOKUP("buildings|PM25|Infant mortality", US_national_yearly!$D:$AM, 28, FALSE) / VLOOKUP("buildings|PM25|Infant mortality", US_national_yearly!$D:$AM, 10, FALSE), 1)</f>
        <v>9.0124199411821626E-6</v>
      </c>
      <c r="U3" s="7">
        <f>$B3 * IFERROR(VLOOKUP("buildings|PM25|Infant mortality", US_national_yearly!$D:$AM, 29, FALSE) / VLOOKUP("buildings|PM25|Infant mortality", US_national_yearly!$D:$AM, 10, FALSE), 1)</f>
        <v>8.9634471209217678E-6</v>
      </c>
      <c r="V3" s="7">
        <f>$B3 * IFERROR(VLOOKUP("buildings|PM25|Infant mortality", US_national_yearly!$D:$AM, 30, FALSE) / VLOOKUP("buildings|PM25|Infant mortality", US_national_yearly!$D:$AM, 10, FALSE), 1)</f>
        <v>8.9144743006613763E-6</v>
      </c>
      <c r="W3" s="7">
        <f>$B3 * IFERROR(VLOOKUP("buildings|PM25|Infant mortality", US_national_yearly!$D:$AM, 31, FALSE) / VLOOKUP("buildings|PM25|Infant mortality", US_national_yearly!$D:$AM, 10, FALSE), 1)</f>
        <v>8.8655014804009832E-6</v>
      </c>
      <c r="X3" s="7">
        <f>$B3 * IFERROR(VLOOKUP("buildings|PM25|Infant mortality", US_national_yearly!$D:$AM, 32, FALSE) / VLOOKUP("buildings|PM25|Infant mortality", US_national_yearly!$D:$AM, 10, FALSE), 1)</f>
        <v>8.8127759339523441E-6</v>
      </c>
      <c r="Y3" s="7">
        <f>$B3 * IFERROR(VLOOKUP("buildings|PM25|Infant mortality", US_national_yearly!$D:$AM, 33, FALSE) / VLOOKUP("buildings|PM25|Infant mortality", US_national_yearly!$D:$AM, 10, FALSE), 1)</f>
        <v>8.7600503875037067E-6</v>
      </c>
      <c r="Z3" s="7">
        <f>$B3 * IFERROR(VLOOKUP("buildings|PM25|Infant mortality", US_national_yearly!$D:$AM, 34, FALSE) / VLOOKUP("buildings|PM25|Infant mortality", US_national_yearly!$D:$AM, 10, FALSE), 1)</f>
        <v>8.7073248410550676E-6</v>
      </c>
      <c r="AA3" s="7">
        <f>$B3 * IFERROR(VLOOKUP("buildings|PM25|Infant mortality", US_national_yearly!$D:$AM, 35, FALSE) / VLOOKUP("buildings|PM25|Infant mortality", US_national_yearly!$D:$AM, 10, FALSE), 1)</f>
        <v>8.6545992946064285E-6</v>
      </c>
      <c r="AB3" s="7">
        <f>$B3 * IFERROR(VLOOKUP("buildings|PM25|Infant mortality", US_national_yearly!$D:$AM, 36, FALSE) / VLOOKUP("buildings|PM25|Infant mortality", US_national_yearly!$D:$AM, 10, FALSE), 1)</f>
        <v>8.601873748157791E-6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4.1192378271154823E-2</v>
      </c>
      <c r="C6" s="7">
        <f>$B6 * IFERROR(VLOOKUP("buildings|PM25|Asthma symptoms cough", US_national_yearly!$D:$AM, 11, FALSE) / VLOOKUP("buildings|PM25|Asthma symptoms cough", US_national_yearly!$D:$AM, 10, FALSE), 1)</f>
        <v>4.1192378271154823E-2</v>
      </c>
      <c r="D6" s="7">
        <f>$B6 * IFERROR(VLOOKUP("buildings|PM25|Asthma symptoms cough", US_national_yearly!$D:$AM, 12, FALSE) / VLOOKUP("buildings|PM25|Asthma symptoms cough", US_national_yearly!$D:$AM, 10, FALSE), 1)</f>
        <v>4.1192378271154823E-2</v>
      </c>
      <c r="E6" s="7">
        <f>$B6 * IFERROR(VLOOKUP("buildings|PM25|Asthma symptoms cough", US_national_yearly!$D:$AM, 13, FALSE) / VLOOKUP("buildings|PM25|Asthma symptoms cough", US_national_yearly!$D:$AM, 10, FALSE), 1)</f>
        <v>4.1192378271154823E-2</v>
      </c>
      <c r="F6" s="7">
        <f>$B6 * IFERROR(VLOOKUP("buildings|PM25|Asthma symptoms cough", US_national_yearly!$D:$AM, 14, FALSE) / VLOOKUP("buildings|PM25|Asthma symptoms cough", US_national_yearly!$D:$AM, 10, FALSE), 1)</f>
        <v>4.1192378271154823E-2</v>
      </c>
      <c r="G6" s="7">
        <f>$B6 * IFERROR(VLOOKUP("buildings|PM25|Asthma symptoms cough", US_national_yearly!$D:$AM, 15, FALSE) / VLOOKUP("buildings|PM25|Asthma symptoms cough", US_national_yearly!$D:$AM, 10, FALSE), 1)</f>
        <v>4.1192378271154823E-2</v>
      </c>
      <c r="H6" s="7">
        <f>$B6 * IFERROR(VLOOKUP("buildings|PM25|Asthma symptoms cough", US_national_yearly!$D:$AM, 16, FALSE) / VLOOKUP("buildings|PM25|Asthma symptoms cough", US_national_yearly!$D:$AM, 10, FALSE), 1)</f>
        <v>4.1192378271154823E-2</v>
      </c>
      <c r="I6" s="7">
        <f>$B6 * IFERROR(VLOOKUP("buildings|PM25|Asthma symptoms cough", US_national_yearly!$D:$AM, 17, FALSE) / VLOOKUP("buildings|PM25|Asthma symptoms cough", US_national_yearly!$D:$AM, 10, FALSE), 1)</f>
        <v>4.1192378271154823E-2</v>
      </c>
      <c r="J6" s="7">
        <f>$B6 * IFERROR(VLOOKUP("buildings|PM25|Asthma symptoms cough", US_national_yearly!$D:$AM, 18, FALSE) / VLOOKUP("buildings|PM25|Asthma symptoms cough", US_national_yearly!$D:$AM, 10, FALSE), 1)</f>
        <v>4.1192378271154823E-2</v>
      </c>
      <c r="K6" s="7">
        <f>$B6 * IFERROR(VLOOKUP("buildings|PM25|Asthma symptoms cough", US_national_yearly!$D:$AM, 19, FALSE) / VLOOKUP("buildings|PM25|Asthma symptoms cough", US_national_yearly!$D:$AM, 10, FALSE), 1)</f>
        <v>4.1192378271154823E-2</v>
      </c>
      <c r="L6" s="7">
        <f>$B6 * IFERROR(VLOOKUP("buildings|PM25|Asthma symptoms cough", US_national_yearly!$D:$AM, 20, FALSE) / VLOOKUP("buildings|PM25|Asthma symptoms cough", US_national_yearly!$D:$AM, 10, FALSE), 1)</f>
        <v>4.1192378271154823E-2</v>
      </c>
      <c r="M6" s="7">
        <f>$B6 * IFERROR(VLOOKUP("buildings|PM25|Asthma symptoms cough", US_national_yearly!$D:$AM, 21, FALSE) / VLOOKUP("buildings|PM25|Asthma symptoms cough", US_national_yearly!$D:$AM, 10, FALSE), 1)</f>
        <v>4.1192378271154823E-2</v>
      </c>
      <c r="N6" s="7">
        <f>$B6 * IFERROR(VLOOKUP("buildings|PM25|Asthma symptoms cough", US_national_yearly!$D:$AM, 22, FALSE) / VLOOKUP("buildings|PM25|Asthma symptoms cough", US_national_yearly!$D:$AM, 10, FALSE), 1)</f>
        <v>4.1192378271154823E-2</v>
      </c>
      <c r="O6" s="7">
        <f>$B6 * IFERROR(VLOOKUP("buildings|PM25|Asthma symptoms cough", US_national_yearly!$D:$AM, 23, FALSE) / VLOOKUP("buildings|PM25|Asthma symptoms cough", US_national_yearly!$D:$AM, 10, FALSE), 1)</f>
        <v>4.1192378271154823E-2</v>
      </c>
      <c r="P6" s="7">
        <f>$B6 * IFERROR(VLOOKUP("buildings|PM25|Asthma symptoms cough", US_national_yearly!$D:$AM, 24, FALSE) / VLOOKUP("buildings|PM25|Asthma symptoms cough", US_national_yearly!$D:$AM, 10, FALSE), 1)</f>
        <v>4.1192378271154823E-2</v>
      </c>
      <c r="Q6" s="7">
        <f>$B6 * IFERROR(VLOOKUP("buildings|PM25|Asthma symptoms cough", US_national_yearly!$D:$AM, 25, FALSE) / VLOOKUP("buildings|PM25|Asthma symptoms cough", US_national_yearly!$D:$AM, 10, FALSE), 1)</f>
        <v>4.1192378271154823E-2</v>
      </c>
      <c r="R6" s="7">
        <f>$B6 * IFERROR(VLOOKUP("buildings|PM25|Asthma symptoms cough", US_national_yearly!$D:$AM, 26, FALSE) / VLOOKUP("buildings|PM25|Asthma symptoms cough", US_national_yearly!$D:$AM, 10, FALSE), 1)</f>
        <v>4.1192378271154823E-2</v>
      </c>
      <c r="S6" s="7">
        <f>$B6 * IFERROR(VLOOKUP("buildings|PM25|Asthma symptoms cough", US_national_yearly!$D:$AM, 27, FALSE) / VLOOKUP("buildings|PM25|Asthma symptoms cough", US_national_yearly!$D:$AM, 10, FALSE), 1)</f>
        <v>4.1192378271154823E-2</v>
      </c>
      <c r="T6" s="7">
        <f>$B6 * IFERROR(VLOOKUP("buildings|PM25|Asthma symptoms cough", US_national_yearly!$D:$AM, 28, FALSE) / VLOOKUP("buildings|PM25|Asthma symptoms cough", US_national_yearly!$D:$AM, 10, FALSE), 1)</f>
        <v>4.1192378271154823E-2</v>
      </c>
      <c r="U6" s="7">
        <f>$B6 * IFERROR(VLOOKUP("buildings|PM25|Asthma symptoms cough", US_national_yearly!$D:$AM, 29, FALSE) / VLOOKUP("buildings|PM25|Asthma symptoms cough", US_national_yearly!$D:$AM, 10, FALSE), 1)</f>
        <v>4.1192378271154823E-2</v>
      </c>
      <c r="V6" s="7">
        <f>$B6 * IFERROR(VLOOKUP("buildings|PM25|Asthma symptoms cough", US_national_yearly!$D:$AM, 30, FALSE) / VLOOKUP("buildings|PM25|Asthma symptoms cough", US_national_yearly!$D:$AM, 10, FALSE), 1)</f>
        <v>4.1192378271154823E-2</v>
      </c>
      <c r="W6" s="7">
        <f>$B6 * IFERROR(VLOOKUP("buildings|PM25|Asthma symptoms cough", US_national_yearly!$D:$AM, 31, FALSE) / VLOOKUP("buildings|PM25|Asthma symptoms cough", US_national_yearly!$D:$AM, 10, FALSE), 1)</f>
        <v>4.1192378271154823E-2</v>
      </c>
      <c r="X6" s="7">
        <f>$B6 * IFERROR(VLOOKUP("buildings|PM25|Asthma symptoms cough", US_national_yearly!$D:$AM, 32, FALSE) / VLOOKUP("buildings|PM25|Asthma symptoms cough", US_national_yearly!$D:$AM, 10, FALSE), 1)</f>
        <v>4.1192378271154823E-2</v>
      </c>
      <c r="Y6" s="7">
        <f>$B6 * IFERROR(VLOOKUP("buildings|PM25|Asthma symptoms cough", US_national_yearly!$D:$AM, 33, FALSE) / VLOOKUP("buildings|PM25|Asthma symptoms cough", US_national_yearly!$D:$AM, 10, FALSE), 1)</f>
        <v>4.1192378271154823E-2</v>
      </c>
      <c r="Z6" s="7">
        <f>$B6 * IFERROR(VLOOKUP("buildings|PM25|Asthma symptoms cough", US_national_yearly!$D:$AM, 34, FALSE) / VLOOKUP("buildings|PM25|Asthma symptoms cough", US_national_yearly!$D:$AM, 10, FALSE), 1)</f>
        <v>4.1192378271154823E-2</v>
      </c>
      <c r="AA6" s="7">
        <f>$B6 * IFERROR(VLOOKUP("buildings|PM25|Asthma symptoms cough", US_national_yearly!$D:$AM, 35, FALSE) / VLOOKUP("buildings|PM25|Asthma symptoms cough", US_national_yearly!$D:$AM, 10, FALSE), 1)</f>
        <v>4.1192378271154823E-2</v>
      </c>
      <c r="AB6" s="7">
        <f>$B6 * IFERROR(VLOOKUP("buildings|PM25|Asthma symptoms cough", US_national_yearly!$D:$AM, 36, FALSE) / VLOOKUP("buildings|PM25|Asthma symptoms cough", US_national_yearly!$D:$AM, 10, FALSE), 1)</f>
        <v>4.1192378271154823E-2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5.5471508483865895E-2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5.5471508483865895E-2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5.5471508483865895E-2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5.5471508483865895E-2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5.5471508483865895E-2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5.5471508483865895E-2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5.5471508483865895E-2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5.5471508483865895E-2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5.5471508483865895E-2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5.5471508483865895E-2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5.5471508483865895E-2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5.5471508483865895E-2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5.5471508483865895E-2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5.5471508483865895E-2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5.5471508483865895E-2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5.5471508483865895E-2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5.5471508483865895E-2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5.5471508483865895E-2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5.5471508483865895E-2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5.5471508483865895E-2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5.5471508483865895E-2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5.5471508483865895E-2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5.5471508483865895E-2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5.5471508483865895E-2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5.5471508483865895E-2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5.5471508483865895E-2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5.5471508483865895E-2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8.4751085510342189E-2</v>
      </c>
      <c r="C8" s="7">
        <f>$B8 * IFERROR(VLOOKUP("buildings|PM25|Asthma symptoms wheeze", US_national_yearly!$D:$AM, 11, FALSE) / VLOOKUP("buildings|PM25|Asthma symptoms wheeze", US_national_yearly!$D:$AM, 10, FALSE), 1)</f>
        <v>8.4751085510342189E-2</v>
      </c>
      <c r="D8" s="7">
        <f>$B8 * IFERROR(VLOOKUP("buildings|PM25|Asthma symptoms wheeze", US_national_yearly!$D:$AM, 12, FALSE) / VLOOKUP("buildings|PM25|Asthma symptoms wheeze", US_national_yearly!$D:$AM, 10, FALSE), 1)</f>
        <v>8.4751085510342189E-2</v>
      </c>
      <c r="E8" s="7">
        <f>$B8 * IFERROR(VLOOKUP("buildings|PM25|Asthma symptoms wheeze", US_national_yearly!$D:$AM, 13, FALSE) / VLOOKUP("buildings|PM25|Asthma symptoms wheeze", US_national_yearly!$D:$AM, 10, FALSE), 1)</f>
        <v>8.4751085510342189E-2</v>
      </c>
      <c r="F8" s="7">
        <f>$B8 * IFERROR(VLOOKUP("buildings|PM25|Asthma symptoms wheeze", US_national_yearly!$D:$AM, 14, FALSE) / VLOOKUP("buildings|PM25|Asthma symptoms wheeze", US_national_yearly!$D:$AM, 10, FALSE), 1)</f>
        <v>8.4751085510342189E-2</v>
      </c>
      <c r="G8" s="7">
        <f>$B8 * IFERROR(VLOOKUP("buildings|PM25|Asthma symptoms wheeze", US_national_yearly!$D:$AM, 15, FALSE) / VLOOKUP("buildings|PM25|Asthma symptoms wheeze", US_national_yearly!$D:$AM, 10, FALSE), 1)</f>
        <v>8.4751085510342189E-2</v>
      </c>
      <c r="H8" s="7">
        <f>$B8 * IFERROR(VLOOKUP("buildings|PM25|Asthma symptoms wheeze", US_national_yearly!$D:$AM, 16, FALSE) / VLOOKUP("buildings|PM25|Asthma symptoms wheeze", US_national_yearly!$D:$AM, 10, FALSE), 1)</f>
        <v>8.4751085510342189E-2</v>
      </c>
      <c r="I8" s="7">
        <f>$B8 * IFERROR(VLOOKUP("buildings|PM25|Asthma symptoms wheeze", US_national_yearly!$D:$AM, 17, FALSE) / VLOOKUP("buildings|PM25|Asthma symptoms wheeze", US_national_yearly!$D:$AM, 10, FALSE), 1)</f>
        <v>8.4751085510342189E-2</v>
      </c>
      <c r="J8" s="7">
        <f>$B8 * IFERROR(VLOOKUP("buildings|PM25|Asthma symptoms wheeze", US_national_yearly!$D:$AM, 18, FALSE) / VLOOKUP("buildings|PM25|Asthma symptoms wheeze", US_national_yearly!$D:$AM, 10, FALSE), 1)</f>
        <v>8.4751085510342189E-2</v>
      </c>
      <c r="K8" s="7">
        <f>$B8 * IFERROR(VLOOKUP("buildings|PM25|Asthma symptoms wheeze", US_national_yearly!$D:$AM, 19, FALSE) / VLOOKUP("buildings|PM25|Asthma symptoms wheeze", US_national_yearly!$D:$AM, 10, FALSE), 1)</f>
        <v>8.4751085510342189E-2</v>
      </c>
      <c r="L8" s="7">
        <f>$B8 * IFERROR(VLOOKUP("buildings|PM25|Asthma symptoms wheeze", US_national_yearly!$D:$AM, 20, FALSE) / VLOOKUP("buildings|PM25|Asthma symptoms wheeze", US_national_yearly!$D:$AM, 10, FALSE), 1)</f>
        <v>8.4751085510342189E-2</v>
      </c>
      <c r="M8" s="7">
        <f>$B8 * IFERROR(VLOOKUP("buildings|PM25|Asthma symptoms wheeze", US_national_yearly!$D:$AM, 21, FALSE) / VLOOKUP("buildings|PM25|Asthma symptoms wheeze", US_national_yearly!$D:$AM, 10, FALSE), 1)</f>
        <v>8.4751085510342189E-2</v>
      </c>
      <c r="N8" s="7">
        <f>$B8 * IFERROR(VLOOKUP("buildings|PM25|Asthma symptoms wheeze", US_national_yearly!$D:$AM, 22, FALSE) / VLOOKUP("buildings|PM25|Asthma symptoms wheeze", US_national_yearly!$D:$AM, 10, FALSE), 1)</f>
        <v>8.4751085510342189E-2</v>
      </c>
      <c r="O8" s="7">
        <f>$B8 * IFERROR(VLOOKUP("buildings|PM25|Asthma symptoms wheeze", US_national_yearly!$D:$AM, 23, FALSE) / VLOOKUP("buildings|PM25|Asthma symptoms wheeze", US_national_yearly!$D:$AM, 10, FALSE), 1)</f>
        <v>8.4751085510342189E-2</v>
      </c>
      <c r="P8" s="7">
        <f>$B8 * IFERROR(VLOOKUP("buildings|PM25|Asthma symptoms wheeze", US_national_yearly!$D:$AM, 24, FALSE) / VLOOKUP("buildings|PM25|Asthma symptoms wheeze", US_national_yearly!$D:$AM, 10, FALSE), 1)</f>
        <v>8.4751085510342189E-2</v>
      </c>
      <c r="Q8" s="7">
        <f>$B8 * IFERROR(VLOOKUP("buildings|PM25|Asthma symptoms wheeze", US_national_yearly!$D:$AM, 25, FALSE) / VLOOKUP("buildings|PM25|Asthma symptoms wheeze", US_national_yearly!$D:$AM, 10, FALSE), 1)</f>
        <v>8.4751085510342189E-2</v>
      </c>
      <c r="R8" s="7">
        <f>$B8 * IFERROR(VLOOKUP("buildings|PM25|Asthma symptoms wheeze", US_national_yearly!$D:$AM, 26, FALSE) / VLOOKUP("buildings|PM25|Asthma symptoms wheeze", US_national_yearly!$D:$AM, 10, FALSE), 1)</f>
        <v>8.4751085510342189E-2</v>
      </c>
      <c r="S8" s="7">
        <f>$B8 * IFERROR(VLOOKUP("buildings|PM25|Asthma symptoms wheeze", US_national_yearly!$D:$AM, 27, FALSE) / VLOOKUP("buildings|PM25|Asthma symptoms wheeze", US_national_yearly!$D:$AM, 10, FALSE), 1)</f>
        <v>8.4751085510342189E-2</v>
      </c>
      <c r="T8" s="7">
        <f>$B8 * IFERROR(VLOOKUP("buildings|PM25|Asthma symptoms wheeze", US_national_yearly!$D:$AM, 28, FALSE) / VLOOKUP("buildings|PM25|Asthma symptoms wheeze", US_national_yearly!$D:$AM, 10, FALSE), 1)</f>
        <v>8.4751085510342189E-2</v>
      </c>
      <c r="U8" s="7">
        <f>$B8 * IFERROR(VLOOKUP("buildings|PM25|Asthma symptoms wheeze", US_national_yearly!$D:$AM, 29, FALSE) / VLOOKUP("buildings|PM25|Asthma symptoms wheeze", US_national_yearly!$D:$AM, 10, FALSE), 1)</f>
        <v>8.4751085510342189E-2</v>
      </c>
      <c r="V8" s="7">
        <f>$B8 * IFERROR(VLOOKUP("buildings|PM25|Asthma symptoms wheeze", US_national_yearly!$D:$AM, 30, FALSE) / VLOOKUP("buildings|PM25|Asthma symptoms wheeze", US_national_yearly!$D:$AM, 10, FALSE), 1)</f>
        <v>8.4751085510342189E-2</v>
      </c>
      <c r="W8" s="7">
        <f>$B8 * IFERROR(VLOOKUP("buildings|PM25|Asthma symptoms wheeze", US_national_yearly!$D:$AM, 31, FALSE) / VLOOKUP("buildings|PM25|Asthma symptoms wheeze", US_national_yearly!$D:$AM, 10, FALSE), 1)</f>
        <v>8.4751085510342189E-2</v>
      </c>
      <c r="X8" s="7">
        <f>$B8 * IFERROR(VLOOKUP("buildings|PM25|Asthma symptoms wheeze", US_national_yearly!$D:$AM, 32, FALSE) / VLOOKUP("buildings|PM25|Asthma symptoms wheeze", US_national_yearly!$D:$AM, 10, FALSE), 1)</f>
        <v>8.4751085510342189E-2</v>
      </c>
      <c r="Y8" s="7">
        <f>$B8 * IFERROR(VLOOKUP("buildings|PM25|Asthma symptoms wheeze", US_national_yearly!$D:$AM, 33, FALSE) / VLOOKUP("buildings|PM25|Asthma symptoms wheeze", US_national_yearly!$D:$AM, 10, FALSE), 1)</f>
        <v>8.4751085510342189E-2</v>
      </c>
      <c r="Z8" s="7">
        <f>$B8 * IFERROR(VLOOKUP("buildings|PM25|Asthma symptoms wheeze", US_national_yearly!$D:$AM, 34, FALSE) / VLOOKUP("buildings|PM25|Asthma symptoms wheeze", US_national_yearly!$D:$AM, 10, FALSE), 1)</f>
        <v>8.4751085510342189E-2</v>
      </c>
      <c r="AA8" s="7">
        <f>$B8 * IFERROR(VLOOKUP("buildings|PM25|Asthma symptoms wheeze", US_national_yearly!$D:$AM, 35, FALSE) / VLOOKUP("buildings|PM25|Asthma symptoms wheeze", US_national_yearly!$D:$AM, 10, FALSE), 1)</f>
        <v>8.4751085510342189E-2</v>
      </c>
      <c r="AB8" s="7">
        <f>$B8 * IFERROR(VLOOKUP("buildings|PM25|Asthma symptoms wheeze", US_national_yearly!$D:$AM, 36, FALSE) / VLOOKUP("buildings|PM25|Asthma symptoms wheeze", US_national_yearly!$D:$AM, 10, FALSE), 1)</f>
        <v>8.4751085510342189E-2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1.0026414505176194E-3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1.0084208425448916E-3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1.014200234572164E-3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1.0199796265994365E-3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1.0257590186267089E-3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1.0319955180751593E-3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1.03823201752361E-3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1.0441634924549885E-3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1.0500949673863671E-3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1.0560264423177454E-3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1.0619579172491242E-3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1.0678893921805025E-3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1.0721557294639153E-3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1.0764220667473282E-3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1.0806884040307409E-3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1.0849547413141535E-3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1.0892210785975662E-3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1.0932859291864167E-3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1.0973507797752673E-3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1.1014156303641178E-3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1.105480480952968E-3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1.1095453315418189E-3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1.1134713328588188E-3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1.117397334175819E-3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1.1213233354928189E-3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1.125249336809819E-3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1.1291753381268189E-3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6.7892411568906711E-3</v>
      </c>
      <c r="C13" s="7">
        <f>$B13 * IFERROR(VLOOKUP("buildings|PM25|Non-fatal heart attacks", US_national_yearly!$D:$AM, 11, FALSE) / VLOOKUP("buildings|PM25|Non-fatal heart attacks", US_national_yearly!$D:$AM, 10, FALSE), 1)</f>
        <v>6.9867158429054279E-3</v>
      </c>
      <c r="D13" s="7">
        <f>$B13 * IFERROR(VLOOKUP("buildings|PM25|Non-fatal heart attacks", US_national_yearly!$D:$AM, 12, FALSE) / VLOOKUP("buildings|PM25|Non-fatal heart attacks", US_national_yearly!$D:$AM, 10, FALSE), 1)</f>
        <v>7.1841905289201828E-3</v>
      </c>
      <c r="E13" s="7">
        <f>$B13 * IFERROR(VLOOKUP("buildings|PM25|Non-fatal heart attacks", US_national_yearly!$D:$AM, 13, FALSE) / VLOOKUP("buildings|PM25|Non-fatal heart attacks", US_national_yearly!$D:$AM, 10, FALSE), 1)</f>
        <v>7.3816652149349378E-3</v>
      </c>
      <c r="F13" s="7">
        <f>$B13 * IFERROR(VLOOKUP("buildings|PM25|Non-fatal heart attacks", US_national_yearly!$D:$AM, 14, FALSE) / VLOOKUP("buildings|PM25|Non-fatal heart attacks", US_national_yearly!$D:$AM, 10, FALSE), 1)</f>
        <v>7.5791399009496946E-3</v>
      </c>
      <c r="G13" s="7">
        <f>$B13 * IFERROR(VLOOKUP("buildings|PM25|Non-fatal heart attacks", US_national_yearly!$D:$AM, 15, FALSE) / VLOOKUP("buildings|PM25|Non-fatal heart attacks", US_national_yearly!$D:$AM, 10, FALSE), 1)</f>
        <v>7.7654685460044875E-3</v>
      </c>
      <c r="H13" s="7">
        <f>$B13 * IFERROR(VLOOKUP("buildings|PM25|Non-fatal heart attacks", US_national_yearly!$D:$AM, 16, FALSE) / VLOOKUP("buildings|PM25|Non-fatal heart attacks", US_national_yearly!$D:$AM, 10, FALSE), 1)</f>
        <v>7.9517971910592778E-3</v>
      </c>
      <c r="I13" s="7">
        <f>$B13 * IFERROR(VLOOKUP("buildings|PM25|Non-fatal heart attacks", US_national_yearly!$D:$AM, 17, FALSE) / VLOOKUP("buildings|PM25|Non-fatal heart attacks", US_national_yearly!$D:$AM, 10, FALSE), 1)</f>
        <v>8.1017130579358731E-3</v>
      </c>
      <c r="J13" s="7">
        <f>$B13 * IFERROR(VLOOKUP("buildings|PM25|Non-fatal heart attacks", US_national_yearly!$D:$AM, 18, FALSE) / VLOOKUP("buildings|PM25|Non-fatal heart attacks", US_national_yearly!$D:$AM, 10, FALSE), 1)</f>
        <v>8.2516289248124666E-3</v>
      </c>
      <c r="K13" s="7">
        <f>$B13 * IFERROR(VLOOKUP("buildings|PM25|Non-fatal heart attacks", US_national_yearly!$D:$AM, 19, FALSE) / VLOOKUP("buildings|PM25|Non-fatal heart attacks", US_national_yearly!$D:$AM, 10, FALSE), 1)</f>
        <v>8.4015447916890602E-3</v>
      </c>
      <c r="L13" s="7">
        <f>$B13 * IFERROR(VLOOKUP("buildings|PM25|Non-fatal heart attacks", US_national_yearly!$D:$AM, 20, FALSE) / VLOOKUP("buildings|PM25|Non-fatal heart attacks", US_national_yearly!$D:$AM, 10, FALSE), 1)</f>
        <v>8.5514606585656537E-3</v>
      </c>
      <c r="M13" s="7">
        <f>$B13 * IFERROR(VLOOKUP("buildings|PM25|Non-fatal heart attacks", US_national_yearly!$D:$AM, 21, FALSE) / VLOOKUP("buildings|PM25|Non-fatal heart attacks", US_national_yearly!$D:$AM, 10, FALSE), 1)</f>
        <v>8.7013765254422455E-3</v>
      </c>
      <c r="N13" s="7">
        <f>$B13 * IFERROR(VLOOKUP("buildings|PM25|Non-fatal heart attacks", US_national_yearly!$D:$AM, 22, FALSE) / VLOOKUP("buildings|PM25|Non-fatal heart attacks", US_national_yearly!$D:$AM, 10, FALSE), 1)</f>
        <v>8.7982245176219265E-3</v>
      </c>
      <c r="O13" s="7">
        <f>$B13 * IFERROR(VLOOKUP("buildings|PM25|Non-fatal heart attacks", US_national_yearly!$D:$AM, 23, FALSE) / VLOOKUP("buildings|PM25|Non-fatal heart attacks", US_national_yearly!$D:$AM, 10, FALSE), 1)</f>
        <v>8.8950725098016058E-3</v>
      </c>
      <c r="P13" s="7">
        <f>$B13 * IFERROR(VLOOKUP("buildings|PM25|Non-fatal heart attacks", US_national_yearly!$D:$AM, 24, FALSE) / VLOOKUP("buildings|PM25|Non-fatal heart attacks", US_national_yearly!$D:$AM, 10, FALSE), 1)</f>
        <v>8.9919205019812834E-3</v>
      </c>
      <c r="Q13" s="7">
        <f>$B13 * IFERROR(VLOOKUP("buildings|PM25|Non-fatal heart attacks", US_national_yearly!$D:$AM, 25, FALSE) / VLOOKUP("buildings|PM25|Non-fatal heart attacks", US_national_yearly!$D:$AM, 10, FALSE), 1)</f>
        <v>9.0887684941609644E-3</v>
      </c>
      <c r="R13" s="7">
        <f>$B13 * IFERROR(VLOOKUP("buildings|PM25|Non-fatal heart attacks", US_national_yearly!$D:$AM, 26, FALSE) / VLOOKUP("buildings|PM25|Non-fatal heart attacks", US_national_yearly!$D:$AM, 10, FALSE), 1)</f>
        <v>9.1856164863406437E-3</v>
      </c>
      <c r="S13" s="7">
        <f>$B13 * IFERROR(VLOOKUP("buildings|PM25|Non-fatal heart attacks", US_national_yearly!$D:$AM, 27, FALSE) / VLOOKUP("buildings|PM25|Non-fatal heart attacks", US_national_yearly!$D:$AM, 10, FALSE), 1)</f>
        <v>9.2368403135172656E-3</v>
      </c>
      <c r="T13" s="7">
        <f>$B13 * IFERROR(VLOOKUP("buildings|PM25|Non-fatal heart attacks", US_national_yearly!$D:$AM, 28, FALSE) / VLOOKUP("buildings|PM25|Non-fatal heart attacks", US_national_yearly!$D:$AM, 10, FALSE), 1)</f>
        <v>9.288064140693891E-3</v>
      </c>
      <c r="U13" s="7">
        <f>$B13 * IFERROR(VLOOKUP("buildings|PM25|Non-fatal heart attacks", US_national_yearly!$D:$AM, 29, FALSE) / VLOOKUP("buildings|PM25|Non-fatal heart attacks", US_national_yearly!$D:$AM, 10, FALSE), 1)</f>
        <v>9.3392879678705163E-3</v>
      </c>
      <c r="V13" s="7">
        <f>$B13 * IFERROR(VLOOKUP("buildings|PM25|Non-fatal heart attacks", US_national_yearly!$D:$AM, 30, FALSE) / VLOOKUP("buildings|PM25|Non-fatal heart attacks", US_national_yearly!$D:$AM, 10, FALSE), 1)</f>
        <v>9.3905117950471382E-3</v>
      </c>
      <c r="W13" s="7">
        <f>$B13 * IFERROR(VLOOKUP("buildings|PM25|Non-fatal heart attacks", US_national_yearly!$D:$AM, 31, FALSE) / VLOOKUP("buildings|PM25|Non-fatal heart attacks", US_national_yearly!$D:$AM, 10, FALSE), 1)</f>
        <v>9.4417356222237635E-3</v>
      </c>
      <c r="X13" s="7">
        <f>$B13 * IFERROR(VLOOKUP("buildings|PM25|Non-fatal heart attacks", US_national_yearly!$D:$AM, 32, FALSE) / VLOOKUP("buildings|PM25|Non-fatal heart attacks", US_national_yearly!$D:$AM, 10, FALSE), 1)</f>
        <v>9.4807206960075968E-3</v>
      </c>
      <c r="Y13" s="7">
        <f>$B13 * IFERROR(VLOOKUP("buildings|PM25|Non-fatal heart attacks", US_national_yearly!$D:$AM, 33, FALSE) / VLOOKUP("buildings|PM25|Non-fatal heart attacks", US_national_yearly!$D:$AM, 10, FALSE), 1)</f>
        <v>9.5197057697914301E-3</v>
      </c>
      <c r="Z13" s="7">
        <f>$B13 * IFERROR(VLOOKUP("buildings|PM25|Non-fatal heart attacks", US_national_yearly!$D:$AM, 34, FALSE) / VLOOKUP("buildings|PM25|Non-fatal heart attacks", US_national_yearly!$D:$AM, 10, FALSE), 1)</f>
        <v>9.5586908435752616E-3</v>
      </c>
      <c r="AA13" s="7">
        <f>$B13 * IFERROR(VLOOKUP("buildings|PM25|Non-fatal heart attacks", US_national_yearly!$D:$AM, 35, FALSE) / VLOOKUP("buildings|PM25|Non-fatal heart attacks", US_national_yearly!$D:$AM, 10, FALSE), 1)</f>
        <v>9.5976759173590949E-3</v>
      </c>
      <c r="AB13" s="7">
        <f>$B13 * IFERROR(VLOOKUP("buildings|PM25|Non-fatal heart attacks", US_national_yearly!$D:$AM, 36, FALSE) / VLOOKUP("buildings|PM25|Non-fatal heart attacks", US_national_yearly!$D:$AM, 10, FALSE), 1)</f>
        <v>9.6366609911429282E-3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5.0524493758613147</v>
      </c>
      <c r="C14" s="7">
        <f>$B14 * IFERROR(VLOOKUP("buildings|PM25|Minor restricted activity days", US_national_yearly!$D:$AM, 11, FALSE) / VLOOKUP("buildings|PM25|Minor restricted activity days", US_national_yearly!$D:$AM, 10, FALSE), 1)</f>
        <v>5.0650151007118041</v>
      </c>
      <c r="D14" s="7">
        <f>$B14 * IFERROR(VLOOKUP("buildings|PM25|Minor restricted activity days", US_national_yearly!$D:$AM, 12, FALSE) / VLOOKUP("buildings|PM25|Minor restricted activity days", US_national_yearly!$D:$AM, 10, FALSE), 1)</f>
        <v>5.0775808255622943</v>
      </c>
      <c r="E14" s="7">
        <f>$B14 * IFERROR(VLOOKUP("buildings|PM25|Minor restricted activity days", US_national_yearly!$D:$AM, 13, FALSE) / VLOOKUP("buildings|PM25|Minor restricted activity days", US_national_yearly!$D:$AM, 10, FALSE), 1)</f>
        <v>5.0901465504127836</v>
      </c>
      <c r="F14" s="7">
        <f>$B14 * IFERROR(VLOOKUP("buildings|PM25|Minor restricted activity days", US_national_yearly!$D:$AM, 14, FALSE) / VLOOKUP("buildings|PM25|Minor restricted activity days", US_national_yearly!$D:$AM, 10, FALSE), 1)</f>
        <v>5.102712275263273</v>
      </c>
      <c r="G14" s="7">
        <f>$B14 * IFERROR(VLOOKUP("buildings|PM25|Minor restricted activity days", US_national_yearly!$D:$AM, 15, FALSE) / VLOOKUP("buildings|PM25|Minor restricted activity days", US_national_yearly!$D:$AM, 10, FALSE), 1)</f>
        <v>5.1211423783920615</v>
      </c>
      <c r="H14" s="7">
        <f>$B14 * IFERROR(VLOOKUP("buildings|PM25|Minor restricted activity days", US_national_yearly!$D:$AM, 16, FALSE) / VLOOKUP("buildings|PM25|Minor restricted activity days", US_national_yearly!$D:$AM, 10, FALSE), 1)</f>
        <v>5.1395724815208483</v>
      </c>
      <c r="I14" s="7">
        <f>$B14 * IFERROR(VLOOKUP("buildings|PM25|Minor restricted activity days", US_national_yearly!$D:$AM, 17, FALSE) / VLOOKUP("buildings|PM25|Minor restricted activity days", US_national_yearly!$D:$AM, 10, FALSE), 1)</f>
        <v>5.1709119301345998</v>
      </c>
      <c r="J14" s="7">
        <f>$B14 * IFERROR(VLOOKUP("buildings|PM25|Minor restricted activity days", US_national_yearly!$D:$AM, 18, FALSE) / VLOOKUP("buildings|PM25|Minor restricted activity days", US_national_yearly!$D:$AM, 10, FALSE), 1)</f>
        <v>5.202251378748354</v>
      </c>
      <c r="K14" s="7">
        <f>$B14 * IFERROR(VLOOKUP("buildings|PM25|Minor restricted activity days", US_national_yearly!$D:$AM, 19, FALSE) / VLOOKUP("buildings|PM25|Minor restricted activity days", US_national_yearly!$D:$AM, 10, FALSE), 1)</f>
        <v>5.2335908273621028</v>
      </c>
      <c r="L14" s="7">
        <f>$B14 * IFERROR(VLOOKUP("buildings|PM25|Minor restricted activity days", US_national_yearly!$D:$AM, 20, FALSE) / VLOOKUP("buildings|PM25|Minor restricted activity days", US_national_yearly!$D:$AM, 10, FALSE), 1)</f>
        <v>5.2649302759758534</v>
      </c>
      <c r="M14" s="7">
        <f>$B14 * IFERROR(VLOOKUP("buildings|PM25|Minor restricted activity days", US_national_yearly!$D:$AM, 21, FALSE) / VLOOKUP("buildings|PM25|Minor restricted activity days", US_national_yearly!$D:$AM, 10, FALSE), 1)</f>
        <v>5.296269724589604</v>
      </c>
      <c r="N14" s="7">
        <f>$B14 * IFERROR(VLOOKUP("buildings|PM25|Minor restricted activity days", US_national_yearly!$D:$AM, 22, FALSE) / VLOOKUP("buildings|PM25|Minor restricted activity days", US_national_yearly!$D:$AM, 10, FALSE), 1)</f>
        <v>5.3388524741845176</v>
      </c>
      <c r="O14" s="7">
        <f>$B14 * IFERROR(VLOOKUP("buildings|PM25|Minor restricted activity days", US_national_yearly!$D:$AM, 23, FALSE) / VLOOKUP("buildings|PM25|Minor restricted activity days", US_national_yearly!$D:$AM, 10, FALSE), 1)</f>
        <v>5.3814352237794303</v>
      </c>
      <c r="P14" s="7">
        <f>$B14 * IFERROR(VLOOKUP("buildings|PM25|Minor restricted activity days", US_national_yearly!$D:$AM, 24, FALSE) / VLOOKUP("buildings|PM25|Minor restricted activity days", US_national_yearly!$D:$AM, 10, FALSE), 1)</f>
        <v>5.424017973374343</v>
      </c>
      <c r="Q14" s="7">
        <f>$B14 * IFERROR(VLOOKUP("buildings|PM25|Minor restricted activity days", US_national_yearly!$D:$AM, 25, FALSE) / VLOOKUP("buildings|PM25|Minor restricted activity days", US_national_yearly!$D:$AM, 10, FALSE), 1)</f>
        <v>5.4666007229692557</v>
      </c>
      <c r="R14" s="7">
        <f>$B14 * IFERROR(VLOOKUP("buildings|PM25|Minor restricted activity days", US_national_yearly!$D:$AM, 26, FALSE) / VLOOKUP("buildings|PM25|Minor restricted activity days", US_national_yearly!$D:$AM, 10, FALSE), 1)</f>
        <v>5.5091834725641684</v>
      </c>
      <c r="S14" s="7">
        <f>$B14 * IFERROR(VLOOKUP("buildings|PM25|Minor restricted activity days", US_national_yearly!$D:$AM, 27, FALSE) / VLOOKUP("buildings|PM25|Minor restricted activity days", US_national_yearly!$D:$AM, 10, FALSE), 1)</f>
        <v>5.5520301097618434</v>
      </c>
      <c r="T14" s="7">
        <f>$B14 * IFERROR(VLOOKUP("buildings|PM25|Minor restricted activity days", US_national_yearly!$D:$AM, 28, FALSE) / VLOOKUP("buildings|PM25|Minor restricted activity days", US_national_yearly!$D:$AM, 10, FALSE), 1)</f>
        <v>5.5948767469595166</v>
      </c>
      <c r="U14" s="7">
        <f>$B14 * IFERROR(VLOOKUP("buildings|PM25|Minor restricted activity days", US_national_yearly!$D:$AM, 29, FALSE) / VLOOKUP("buildings|PM25|Minor restricted activity days", US_national_yearly!$D:$AM, 10, FALSE), 1)</f>
        <v>5.6377233841571917</v>
      </c>
      <c r="V14" s="7">
        <f>$B14 * IFERROR(VLOOKUP("buildings|PM25|Minor restricted activity days", US_national_yearly!$D:$AM, 30, FALSE) / VLOOKUP("buildings|PM25|Minor restricted activity days", US_national_yearly!$D:$AM, 10, FALSE), 1)</f>
        <v>5.6805700213548658</v>
      </c>
      <c r="W14" s="7">
        <f>$B14 * IFERROR(VLOOKUP("buildings|PM25|Minor restricted activity days", US_national_yearly!$D:$AM, 31, FALSE) / VLOOKUP("buildings|PM25|Minor restricted activity days", US_national_yearly!$D:$AM, 10, FALSE), 1)</f>
        <v>5.7234166585525408</v>
      </c>
      <c r="X14" s="7">
        <f>$B14 * IFERROR(VLOOKUP("buildings|PM25|Minor restricted activity days", US_national_yearly!$D:$AM, 32, FALSE) / VLOOKUP("buildings|PM25|Minor restricted activity days", US_national_yearly!$D:$AM, 10, FALSE), 1)</f>
        <v>5.760620633159375</v>
      </c>
      <c r="Y14" s="7">
        <f>$B14 * IFERROR(VLOOKUP("buildings|PM25|Minor restricted activity days", US_national_yearly!$D:$AM, 33, FALSE) / VLOOKUP("buildings|PM25|Minor restricted activity days", US_national_yearly!$D:$AM, 10, FALSE), 1)</f>
        <v>5.7978246077662083</v>
      </c>
      <c r="Z14" s="7">
        <f>$B14 * IFERROR(VLOOKUP("buildings|PM25|Minor restricted activity days", US_national_yearly!$D:$AM, 34, FALSE) / VLOOKUP("buildings|PM25|Minor restricted activity days", US_national_yearly!$D:$AM, 10, FALSE), 1)</f>
        <v>5.8350285823730399</v>
      </c>
      <c r="AA14" s="7">
        <f>$B14 * IFERROR(VLOOKUP("buildings|PM25|Minor restricted activity days", US_national_yearly!$D:$AM, 35, FALSE) / VLOOKUP("buildings|PM25|Minor restricted activity days", US_national_yearly!$D:$AM, 10, FALSE), 1)</f>
        <v>5.8722325569798732</v>
      </c>
      <c r="AB14" s="7">
        <f>$B14 * IFERROR(VLOOKUP("buildings|PM25|Minor restricted activity days", US_national_yearly!$D:$AM, 36, FALSE) / VLOOKUP("buildings|PM25|Minor restricted activity days", US_national_yearly!$D:$AM, 10, FALSE), 1)</f>
        <v>5.9094365315867066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0.85318386410786362</v>
      </c>
      <c r="C15" s="7">
        <f>$B15 * IFERROR(VLOOKUP("buildings|PM25|Work loss days", US_national_yearly!$D:$AM, 11, FALSE) / VLOOKUP("buildings|PM25|Work loss days", US_national_yearly!$D:$AM, 10, FALSE), 1)</f>
        <v>0.85586133907116757</v>
      </c>
      <c r="D15" s="7">
        <f>$B15 * IFERROR(VLOOKUP("buildings|PM25|Work loss days", US_national_yearly!$D:$AM, 12, FALSE) / VLOOKUP("buildings|PM25|Work loss days", US_national_yearly!$D:$AM, 10, FALSE), 1)</f>
        <v>0.8585388140344713</v>
      </c>
      <c r="E15" s="7">
        <f>$B15 * IFERROR(VLOOKUP("buildings|PM25|Work loss days", US_national_yearly!$D:$AM, 13, FALSE) / VLOOKUP("buildings|PM25|Work loss days", US_national_yearly!$D:$AM, 10, FALSE), 1)</f>
        <v>0.86121628899777503</v>
      </c>
      <c r="F15" s="7">
        <f>$B15 * IFERROR(VLOOKUP("buildings|PM25|Work loss days", US_national_yearly!$D:$AM, 14, FALSE) / VLOOKUP("buildings|PM25|Work loss days", US_national_yearly!$D:$AM, 10, FALSE), 1)</f>
        <v>0.86389376396107875</v>
      </c>
      <c r="G15" s="7">
        <f>$B15 * IFERROR(VLOOKUP("buildings|PM25|Work loss days", US_national_yearly!$D:$AM, 15, FALSE) / VLOOKUP("buildings|PM25|Work loss days", US_national_yearly!$D:$AM, 10, FALSE), 1)</f>
        <v>0.86739346367772652</v>
      </c>
      <c r="H15" s="7">
        <f>$B15 * IFERROR(VLOOKUP("buildings|PM25|Work loss days", US_national_yearly!$D:$AM, 16, FALSE) / VLOOKUP("buildings|PM25|Work loss days", US_national_yearly!$D:$AM, 10, FALSE), 1)</f>
        <v>0.87089316339437428</v>
      </c>
      <c r="I15" s="7">
        <f>$B15 * IFERROR(VLOOKUP("buildings|PM25|Work loss days", US_national_yearly!$D:$AM, 17, FALSE) / VLOOKUP("buildings|PM25|Work loss days", US_national_yearly!$D:$AM, 10, FALSE), 1)</f>
        <v>0.87603305444666002</v>
      </c>
      <c r="J15" s="7">
        <f>$B15 * IFERROR(VLOOKUP("buildings|PM25|Work loss days", US_national_yearly!$D:$AM, 18, FALSE) / VLOOKUP("buildings|PM25|Work loss days", US_national_yearly!$D:$AM, 10, FALSE), 1)</f>
        <v>0.88117294549894576</v>
      </c>
      <c r="K15" s="7">
        <f>$B15 * IFERROR(VLOOKUP("buildings|PM25|Work loss days", US_national_yearly!$D:$AM, 19, FALSE) / VLOOKUP("buildings|PM25|Work loss days", US_national_yearly!$D:$AM, 10, FALSE), 1)</f>
        <v>0.8863128365512315</v>
      </c>
      <c r="L15" s="7">
        <f>$B15 * IFERROR(VLOOKUP("buildings|PM25|Work loss days", US_national_yearly!$D:$AM, 20, FALSE) / VLOOKUP("buildings|PM25|Work loss days", US_national_yearly!$D:$AM, 10, FALSE), 1)</f>
        <v>0.89145272760351724</v>
      </c>
      <c r="M15" s="7">
        <f>$B15 * IFERROR(VLOOKUP("buildings|PM25|Work loss days", US_national_yearly!$D:$AM, 21, FALSE) / VLOOKUP("buildings|PM25|Work loss days", US_national_yearly!$D:$AM, 10, FALSE), 1)</f>
        <v>0.8965926186558032</v>
      </c>
      <c r="N15" s="7">
        <f>$B15 * IFERROR(VLOOKUP("buildings|PM25|Work loss days", US_national_yearly!$D:$AM, 22, FALSE) / VLOOKUP("buildings|PM25|Work loss days", US_national_yearly!$D:$AM, 10, FALSE), 1)</f>
        <v>0.90305482598176912</v>
      </c>
      <c r="O15" s="7">
        <f>$B15 * IFERROR(VLOOKUP("buildings|PM25|Work loss days", US_national_yearly!$D:$AM, 23, FALSE) / VLOOKUP("buildings|PM25|Work loss days", US_national_yearly!$D:$AM, 10, FALSE), 1)</f>
        <v>0.90951703330773515</v>
      </c>
      <c r="P15" s="7">
        <f>$B15 * IFERROR(VLOOKUP("buildings|PM25|Work loss days", US_national_yearly!$D:$AM, 24, FALSE) / VLOOKUP("buildings|PM25|Work loss days", US_national_yearly!$D:$AM, 10, FALSE), 1)</f>
        <v>0.91597924063370106</v>
      </c>
      <c r="Q15" s="7">
        <f>$B15 * IFERROR(VLOOKUP("buildings|PM25|Work loss days", US_national_yearly!$D:$AM, 25, FALSE) / VLOOKUP("buildings|PM25|Work loss days", US_national_yearly!$D:$AM, 10, FALSE), 1)</f>
        <v>0.92244144795966698</v>
      </c>
      <c r="R15" s="7">
        <f>$B15 * IFERROR(VLOOKUP("buildings|PM25|Work loss days", US_national_yearly!$D:$AM, 26, FALSE) / VLOOKUP("buildings|PM25|Work loss days", US_national_yearly!$D:$AM, 10, FALSE), 1)</f>
        <v>0.92890365528563312</v>
      </c>
      <c r="S15" s="7">
        <f>$B15 * IFERROR(VLOOKUP("buildings|PM25|Work loss days", US_national_yearly!$D:$AM, 27, FALSE) / VLOOKUP("buildings|PM25|Work loss days", US_national_yearly!$D:$AM, 10, FALSE), 1)</f>
        <v>0.9360419664223264</v>
      </c>
      <c r="T15" s="7">
        <f>$B15 * IFERROR(VLOOKUP("buildings|PM25|Work loss days", US_national_yearly!$D:$AM, 28, FALSE) / VLOOKUP("buildings|PM25|Work loss days", US_national_yearly!$D:$AM, 10, FALSE), 1)</f>
        <v>0.9431802775590199</v>
      </c>
      <c r="U15" s="7">
        <f>$B15 * IFERROR(VLOOKUP("buildings|PM25|Work loss days", US_national_yearly!$D:$AM, 29, FALSE) / VLOOKUP("buildings|PM25|Work loss days", US_national_yearly!$D:$AM, 10, FALSE), 1)</f>
        <v>0.9503185886957134</v>
      </c>
      <c r="V15" s="7">
        <f>$B15 * IFERROR(VLOOKUP("buildings|PM25|Work loss days", US_national_yearly!$D:$AM, 30, FALSE) / VLOOKUP("buildings|PM25|Work loss days", US_national_yearly!$D:$AM, 10, FALSE), 1)</f>
        <v>0.95745689983240667</v>
      </c>
      <c r="W15" s="7">
        <f>$B15 * IFERROR(VLOOKUP("buildings|PM25|Work loss days", US_national_yearly!$D:$AM, 31, FALSE) / VLOOKUP("buildings|PM25|Work loss days", US_national_yearly!$D:$AM, 10, FALSE), 1)</f>
        <v>0.96459521096910017</v>
      </c>
      <c r="X15" s="7">
        <f>$B15 * IFERROR(VLOOKUP("buildings|PM25|Work loss days", US_national_yearly!$D:$AM, 32, FALSE) / VLOOKUP("buildings|PM25|Work loss days", US_national_yearly!$D:$AM, 10, FALSE), 1)</f>
        <v>0.97092978175468891</v>
      </c>
      <c r="Y15" s="7">
        <f>$B15 * IFERROR(VLOOKUP("buildings|PM25|Work loss days", US_national_yearly!$D:$AM, 33, FALSE) / VLOOKUP("buildings|PM25|Work loss days", US_national_yearly!$D:$AM, 10, FALSE), 1)</f>
        <v>0.97726435254027788</v>
      </c>
      <c r="Z15" s="7">
        <f>$B15 * IFERROR(VLOOKUP("buildings|PM25|Work loss days", US_national_yearly!$D:$AM, 34, FALSE) / VLOOKUP("buildings|PM25|Work loss days", US_national_yearly!$D:$AM, 10, FALSE), 1)</f>
        <v>0.98359892332586663</v>
      </c>
      <c r="AA15" s="7">
        <f>$B15 * IFERROR(VLOOKUP("buildings|PM25|Work loss days", US_national_yearly!$D:$AM, 35, FALSE) / VLOOKUP("buildings|PM25|Work loss days", US_national_yearly!$D:$AM, 10, FALSE), 1)</f>
        <v>0.98993349411145548</v>
      </c>
      <c r="AB15" s="7">
        <f>$B15 * IFERROR(VLOOKUP("buildings|PM25|Work loss days", US_national_yearly!$D:$AM, 36, FALSE) / VLOOKUP("buildings|PM25|Work loss days", US_national_yearly!$D:$AM, 10, FALSE), 1)</f>
        <v>0.99626806489704423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1.3549186676214216E-3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1.3954122366782696E-3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1.4359058057351174E-3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1.4763993747919652E-3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1.5168929438488131E-3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1.5556919125679647E-3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1.5944908812871163E-3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1.6277063683304339E-3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1.6609218553737513E-3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1.6941373424170692E-3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1.727352829460387E-3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1.7605683165037047E-3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1.7827479845329906E-3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1.8049276525622766E-3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1.8271073205915625E-3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1.8492869886208487E-3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1.8714666566501345E-3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1.8832521878939586E-3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1.8950377191377828E-3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1.9068232503816069E-3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1.9186087816254309E-3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1.9303943128692554E-3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1.9383631763718872E-3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1.9463320398745187E-3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1.9543009033771504E-3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1.9622697668797815E-3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1.9702386303824134E-3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7.5319368734660616E-4</v>
      </c>
      <c r="C2" s="7">
        <f>$B2 * IFERROR(VLOOKUP("buildings|NOx|Premature mortality", US_national_yearly!$D:$AM, 11, FALSE) / VLOOKUP("buildings|NOx|Premature mortality", US_national_yearly!$D:$AM, 10, FALSE), 1)</f>
        <v>7.6427217523767873E-4</v>
      </c>
      <c r="D2" s="7">
        <f>$B2 * IFERROR(VLOOKUP("buildings|NOx|Premature mortality", US_national_yearly!$D:$AM, 12, FALSE) / VLOOKUP("buildings|NOx|Premature mortality", US_national_yearly!$D:$AM, 10, FALSE), 1)</f>
        <v>7.7535066312875119E-4</v>
      </c>
      <c r="E2" s="7">
        <f>$B2 * IFERROR(VLOOKUP("buildings|NOx|Premature mortality", US_national_yearly!$D:$AM, 13, FALSE) / VLOOKUP("buildings|NOx|Premature mortality", US_national_yearly!$D:$AM, 10, FALSE), 1)</f>
        <v>7.8642915101982387E-4</v>
      </c>
      <c r="F2" s="7">
        <f>$B2 * IFERROR(VLOOKUP("buildings|NOx|Premature mortality", US_national_yearly!$D:$AM, 14, FALSE) / VLOOKUP("buildings|NOx|Premature mortality", US_national_yearly!$D:$AM, 10, FALSE), 1)</f>
        <v>7.9750763891089623E-4</v>
      </c>
      <c r="G2" s="7">
        <f>$B2 * IFERROR(VLOOKUP("buildings|NOx|Premature mortality", US_national_yearly!$D:$AM, 15, FALSE) / VLOOKUP("buildings|NOx|Premature mortality", US_national_yearly!$D:$AM, 10, FALSE), 1)</f>
        <v>8.1739753919052641E-4</v>
      </c>
      <c r="H2" s="7">
        <f>$B2 * IFERROR(VLOOKUP("buildings|NOx|Premature mortality", US_national_yearly!$D:$AM, 16, FALSE) / VLOOKUP("buildings|NOx|Premature mortality", US_national_yearly!$D:$AM, 10, FALSE), 1)</f>
        <v>8.372874394701567E-4</v>
      </c>
      <c r="I2" s="7">
        <f>$B2 * IFERROR(VLOOKUP("buildings|NOx|Premature mortality", US_national_yearly!$D:$AM, 17, FALSE) / VLOOKUP("buildings|NOx|Premature mortality", US_national_yearly!$D:$AM, 10, FALSE), 1)</f>
        <v>8.5014136445723675E-4</v>
      </c>
      <c r="J2" s="7">
        <f>$B2 * IFERROR(VLOOKUP("buildings|NOx|Premature mortality", US_national_yearly!$D:$AM, 18, FALSE) / VLOOKUP("buildings|NOx|Premature mortality", US_national_yearly!$D:$AM, 10, FALSE), 1)</f>
        <v>8.6299528944431658E-4</v>
      </c>
      <c r="K2" s="7">
        <f>$B2 * IFERROR(VLOOKUP("buildings|NOx|Premature mortality", US_national_yearly!$D:$AM, 19, FALSE) / VLOOKUP("buildings|NOx|Premature mortality", US_national_yearly!$D:$AM, 10, FALSE), 1)</f>
        <v>8.7584921443139663E-4</v>
      </c>
      <c r="L2" s="7">
        <f>$B2 * IFERROR(VLOOKUP("buildings|NOx|Premature mortality", US_national_yearly!$D:$AM, 20, FALSE) / VLOOKUP("buildings|NOx|Premature mortality", US_national_yearly!$D:$AM, 10, FALSE), 1)</f>
        <v>8.8870313941847667E-4</v>
      </c>
      <c r="M2" s="7">
        <f>$B2 * IFERROR(VLOOKUP("buildings|NOx|Premature mortality", US_national_yearly!$D:$AM, 21, FALSE) / VLOOKUP("buildings|NOx|Premature mortality", US_national_yearly!$D:$AM, 10, FALSE), 1)</f>
        <v>9.0155706440555672E-4</v>
      </c>
      <c r="N2" s="7">
        <f>$B2 * IFERROR(VLOOKUP("buildings|NOx|Premature mortality", US_national_yearly!$D:$AM, 22, FALSE) / VLOOKUP("buildings|NOx|Premature mortality", US_national_yearly!$D:$AM, 10, FALSE), 1)</f>
        <v>9.1108133214693246E-4</v>
      </c>
      <c r="O2" s="7">
        <f>$B2 * IFERROR(VLOOKUP("buildings|NOx|Premature mortality", US_national_yearly!$D:$AM, 23, FALSE) / VLOOKUP("buildings|NOx|Premature mortality", US_national_yearly!$D:$AM, 10, FALSE), 1)</f>
        <v>9.2060559988830831E-4</v>
      </c>
      <c r="P2" s="7">
        <f>$B2 * IFERROR(VLOOKUP("buildings|NOx|Premature mortality", US_national_yearly!$D:$AM, 24, FALSE) / VLOOKUP("buildings|NOx|Premature mortality", US_national_yearly!$D:$AM, 10, FALSE), 1)</f>
        <v>9.3012986762968416E-4</v>
      </c>
      <c r="Q2" s="7">
        <f>$B2 * IFERROR(VLOOKUP("buildings|NOx|Premature mortality", US_national_yearly!$D:$AM, 25, FALSE) / VLOOKUP("buildings|NOx|Premature mortality", US_national_yearly!$D:$AM, 10, FALSE), 1)</f>
        <v>9.3965413537105979E-4</v>
      </c>
      <c r="R2" s="7">
        <f>$B2 * IFERROR(VLOOKUP("buildings|NOx|Premature mortality", US_national_yearly!$D:$AM, 26, FALSE) / VLOOKUP("buildings|NOx|Premature mortality", US_national_yearly!$D:$AM, 10, FALSE), 1)</f>
        <v>9.4917840311243564E-4</v>
      </c>
      <c r="S2" s="7">
        <f>$B2 * IFERROR(VLOOKUP("buildings|NOx|Premature mortality", US_national_yearly!$D:$AM, 27, FALSE) / VLOOKUP("buildings|NOx|Premature mortality", US_national_yearly!$D:$AM, 10, FALSE), 1)</f>
        <v>9.535085107284458E-4</v>
      </c>
      <c r="T2" s="7">
        <f>$B2 * IFERROR(VLOOKUP("buildings|NOx|Premature mortality", US_national_yearly!$D:$AM, 28, FALSE) / VLOOKUP("buildings|NOx|Premature mortality", US_national_yearly!$D:$AM, 10, FALSE), 1)</f>
        <v>9.5783861834445585E-4</v>
      </c>
      <c r="U2" s="7">
        <f>$B2 * IFERROR(VLOOKUP("buildings|NOx|Premature mortality", US_national_yearly!$D:$AM, 29, FALSE) / VLOOKUP("buildings|NOx|Premature mortality", US_national_yearly!$D:$AM, 10, FALSE), 1)</f>
        <v>9.6216872596046601E-4</v>
      </c>
      <c r="V2" s="7">
        <f>$B2 * IFERROR(VLOOKUP("buildings|NOx|Premature mortality", US_national_yearly!$D:$AM, 30, FALSE) / VLOOKUP("buildings|NOx|Premature mortality", US_national_yearly!$D:$AM, 10, FALSE), 1)</f>
        <v>9.6649883357647617E-4</v>
      </c>
      <c r="W2" s="7">
        <f>$B2 * IFERROR(VLOOKUP("buildings|NOx|Premature mortality", US_national_yearly!$D:$AM, 31, FALSE) / VLOOKUP("buildings|NOx|Premature mortality", US_national_yearly!$D:$AM, 10, FALSE), 1)</f>
        <v>9.7082894119248622E-4</v>
      </c>
      <c r="X2" s="7">
        <f>$B2 * IFERROR(VLOOKUP("buildings|NOx|Premature mortality", US_national_yearly!$D:$AM, 32, FALSE) / VLOOKUP("buildings|NOx|Premature mortality", US_national_yearly!$D:$AM, 10, FALSE), 1)</f>
        <v>9.7098144405295434E-4</v>
      </c>
      <c r="Y2" s="7">
        <f>$B2 * IFERROR(VLOOKUP("buildings|NOx|Premature mortality", US_national_yearly!$D:$AM, 33, FALSE) / VLOOKUP("buildings|NOx|Premature mortality", US_national_yearly!$D:$AM, 10, FALSE), 1)</f>
        <v>9.7113394691342246E-4</v>
      </c>
      <c r="Z2" s="7">
        <f>$B2 * IFERROR(VLOOKUP("buildings|NOx|Premature mortality", US_national_yearly!$D:$AM, 34, FALSE) / VLOOKUP("buildings|NOx|Premature mortality", US_national_yearly!$D:$AM, 10, FALSE), 1)</f>
        <v>9.7128644977389068E-4</v>
      </c>
      <c r="AA2" s="7">
        <f>$B2 * IFERROR(VLOOKUP("buildings|NOx|Premature mortality", US_national_yearly!$D:$AM, 35, FALSE) / VLOOKUP("buildings|NOx|Premature mortality", US_national_yearly!$D:$AM, 10, FALSE), 1)</f>
        <v>9.7143895263435858E-4</v>
      </c>
      <c r="AB2" s="7">
        <f>$B2 * IFERROR(VLOOKUP("buildings|NOx|Premature mortality", US_national_yearly!$D:$AM, 36, FALSE) / VLOOKUP("buildings|NOx|Premature mortality", US_national_yearly!$D:$AM, 10, FALSE), 1)</f>
        <v>9.7159145549482692E-4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1.4529509325634086E-6</v>
      </c>
      <c r="C3" s="7">
        <f>$B3 * IFERROR(VLOOKUP("buildings|NOx|Infant mortality", US_national_yearly!$D:$AM, 11, FALSE) / VLOOKUP("buildings|NOx|Infant mortality", US_national_yearly!$D:$AM, 10, FALSE), 1)</f>
        <v>1.4391496039403944E-6</v>
      </c>
      <c r="D3" s="7">
        <f>$B3 * IFERROR(VLOOKUP("buildings|NOx|Infant mortality", US_national_yearly!$D:$AM, 12, FALSE) / VLOOKUP("buildings|NOx|Infant mortality", US_national_yearly!$D:$AM, 10, FALSE), 1)</f>
        <v>1.4253482753173799E-6</v>
      </c>
      <c r="E3" s="7">
        <f>$B3 * IFERROR(VLOOKUP("buildings|NOx|Infant mortality", US_national_yearly!$D:$AM, 13, FALSE) / VLOOKUP("buildings|NOx|Infant mortality", US_national_yearly!$D:$AM, 10, FALSE), 1)</f>
        <v>1.4115469466943656E-6</v>
      </c>
      <c r="F3" s="7">
        <f>$B3 * IFERROR(VLOOKUP("buildings|NOx|Infant mortality", US_national_yearly!$D:$AM, 14, FALSE) / VLOOKUP("buildings|NOx|Infant mortality", US_national_yearly!$D:$AM, 10, FALSE), 1)</f>
        <v>1.3977456180713512E-6</v>
      </c>
      <c r="G3" s="7">
        <f>$B3 * IFERROR(VLOOKUP("buildings|NOx|Infant mortality", US_national_yearly!$D:$AM, 15, FALSE) / VLOOKUP("buildings|NOx|Infant mortality", US_national_yearly!$D:$AM, 10, FALSE), 1)</f>
        <v>9.2773610821863999E-7</v>
      </c>
      <c r="H3" s="7">
        <f>$B3 * IFERROR(VLOOKUP("buildings|NOx|Infant mortality", US_national_yearly!$D:$AM, 16, FALSE) / VLOOKUP("buildings|NOx|Infant mortality", US_national_yearly!$D:$AM, 10, FALSE), 1)</f>
        <v>4.5772659836592877E-7</v>
      </c>
      <c r="I3" s="7">
        <f>$B3 * IFERROR(VLOOKUP("buildings|NOx|Infant mortality", US_national_yearly!$D:$AM, 17, FALSE) / VLOOKUP("buildings|NOx|Infant mortality", US_national_yearly!$D:$AM, 10, FALSE), 1)</f>
        <v>4.5449296209129097E-7</v>
      </c>
      <c r="J3" s="7">
        <f>$B3 * IFERROR(VLOOKUP("buildings|NOx|Infant mortality", US_national_yearly!$D:$AM, 18, FALSE) / VLOOKUP("buildings|NOx|Infant mortality", US_national_yearly!$D:$AM, 10, FALSE), 1)</f>
        <v>4.5125932581665307E-7</v>
      </c>
      <c r="K3" s="7">
        <f>$B3 * IFERROR(VLOOKUP("buildings|NOx|Infant mortality", US_national_yearly!$D:$AM, 19, FALSE) / VLOOKUP("buildings|NOx|Infant mortality", US_national_yearly!$D:$AM, 10, FALSE), 1)</f>
        <v>4.4802568954201527E-7</v>
      </c>
      <c r="L3" s="7">
        <f>$B3 * IFERROR(VLOOKUP("buildings|NOx|Infant mortality", US_national_yearly!$D:$AM, 20, FALSE) / VLOOKUP("buildings|NOx|Infant mortality", US_national_yearly!$D:$AM, 10, FALSE), 1)</f>
        <v>4.4479205326737742E-7</v>
      </c>
      <c r="M3" s="7">
        <f>$B3 * IFERROR(VLOOKUP("buildings|NOx|Infant mortality", US_national_yearly!$D:$AM, 21, FALSE) / VLOOKUP("buildings|NOx|Infant mortality", US_national_yearly!$D:$AM, 10, FALSE), 1)</f>
        <v>4.4155841699273952E-7</v>
      </c>
      <c r="N3" s="7">
        <f>$B3 * IFERROR(VLOOKUP("buildings|NOx|Infant mortality", US_national_yearly!$D:$AM, 22, FALSE) / VLOOKUP("buildings|NOx|Infant mortality", US_national_yearly!$D:$AM, 10, FALSE), 1)</f>
        <v>4.3941566728459556E-7</v>
      </c>
      <c r="O3" s="7">
        <f>$B3 * IFERROR(VLOOKUP("buildings|NOx|Infant mortality", US_national_yearly!$D:$AM, 23, FALSE) / VLOOKUP("buildings|NOx|Infant mortality", US_national_yearly!$D:$AM, 10, FALSE), 1)</f>
        <v>4.3727291757645155E-7</v>
      </c>
      <c r="P3" s="7">
        <f>$B3 * IFERROR(VLOOKUP("buildings|NOx|Infant mortality", US_national_yearly!$D:$AM, 24, FALSE) / VLOOKUP("buildings|NOx|Infant mortality", US_national_yearly!$D:$AM, 10, FALSE), 1)</f>
        <v>4.3513016786830753E-7</v>
      </c>
      <c r="Q3" s="7">
        <f>$B3 * IFERROR(VLOOKUP("buildings|NOx|Infant mortality", US_national_yearly!$D:$AM, 25, FALSE) / VLOOKUP("buildings|NOx|Infant mortality", US_national_yearly!$D:$AM, 10, FALSE), 1)</f>
        <v>4.3298741816016363E-7</v>
      </c>
      <c r="R3" s="7">
        <f>$B3 * IFERROR(VLOOKUP("buildings|NOx|Infant mortality", US_national_yearly!$D:$AM, 26, FALSE) / VLOOKUP("buildings|NOx|Infant mortality", US_national_yearly!$D:$AM, 10, FALSE), 1)</f>
        <v>4.3084466845201961E-7</v>
      </c>
      <c r="S3" s="7">
        <f>$B3 * IFERROR(VLOOKUP("buildings|NOx|Infant mortality", US_national_yearly!$D:$AM, 27, FALSE) / VLOOKUP("buildings|NOx|Infant mortality", US_national_yearly!$D:$AM, 10, FALSE), 1)</f>
        <v>4.2826707740589506E-7</v>
      </c>
      <c r="T3" s="7">
        <f>$B3 * IFERROR(VLOOKUP("buildings|NOx|Infant mortality", US_national_yearly!$D:$AM, 28, FALSE) / VLOOKUP("buildings|NOx|Infant mortality", US_national_yearly!$D:$AM, 10, FALSE), 1)</f>
        <v>4.2568948635977061E-7</v>
      </c>
      <c r="U3" s="7">
        <f>$B3 * IFERROR(VLOOKUP("buildings|NOx|Infant mortality", US_national_yearly!$D:$AM, 29, FALSE) / VLOOKUP("buildings|NOx|Infant mortality", US_national_yearly!$D:$AM, 10, FALSE), 1)</f>
        <v>4.2311189531364606E-7</v>
      </c>
      <c r="V3" s="7">
        <f>$B3 * IFERROR(VLOOKUP("buildings|NOx|Infant mortality", US_national_yearly!$D:$AM, 30, FALSE) / VLOOKUP("buildings|NOx|Infant mortality", US_national_yearly!$D:$AM, 10, FALSE), 1)</f>
        <v>4.2053430426752145E-7</v>
      </c>
      <c r="W3" s="7">
        <f>$B3 * IFERROR(VLOOKUP("buildings|NOx|Infant mortality", US_national_yearly!$D:$AM, 31, FALSE) / VLOOKUP("buildings|NOx|Infant mortality", US_national_yearly!$D:$AM, 10, FALSE), 1)</f>
        <v>4.17956713221397E-7</v>
      </c>
      <c r="X3" s="7">
        <f>$B3 * IFERROR(VLOOKUP("buildings|NOx|Infant mortality", US_national_yearly!$D:$AM, 32, FALSE) / VLOOKUP("buildings|NOx|Infant mortality", US_national_yearly!$D:$AM, 10, FALSE), 1)</f>
        <v>4.1522939598387437E-7</v>
      </c>
      <c r="Y3" s="7">
        <f>$B3 * IFERROR(VLOOKUP("buildings|NOx|Infant mortality", US_national_yearly!$D:$AM, 33, FALSE) / VLOOKUP("buildings|NOx|Infant mortality", US_national_yearly!$D:$AM, 10, FALSE), 1)</f>
        <v>4.1250207874635185E-7</v>
      </c>
      <c r="Z3" s="7">
        <f>$B3 * IFERROR(VLOOKUP("buildings|NOx|Infant mortality", US_national_yearly!$D:$AM, 34, FALSE) / VLOOKUP("buildings|NOx|Infant mortality", US_national_yearly!$D:$AM, 10, FALSE), 1)</f>
        <v>4.0977476150882922E-7</v>
      </c>
      <c r="AA3" s="7">
        <f>$B3 * IFERROR(VLOOKUP("buildings|NOx|Infant mortality", US_national_yearly!$D:$AM, 35, FALSE) / VLOOKUP("buildings|NOx|Infant mortality", US_national_yearly!$D:$AM, 10, FALSE), 1)</f>
        <v>4.0704744427130659E-7</v>
      </c>
      <c r="AB3" s="7">
        <f>$B3 * IFERROR(VLOOKUP("buildings|NOx|Infant mortality", US_national_yearly!$D:$AM, 36, FALSE) / VLOOKUP("buildings|NOx|Infant mortality", US_national_yearly!$D:$AM, 10, FALSE), 1)</f>
        <v>4.0432012703378396E-7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1.9364129903498739E-3</v>
      </c>
      <c r="C6" s="7">
        <f>$B6 * IFERROR(VLOOKUP("buildings|NOx|Asthma symptoms cough", US_national_yearly!$D:$AM, 11, FALSE) / VLOOKUP("buildings|NOx|Asthma symptoms cough", US_national_yearly!$D:$AM, 10, FALSE), 1)</f>
        <v>1.9629133295659068E-3</v>
      </c>
      <c r="D6" s="7">
        <f>$B6 * IFERROR(VLOOKUP("buildings|NOx|Asthma symptoms cough", US_national_yearly!$D:$AM, 12, FALSE) / VLOOKUP("buildings|NOx|Asthma symptoms cough", US_national_yearly!$D:$AM, 10, FALSE), 1)</f>
        <v>1.9894136687819406E-3</v>
      </c>
      <c r="E6" s="7">
        <f>$B6 * IFERROR(VLOOKUP("buildings|NOx|Asthma symptoms cough", US_national_yearly!$D:$AM, 13, FALSE) / VLOOKUP("buildings|NOx|Asthma symptoms cough", US_national_yearly!$D:$AM, 10, FALSE), 1)</f>
        <v>2.0159140079979735E-3</v>
      </c>
      <c r="F6" s="7">
        <f>$B6 * IFERROR(VLOOKUP("buildings|NOx|Asthma symptoms cough", US_national_yearly!$D:$AM, 14, FALSE) / VLOOKUP("buildings|NOx|Asthma symptoms cough", US_national_yearly!$D:$AM, 10, FALSE), 1)</f>
        <v>2.0424143472140069E-3</v>
      </c>
      <c r="G6" s="7">
        <f>$B6 * IFERROR(VLOOKUP("buildings|NOx|Asthma symptoms cough", US_national_yearly!$D:$AM, 15, FALSE) / VLOOKUP("buildings|NOx|Asthma symptoms cough", US_national_yearly!$D:$AM, 10, FALSE), 1)</f>
        <v>2.063593083870969E-3</v>
      </c>
      <c r="H6" s="7">
        <f>$B6 * IFERROR(VLOOKUP("buildings|NOx|Asthma symptoms cough", US_national_yearly!$D:$AM, 16, FALSE) / VLOOKUP("buildings|NOx|Asthma symptoms cough", US_national_yearly!$D:$AM, 10, FALSE), 1)</f>
        <v>2.0847718205279316E-3</v>
      </c>
      <c r="I6" s="7">
        <f>$B6 * IFERROR(VLOOKUP("buildings|NOx|Asthma symptoms cough", US_national_yearly!$D:$AM, 17, FALSE) / VLOOKUP("buildings|NOx|Asthma symptoms cough", US_national_yearly!$D:$AM, 10, FALSE), 1)</f>
        <v>2.09210115577396E-3</v>
      </c>
      <c r="J6" s="7">
        <f>$B6 * IFERROR(VLOOKUP("buildings|NOx|Asthma symptoms cough", US_national_yearly!$D:$AM, 18, FALSE) / VLOOKUP("buildings|NOx|Asthma symptoms cough", US_national_yearly!$D:$AM, 10, FALSE), 1)</f>
        <v>2.0994304910199883E-3</v>
      </c>
      <c r="K6" s="7">
        <f>$B6 * IFERROR(VLOOKUP("buildings|NOx|Asthma symptoms cough", US_national_yearly!$D:$AM, 19, FALSE) / VLOOKUP("buildings|NOx|Asthma symptoms cough", US_national_yearly!$D:$AM, 10, FALSE), 1)</f>
        <v>2.1067598262660158E-3</v>
      </c>
      <c r="L6" s="7">
        <f>$B6 * IFERROR(VLOOKUP("buildings|NOx|Asthma symptoms cough", US_national_yearly!$D:$AM, 20, FALSE) / VLOOKUP("buildings|NOx|Asthma symptoms cough", US_national_yearly!$D:$AM, 10, FALSE), 1)</f>
        <v>2.1140891615120442E-3</v>
      </c>
      <c r="M6" s="7">
        <f>$B6 * IFERROR(VLOOKUP("buildings|NOx|Asthma symptoms cough", US_national_yearly!$D:$AM, 21, FALSE) / VLOOKUP("buildings|NOx|Asthma symptoms cough", US_national_yearly!$D:$AM, 10, FALSE), 1)</f>
        <v>2.1214184967580717E-3</v>
      </c>
      <c r="N6" s="7">
        <f>$B6 * IFERROR(VLOOKUP("buildings|NOx|Asthma symptoms cough", US_national_yearly!$D:$AM, 22, FALSE) / VLOOKUP("buildings|NOx|Asthma symptoms cough", US_national_yearly!$D:$AM, 10, FALSE), 1)</f>
        <v>2.1298934973167441E-3</v>
      </c>
      <c r="O6" s="7">
        <f>$B6 * IFERROR(VLOOKUP("buildings|NOx|Asthma symptoms cough", US_national_yearly!$D:$AM, 23, FALSE) / VLOOKUP("buildings|NOx|Asthma symptoms cough", US_national_yearly!$D:$AM, 10, FALSE), 1)</f>
        <v>2.1383684978754157E-3</v>
      </c>
      <c r="P6" s="7">
        <f>$B6 * IFERROR(VLOOKUP("buildings|NOx|Asthma symptoms cough", US_national_yearly!$D:$AM, 24, FALSE) / VLOOKUP("buildings|NOx|Asthma symptoms cough", US_national_yearly!$D:$AM, 10, FALSE), 1)</f>
        <v>2.1468434984340877E-3</v>
      </c>
      <c r="Q6" s="7">
        <f>$B6 * IFERROR(VLOOKUP("buildings|NOx|Asthma symptoms cough", US_national_yearly!$D:$AM, 25, FALSE) / VLOOKUP("buildings|NOx|Asthma symptoms cough", US_national_yearly!$D:$AM, 10, FALSE), 1)</f>
        <v>2.1553184989927597E-3</v>
      </c>
      <c r="R6" s="7">
        <f>$B6 * IFERROR(VLOOKUP("buildings|NOx|Asthma symptoms cough", US_national_yearly!$D:$AM, 26, FALSE) / VLOOKUP("buildings|NOx|Asthma symptoms cough", US_national_yearly!$D:$AM, 10, FALSE), 1)</f>
        <v>2.1637934995514317E-3</v>
      </c>
      <c r="S6" s="7">
        <f>$B6 * IFERROR(VLOOKUP("buildings|NOx|Asthma symptoms cough", US_national_yearly!$D:$AM, 27, FALSE) / VLOOKUP("buildings|NOx|Asthma symptoms cough", US_national_yearly!$D:$AM, 10, FALSE), 1)</f>
        <v>2.1748620298895137E-3</v>
      </c>
      <c r="T6" s="7">
        <f>$B6 * IFERROR(VLOOKUP("buildings|NOx|Asthma symptoms cough", US_national_yearly!$D:$AM, 28, FALSE) / VLOOKUP("buildings|NOx|Asthma symptoms cough", US_national_yearly!$D:$AM, 10, FALSE), 1)</f>
        <v>2.1859305602275956E-3</v>
      </c>
      <c r="U6" s="7">
        <f>$B6 * IFERROR(VLOOKUP("buildings|NOx|Asthma symptoms cough", US_national_yearly!$D:$AM, 29, FALSE) / VLOOKUP("buildings|NOx|Asthma symptoms cough", US_national_yearly!$D:$AM, 10, FALSE), 1)</f>
        <v>2.1969990905656772E-3</v>
      </c>
      <c r="V6" s="7">
        <f>$B6 * IFERROR(VLOOKUP("buildings|NOx|Asthma symptoms cough", US_national_yearly!$D:$AM, 30, FALSE) / VLOOKUP("buildings|NOx|Asthma symptoms cough", US_national_yearly!$D:$AM, 10, FALSE), 1)</f>
        <v>2.20806762090376E-3</v>
      </c>
      <c r="W6" s="7">
        <f>$B6 * IFERROR(VLOOKUP("buildings|NOx|Asthma symptoms cough", US_national_yearly!$D:$AM, 31, FALSE) / VLOOKUP("buildings|NOx|Asthma symptoms cough", US_national_yearly!$D:$AM, 10, FALSE), 1)</f>
        <v>2.2191361512418416E-3</v>
      </c>
      <c r="X6" s="7">
        <f>$B6 * IFERROR(VLOOKUP("buildings|NOx|Asthma symptoms cough", US_national_yearly!$D:$AM, 32, FALSE) / VLOOKUP("buildings|NOx|Asthma symptoms cough", US_national_yearly!$D:$AM, 10, FALSE), 1)</f>
        <v>2.2294203389851834E-3</v>
      </c>
      <c r="Y6" s="7">
        <f>$B6 * IFERROR(VLOOKUP("buildings|NOx|Asthma symptoms cough", US_national_yearly!$D:$AM, 33, FALSE) / VLOOKUP("buildings|NOx|Asthma symptoms cough", US_national_yearly!$D:$AM, 10, FALSE), 1)</f>
        <v>2.2397045267285257E-3</v>
      </c>
      <c r="Z6" s="7">
        <f>$B6 * IFERROR(VLOOKUP("buildings|NOx|Asthma symptoms cough", US_national_yearly!$D:$AM, 34, FALSE) / VLOOKUP("buildings|NOx|Asthma symptoms cough", US_national_yearly!$D:$AM, 10, FALSE), 1)</f>
        <v>2.249988714471868E-3</v>
      </c>
      <c r="AA6" s="7">
        <f>$B6 * IFERROR(VLOOKUP("buildings|NOx|Asthma symptoms cough", US_national_yearly!$D:$AM, 35, FALSE) / VLOOKUP("buildings|NOx|Asthma symptoms cough", US_national_yearly!$D:$AM, 10, FALSE), 1)</f>
        <v>2.2602729022152103E-3</v>
      </c>
      <c r="AB6" s="7">
        <f>$B6 * IFERROR(VLOOKUP("buildings|NOx|Asthma symptoms cough", US_national_yearly!$D:$AM, 36, FALSE) / VLOOKUP("buildings|NOx|Asthma symptoms cough", US_national_yearly!$D:$AM, 10, FALSE), 1)</f>
        <v>2.2705570899585526E-3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2.6076467050775514E-3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2.643333060440648E-3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2.6790194158037442E-3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2.7147057711668409E-3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2.7503921265299371E-3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2.7789122113045846E-3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2.8074322960792318E-3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2.8173022549857988E-3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2.8271722138923654E-3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2.8370421727989328E-3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2.8469121317054999E-3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2.8567820906120669E-3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2.8681948456210646E-3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2.8796076006300624E-3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2.8910203556390605E-3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2.9024331106480583E-3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2.913845865657056E-3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2.9287511656419219E-3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2.9436564656267878E-3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2.9585617656116541E-3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2.9734670655965191E-3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2.9883723655813855E-3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3.0022214402676906E-3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3.0160705149539957E-3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3.0299195896403008E-3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3.0437686643266051E-3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3.0576177390129106E-3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3.9840934793605879E-3</v>
      </c>
      <c r="C8" s="7">
        <f>$B8 * IFERROR(VLOOKUP("buildings|NOx|Asthma symptoms wheeze", US_national_yearly!$D:$AM, 11, FALSE) / VLOOKUP("buildings|NOx|Asthma symptoms wheeze", US_national_yearly!$D:$AM, 10, FALSE), 1)</f>
        <v>4.0386168838405772E-3</v>
      </c>
      <c r="D8" s="7">
        <f>$B8 * IFERROR(VLOOKUP("buildings|NOx|Asthma symptoms wheeze", US_national_yearly!$D:$AM, 12, FALSE) / VLOOKUP("buildings|NOx|Asthma symptoms wheeze", US_national_yearly!$D:$AM, 10, FALSE), 1)</f>
        <v>4.0931402883205665E-3</v>
      </c>
      <c r="E8" s="7">
        <f>$B8 * IFERROR(VLOOKUP("buildings|NOx|Asthma symptoms wheeze", US_national_yearly!$D:$AM, 13, FALSE) / VLOOKUP("buildings|NOx|Asthma symptoms wheeze", US_national_yearly!$D:$AM, 10, FALSE), 1)</f>
        <v>4.147663692800555E-3</v>
      </c>
      <c r="F8" s="7">
        <f>$B8 * IFERROR(VLOOKUP("buildings|NOx|Asthma symptoms wheeze", US_national_yearly!$D:$AM, 14, FALSE) / VLOOKUP("buildings|NOx|Asthma symptoms wheeze", US_national_yearly!$D:$AM, 10, FALSE), 1)</f>
        <v>4.2021870972805452E-3</v>
      </c>
      <c r="G8" s="7">
        <f>$B8 * IFERROR(VLOOKUP("buildings|NOx|Asthma symptoms wheeze", US_national_yearly!$D:$AM, 15, FALSE) / VLOOKUP("buildings|NOx|Asthma symptoms wheeze", US_national_yearly!$D:$AM, 10, FALSE), 1)</f>
        <v>4.245761514035439E-3</v>
      </c>
      <c r="H8" s="7">
        <f>$B8 * IFERROR(VLOOKUP("buildings|NOx|Asthma symptoms wheeze", US_national_yearly!$D:$AM, 16, FALSE) / VLOOKUP("buildings|NOx|Asthma symptoms wheeze", US_national_yearly!$D:$AM, 10, FALSE), 1)</f>
        <v>4.289335930790332E-3</v>
      </c>
      <c r="I8" s="7">
        <f>$B8 * IFERROR(VLOOKUP("buildings|NOx|Asthma symptoms wheeze", US_national_yearly!$D:$AM, 17, FALSE) / VLOOKUP("buildings|NOx|Asthma symptoms wheeze", US_national_yearly!$D:$AM, 10, FALSE), 1)</f>
        <v>4.3044157494673821E-3</v>
      </c>
      <c r="J8" s="7">
        <f>$B8 * IFERROR(VLOOKUP("buildings|NOx|Asthma symptoms wheeze", US_national_yearly!$D:$AM, 18, FALSE) / VLOOKUP("buildings|NOx|Asthma symptoms wheeze", US_national_yearly!$D:$AM, 10, FALSE), 1)</f>
        <v>4.3194955681444321E-3</v>
      </c>
      <c r="K8" s="7">
        <f>$B8 * IFERROR(VLOOKUP("buildings|NOx|Asthma symptoms wheeze", US_national_yearly!$D:$AM, 19, FALSE) / VLOOKUP("buildings|NOx|Asthma symptoms wheeze", US_national_yearly!$D:$AM, 10, FALSE), 1)</f>
        <v>4.3345753868214822E-3</v>
      </c>
      <c r="L8" s="7">
        <f>$B8 * IFERROR(VLOOKUP("buildings|NOx|Asthma symptoms wheeze", US_national_yearly!$D:$AM, 20, FALSE) / VLOOKUP("buildings|NOx|Asthma symptoms wheeze", US_national_yearly!$D:$AM, 10, FALSE), 1)</f>
        <v>4.3496552054985323E-3</v>
      </c>
      <c r="M8" s="7">
        <f>$B8 * IFERROR(VLOOKUP("buildings|NOx|Asthma symptoms wheeze", US_national_yearly!$D:$AM, 21, FALSE) / VLOOKUP("buildings|NOx|Asthma symptoms wheeze", US_national_yearly!$D:$AM, 10, FALSE), 1)</f>
        <v>4.3647350241755832E-3</v>
      </c>
      <c r="N8" s="7">
        <f>$B8 * IFERROR(VLOOKUP("buildings|NOx|Asthma symptoms wheeze", US_national_yearly!$D:$AM, 22, FALSE) / VLOOKUP("buildings|NOx|Asthma symptoms wheeze", US_national_yearly!$D:$AM, 10, FALSE), 1)</f>
        <v>4.3821720041236157E-3</v>
      </c>
      <c r="O8" s="7">
        <f>$B8 * IFERROR(VLOOKUP("buildings|NOx|Asthma symptoms wheeze", US_national_yearly!$D:$AM, 23, FALSE) / VLOOKUP("buildings|NOx|Asthma symptoms wheeze", US_national_yearly!$D:$AM, 10, FALSE), 1)</f>
        <v>4.399608984071649E-3</v>
      </c>
      <c r="P8" s="7">
        <f>$B8 * IFERROR(VLOOKUP("buildings|NOx|Asthma symptoms wheeze", US_national_yearly!$D:$AM, 24, FALSE) / VLOOKUP("buildings|NOx|Asthma symptoms wheeze", US_national_yearly!$D:$AM, 10, FALSE), 1)</f>
        <v>4.4170459640196814E-3</v>
      </c>
      <c r="Q8" s="7">
        <f>$B8 * IFERROR(VLOOKUP("buildings|NOx|Asthma symptoms wheeze", US_national_yearly!$D:$AM, 25, FALSE) / VLOOKUP("buildings|NOx|Asthma symptoms wheeze", US_national_yearly!$D:$AM, 10, FALSE), 1)</f>
        <v>4.4344829439677148E-3</v>
      </c>
      <c r="R8" s="7">
        <f>$B8 * IFERROR(VLOOKUP("buildings|NOx|Asthma symptoms wheeze", US_national_yearly!$D:$AM, 26, FALSE) / VLOOKUP("buildings|NOx|Asthma symptoms wheeze", US_national_yearly!$D:$AM, 10, FALSE), 1)</f>
        <v>4.4519199239157472E-3</v>
      </c>
      <c r="S8" s="7">
        <f>$B8 * IFERROR(VLOOKUP("buildings|NOx|Asthma symptoms wheeze", US_national_yearly!$D:$AM, 27, FALSE) / VLOOKUP("buildings|NOx|Asthma symptoms wheeze", US_national_yearly!$D:$AM, 10, FALSE), 1)</f>
        <v>4.4746929892705827E-3</v>
      </c>
      <c r="T8" s="7">
        <f>$B8 * IFERROR(VLOOKUP("buildings|NOx|Asthma symptoms wheeze", US_national_yearly!$D:$AM, 28, FALSE) / VLOOKUP("buildings|NOx|Asthma symptoms wheeze", US_national_yearly!$D:$AM, 10, FALSE), 1)</f>
        <v>4.4974660546254182E-3</v>
      </c>
      <c r="U8" s="7">
        <f>$B8 * IFERROR(VLOOKUP("buildings|NOx|Asthma symptoms wheeze", US_national_yearly!$D:$AM, 29, FALSE) / VLOOKUP("buildings|NOx|Asthma symptoms wheeze", US_national_yearly!$D:$AM, 10, FALSE), 1)</f>
        <v>4.5202391199802528E-3</v>
      </c>
      <c r="V8" s="7">
        <f>$B8 * IFERROR(VLOOKUP("buildings|NOx|Asthma symptoms wheeze", US_national_yearly!$D:$AM, 30, FALSE) / VLOOKUP("buildings|NOx|Asthma symptoms wheeze", US_national_yearly!$D:$AM, 10, FALSE), 1)</f>
        <v>4.5430121853350883E-3</v>
      </c>
      <c r="W8" s="7">
        <f>$B8 * IFERROR(VLOOKUP("buildings|NOx|Asthma symptoms wheeze", US_national_yearly!$D:$AM, 31, FALSE) / VLOOKUP("buildings|NOx|Asthma symptoms wheeze", US_national_yearly!$D:$AM, 10, FALSE), 1)</f>
        <v>4.5657852506899238E-3</v>
      </c>
      <c r="X8" s="7">
        <f>$B8 * IFERROR(VLOOKUP("buildings|NOx|Asthma symptoms wheeze", US_national_yearly!$D:$AM, 32, FALSE) / VLOOKUP("buildings|NOx|Asthma symptoms wheeze", US_national_yearly!$D:$AM, 10, FALSE), 1)</f>
        <v>4.5869445620401201E-3</v>
      </c>
      <c r="Y8" s="7">
        <f>$B8 * IFERROR(VLOOKUP("buildings|NOx|Asthma symptoms wheeze", US_national_yearly!$D:$AM, 33, FALSE) / VLOOKUP("buildings|NOx|Asthma symptoms wheeze", US_national_yearly!$D:$AM, 10, FALSE), 1)</f>
        <v>4.6081038733903163E-3</v>
      </c>
      <c r="Z8" s="7">
        <f>$B8 * IFERROR(VLOOKUP("buildings|NOx|Asthma symptoms wheeze", US_national_yearly!$D:$AM, 34, FALSE) / VLOOKUP("buildings|NOx|Asthma symptoms wheeze", US_national_yearly!$D:$AM, 10, FALSE), 1)</f>
        <v>4.6292631847405135E-3</v>
      </c>
      <c r="AA8" s="7">
        <f>$B8 * IFERROR(VLOOKUP("buildings|NOx|Asthma symptoms wheeze", US_national_yearly!$D:$AM, 35, FALSE) / VLOOKUP("buildings|NOx|Asthma symptoms wheeze", US_national_yearly!$D:$AM, 10, FALSE), 1)</f>
        <v>4.6504224960907097E-3</v>
      </c>
      <c r="AB8" s="7">
        <f>$B8 * IFERROR(VLOOKUP("buildings|NOx|Asthma symptoms wheeze", US_national_yearly!$D:$AM, 36, FALSE) / VLOOKUP("buildings|NOx|Asthma symptoms wheeze", US_national_yearly!$D:$AM, 10, FALSE), 1)</f>
        <v>4.6715818074409068E-3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4.3178154260377393E-5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4.425693239991155E-5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4.5335710539445707E-5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4.641448867897987E-5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4.7493266818514027E-5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4.8524611546893304E-5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4.9555956275272553E-5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5.0432059323275182E-5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5.1308162371277811E-5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5.2184265419280433E-5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5.3060368467283063E-5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5.3936471515285685E-5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5.4522141582374931E-5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5.5107811649464184E-5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5.569348171655343E-5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5.6279151783642683E-5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5.6864821850731922E-5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5.7178840404470509E-5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5.7492858958209089E-5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5.780687751194767E-5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5.8120896065686257E-5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5.843491461942483E-5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5.8649875136292128E-5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5.8864835653159413E-5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5.9079796170026718E-5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5.9294756686894009E-5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5.9509717203761308E-5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2.9831261947947869E-4</v>
      </c>
      <c r="C13" s="7">
        <f>$B13 * IFERROR(VLOOKUP("buildings|NOx|Non-fatal heart attacks", US_national_yearly!$D:$AM, 11, FALSE) / VLOOKUP("buildings|NOx|Non-fatal heart attacks", US_national_yearly!$D:$AM, 10, FALSE), 1)</f>
        <v>3.0684673530421389E-4</v>
      </c>
      <c r="D13" s="7">
        <f>$B13 * IFERROR(VLOOKUP("buildings|NOx|Non-fatal heart attacks", US_national_yearly!$D:$AM, 12, FALSE) / VLOOKUP("buildings|NOx|Non-fatal heart attacks", US_national_yearly!$D:$AM, 10, FALSE), 1)</f>
        <v>3.1538085112894925E-4</v>
      </c>
      <c r="E13" s="7">
        <f>$B13 * IFERROR(VLOOKUP("buildings|NOx|Non-fatal heart attacks", US_national_yearly!$D:$AM, 13, FALSE) / VLOOKUP("buildings|NOx|Non-fatal heart attacks", US_national_yearly!$D:$AM, 10, FALSE), 1)</f>
        <v>3.2391496695368446E-4</v>
      </c>
      <c r="F13" s="7">
        <f>$B13 * IFERROR(VLOOKUP("buildings|NOx|Non-fatal heart attacks", US_national_yearly!$D:$AM, 14, FALSE) / VLOOKUP("buildings|NOx|Non-fatal heart attacks", US_national_yearly!$D:$AM, 10, FALSE), 1)</f>
        <v>3.3244908277841966E-4</v>
      </c>
      <c r="G13" s="7">
        <f>$B13 * IFERROR(VLOOKUP("buildings|NOx|Non-fatal heart attacks", US_national_yearly!$D:$AM, 15, FALSE) / VLOOKUP("buildings|NOx|Non-fatal heart attacks", US_national_yearly!$D:$AM, 10, FALSE), 1)</f>
        <v>3.4042589213581742E-4</v>
      </c>
      <c r="H13" s="7">
        <f>$B13 * IFERROR(VLOOKUP("buildings|NOx|Non-fatal heart attacks", US_national_yearly!$D:$AM, 16, FALSE) / VLOOKUP("buildings|NOx|Non-fatal heart attacks", US_national_yearly!$D:$AM, 10, FALSE), 1)</f>
        <v>3.4840270149321528E-4</v>
      </c>
      <c r="I13" s="7">
        <f>$B13 * IFERROR(VLOOKUP("buildings|NOx|Non-fatal heart attacks", US_national_yearly!$D:$AM, 17, FALSE) / VLOOKUP("buildings|NOx|Non-fatal heart attacks", US_national_yearly!$D:$AM, 10, FALSE), 1)</f>
        <v>3.5469583066685559E-4</v>
      </c>
      <c r="J13" s="7">
        <f>$B13 * IFERROR(VLOOKUP("buildings|NOx|Non-fatal heart attacks", US_national_yearly!$D:$AM, 18, FALSE) / VLOOKUP("buildings|NOx|Non-fatal heart attacks", US_national_yearly!$D:$AM, 10, FALSE), 1)</f>
        <v>3.6098895984049595E-4</v>
      </c>
      <c r="K13" s="7">
        <f>$B13 * IFERROR(VLOOKUP("buildings|NOx|Non-fatal heart attacks", US_national_yearly!$D:$AM, 19, FALSE) / VLOOKUP("buildings|NOx|Non-fatal heart attacks", US_national_yearly!$D:$AM, 10, FALSE), 1)</f>
        <v>3.6728208901413642E-4</v>
      </c>
      <c r="L13" s="7">
        <f>$B13 * IFERROR(VLOOKUP("buildings|NOx|Non-fatal heart attacks", US_national_yearly!$D:$AM, 20, FALSE) / VLOOKUP("buildings|NOx|Non-fatal heart attacks", US_national_yearly!$D:$AM, 10, FALSE), 1)</f>
        <v>3.7357521818777651E-4</v>
      </c>
      <c r="M13" s="7">
        <f>$B13 * IFERROR(VLOOKUP("buildings|NOx|Non-fatal heart attacks", US_national_yearly!$D:$AM, 21, FALSE) / VLOOKUP("buildings|NOx|Non-fatal heart attacks", US_national_yearly!$D:$AM, 10, FALSE), 1)</f>
        <v>3.7986834736141698E-4</v>
      </c>
      <c r="N13" s="7">
        <f>$B13 * IFERROR(VLOOKUP("buildings|NOx|Non-fatal heart attacks", US_national_yearly!$D:$AM, 22, FALSE) / VLOOKUP("buildings|NOx|Non-fatal heart attacks", US_national_yearly!$D:$AM, 10, FALSE), 1)</f>
        <v>3.8365574326821509E-4</v>
      </c>
      <c r="O13" s="7">
        <f>$B13 * IFERROR(VLOOKUP("buildings|NOx|Non-fatal heart attacks", US_national_yearly!$D:$AM, 23, FALSE) / VLOOKUP("buildings|NOx|Non-fatal heart attacks", US_national_yearly!$D:$AM, 10, FALSE), 1)</f>
        <v>3.8744313917501316E-4</v>
      </c>
      <c r="P13" s="7">
        <f>$B13 * IFERROR(VLOOKUP("buildings|NOx|Non-fatal heart attacks", US_national_yearly!$D:$AM, 24, FALSE) / VLOOKUP("buildings|NOx|Non-fatal heart attacks", US_national_yearly!$D:$AM, 10, FALSE), 1)</f>
        <v>3.9123053508181128E-4</v>
      </c>
      <c r="Q13" s="7">
        <f>$B13 * IFERROR(VLOOKUP("buildings|NOx|Non-fatal heart attacks", US_national_yearly!$D:$AM, 25, FALSE) / VLOOKUP("buildings|NOx|Non-fatal heart attacks", US_national_yearly!$D:$AM, 10, FALSE), 1)</f>
        <v>3.950179309886094E-4</v>
      </c>
      <c r="R13" s="7">
        <f>$B13 * IFERROR(VLOOKUP("buildings|NOx|Non-fatal heart attacks", US_national_yearly!$D:$AM, 26, FALSE) / VLOOKUP("buildings|NOx|Non-fatal heart attacks", US_national_yearly!$D:$AM, 10, FALSE), 1)</f>
        <v>3.9880532689540746E-4</v>
      </c>
      <c r="S13" s="7">
        <f>$B13 * IFERROR(VLOOKUP("buildings|NOx|Non-fatal heart attacks", US_national_yearly!$D:$AM, 27, FALSE) / VLOOKUP("buildings|NOx|Non-fatal heart attacks", US_national_yearly!$D:$AM, 10, FALSE), 1)</f>
        <v>4.0052646817558246E-4</v>
      </c>
      <c r="T13" s="7">
        <f>$B13 * IFERROR(VLOOKUP("buildings|NOx|Non-fatal heart attacks", US_national_yearly!$D:$AM, 28, FALSE) / VLOOKUP("buildings|NOx|Non-fatal heart attacks", US_national_yearly!$D:$AM, 10, FALSE), 1)</f>
        <v>4.0224760945575762E-4</v>
      </c>
      <c r="U13" s="7">
        <f>$B13 * IFERROR(VLOOKUP("buildings|NOx|Non-fatal heart attacks", US_national_yearly!$D:$AM, 29, FALSE) / VLOOKUP("buildings|NOx|Non-fatal heart attacks", US_national_yearly!$D:$AM, 10, FALSE), 1)</f>
        <v>4.0396875073593267E-4</v>
      </c>
      <c r="V13" s="7">
        <f>$B13 * IFERROR(VLOOKUP("buildings|NOx|Non-fatal heart attacks", US_national_yearly!$D:$AM, 30, FALSE) / VLOOKUP("buildings|NOx|Non-fatal heart attacks", US_national_yearly!$D:$AM, 10, FALSE), 1)</f>
        <v>4.0568989201610772E-4</v>
      </c>
      <c r="W13" s="7">
        <f>$B13 * IFERROR(VLOOKUP("buildings|NOx|Non-fatal heart attacks", US_national_yearly!$D:$AM, 31, FALSE) / VLOOKUP("buildings|NOx|Non-fatal heart attacks", US_national_yearly!$D:$AM, 10, FALSE), 1)</f>
        <v>4.0741103329628277E-4</v>
      </c>
      <c r="X13" s="7">
        <f>$B13 * IFERROR(VLOOKUP("buildings|NOx|Non-fatal heart attacks", US_national_yearly!$D:$AM, 32, FALSE) / VLOOKUP("buildings|NOx|Non-fatal heart attacks", US_national_yearly!$D:$AM, 10, FALSE), 1)</f>
        <v>4.0856233665760594E-4</v>
      </c>
      <c r="Y13" s="7">
        <f>$B13 * IFERROR(VLOOKUP("buildings|NOx|Non-fatal heart attacks", US_national_yearly!$D:$AM, 33, FALSE) / VLOOKUP("buildings|NOx|Non-fatal heart attacks", US_national_yearly!$D:$AM, 10, FALSE), 1)</f>
        <v>4.097136400189291E-4</v>
      </c>
      <c r="Z13" s="7">
        <f>$B13 * IFERROR(VLOOKUP("buildings|NOx|Non-fatal heart attacks", US_national_yearly!$D:$AM, 34, FALSE) / VLOOKUP("buildings|NOx|Non-fatal heart attacks", US_national_yearly!$D:$AM, 10, FALSE), 1)</f>
        <v>4.1086494338025238E-4</v>
      </c>
      <c r="AA13" s="7">
        <f>$B13 * IFERROR(VLOOKUP("buildings|NOx|Non-fatal heart attacks", US_national_yearly!$D:$AM, 35, FALSE) / VLOOKUP("buildings|NOx|Non-fatal heart attacks", US_national_yearly!$D:$AM, 10, FALSE), 1)</f>
        <v>4.1201624674157554E-4</v>
      </c>
      <c r="AB13" s="7">
        <f>$B13 * IFERROR(VLOOKUP("buildings|NOx|Non-fatal heart attacks", US_national_yearly!$D:$AM, 36, FALSE) / VLOOKUP("buildings|NOx|Non-fatal heart attacks", US_national_yearly!$D:$AM, 10, FALSE), 1)</f>
        <v>4.1316755010289871E-4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0.23629701797826394</v>
      </c>
      <c r="C14" s="7">
        <f>$B14 * IFERROR(VLOOKUP("buildings|NOx|Minor restricted activity days", US_national_yearly!$D:$AM, 11, FALSE) / VLOOKUP("buildings|NOx|Minor restricted activity days", US_national_yearly!$D:$AM, 10, FALSE), 1)</f>
        <v>0.23666369506759724</v>
      </c>
      <c r="D14" s="7">
        <f>$B14 * IFERROR(VLOOKUP("buildings|NOx|Minor restricted activity days", US_national_yearly!$D:$AM, 12, FALSE) / VLOOKUP("buildings|NOx|Minor restricted activity days", US_national_yearly!$D:$AM, 10, FALSE), 1)</f>
        <v>0.23703037215693054</v>
      </c>
      <c r="E14" s="7">
        <f>$B14 * IFERROR(VLOOKUP("buildings|NOx|Minor restricted activity days", US_national_yearly!$D:$AM, 13, FALSE) / VLOOKUP("buildings|NOx|Minor restricted activity days", US_national_yearly!$D:$AM, 10, FALSE), 1)</f>
        <v>0.23739704924626384</v>
      </c>
      <c r="F14" s="7">
        <f>$B14 * IFERROR(VLOOKUP("buildings|NOx|Minor restricted activity days", US_national_yearly!$D:$AM, 14, FALSE) / VLOOKUP("buildings|NOx|Minor restricted activity days", US_national_yearly!$D:$AM, 10, FALSE), 1)</f>
        <v>0.23776372633559714</v>
      </c>
      <c r="G14" s="7">
        <f>$B14 * IFERROR(VLOOKUP("buildings|NOx|Minor restricted activity days", US_national_yearly!$D:$AM, 15, FALSE) / VLOOKUP("buildings|NOx|Minor restricted activity days", US_national_yearly!$D:$AM, 10, FALSE), 1)</f>
        <v>0.23842246236288564</v>
      </c>
      <c r="H14" s="7">
        <f>$B14 * IFERROR(VLOOKUP("buildings|NOx|Minor restricted activity days", US_national_yearly!$D:$AM, 16, FALSE) / VLOOKUP("buildings|NOx|Minor restricted activity days", US_national_yearly!$D:$AM, 10, FALSE), 1)</f>
        <v>0.23908119839017417</v>
      </c>
      <c r="I14" s="7">
        <f>$B14 * IFERROR(VLOOKUP("buildings|NOx|Minor restricted activity days", US_national_yearly!$D:$AM, 17, FALSE) / VLOOKUP("buildings|NOx|Minor restricted activity days", US_national_yearly!$D:$AM, 10, FALSE), 1)</f>
        <v>0.2403655457050495</v>
      </c>
      <c r="J14" s="7">
        <f>$B14 * IFERROR(VLOOKUP("buildings|NOx|Minor restricted activity days", US_national_yearly!$D:$AM, 18, FALSE) / VLOOKUP("buildings|NOx|Minor restricted activity days", US_national_yearly!$D:$AM, 10, FALSE), 1)</f>
        <v>0.24164989301992484</v>
      </c>
      <c r="K14" s="7">
        <f>$B14 * IFERROR(VLOOKUP("buildings|NOx|Minor restricted activity days", US_national_yearly!$D:$AM, 19, FALSE) / VLOOKUP("buildings|NOx|Minor restricted activity days", US_national_yearly!$D:$AM, 10, FALSE), 1)</f>
        <v>0.24293424033480018</v>
      </c>
      <c r="L14" s="7">
        <f>$B14 * IFERROR(VLOOKUP("buildings|NOx|Minor restricted activity days", US_national_yearly!$D:$AM, 20, FALSE) / VLOOKUP("buildings|NOx|Minor restricted activity days", US_national_yearly!$D:$AM, 10, FALSE), 1)</f>
        <v>0.24421858764967549</v>
      </c>
      <c r="M14" s="7">
        <f>$B14 * IFERROR(VLOOKUP("buildings|NOx|Minor restricted activity days", US_national_yearly!$D:$AM, 21, FALSE) / VLOOKUP("buildings|NOx|Minor restricted activity days", US_national_yearly!$D:$AM, 10, FALSE), 1)</f>
        <v>0.24550293496455083</v>
      </c>
      <c r="N14" s="7">
        <f>$B14 * IFERROR(VLOOKUP("buildings|NOx|Minor restricted activity days", US_national_yearly!$D:$AM, 22, FALSE) / VLOOKUP("buildings|NOx|Minor restricted activity days", US_national_yearly!$D:$AM, 10, FALSE), 1)</f>
        <v>0.24734033287409846</v>
      </c>
      <c r="O14" s="7">
        <f>$B14 * IFERROR(VLOOKUP("buildings|NOx|Minor restricted activity days", US_national_yearly!$D:$AM, 23, FALSE) / VLOOKUP("buildings|NOx|Minor restricted activity days", US_national_yearly!$D:$AM, 10, FALSE), 1)</f>
        <v>0.249177730783646</v>
      </c>
      <c r="P14" s="7">
        <f>$B14 * IFERROR(VLOOKUP("buildings|NOx|Minor restricted activity days", US_national_yearly!$D:$AM, 24, FALSE) / VLOOKUP("buildings|NOx|Minor restricted activity days", US_national_yearly!$D:$AM, 10, FALSE), 1)</f>
        <v>0.25101512869319359</v>
      </c>
      <c r="Q14" s="7">
        <f>$B14 * IFERROR(VLOOKUP("buildings|NOx|Minor restricted activity days", US_national_yearly!$D:$AM, 25, FALSE) / VLOOKUP("buildings|NOx|Minor restricted activity days", US_national_yearly!$D:$AM, 10, FALSE), 1)</f>
        <v>0.25285252660274116</v>
      </c>
      <c r="R14" s="7">
        <f>$B14 * IFERROR(VLOOKUP("buildings|NOx|Minor restricted activity days", US_national_yearly!$D:$AM, 26, FALSE) / VLOOKUP("buildings|NOx|Minor restricted activity days", US_national_yearly!$D:$AM, 10, FALSE), 1)</f>
        <v>0.25468992451228872</v>
      </c>
      <c r="S14" s="7">
        <f>$B14 * IFERROR(VLOOKUP("buildings|NOx|Minor restricted activity days", US_national_yearly!$D:$AM, 27, FALSE) / VLOOKUP("buildings|NOx|Minor restricted activity days", US_national_yearly!$D:$AM, 10, FALSE), 1)</f>
        <v>0.2565267934848659</v>
      </c>
      <c r="T14" s="7">
        <f>$B14 * IFERROR(VLOOKUP("buildings|NOx|Minor restricted activity days", US_national_yearly!$D:$AM, 28, FALSE) / VLOOKUP("buildings|NOx|Minor restricted activity days", US_national_yearly!$D:$AM, 10, FALSE), 1)</f>
        <v>0.25836366245744313</v>
      </c>
      <c r="U14" s="7">
        <f>$B14 * IFERROR(VLOOKUP("buildings|NOx|Minor restricted activity days", US_national_yearly!$D:$AM, 29, FALSE) / VLOOKUP("buildings|NOx|Minor restricted activity days", US_national_yearly!$D:$AM, 10, FALSE), 1)</f>
        <v>0.26020053143002037</v>
      </c>
      <c r="V14" s="7">
        <f>$B14 * IFERROR(VLOOKUP("buildings|NOx|Minor restricted activity days", US_national_yearly!$D:$AM, 30, FALSE) / VLOOKUP("buildings|NOx|Minor restricted activity days", US_national_yearly!$D:$AM, 10, FALSE), 1)</f>
        <v>0.2620374004025976</v>
      </c>
      <c r="W14" s="7">
        <f>$B14 * IFERROR(VLOOKUP("buildings|NOx|Minor restricted activity days", US_national_yearly!$D:$AM, 31, FALSE) / VLOOKUP("buildings|NOx|Minor restricted activity days", US_national_yearly!$D:$AM, 10, FALSE), 1)</f>
        <v>0.26387426937517483</v>
      </c>
      <c r="X14" s="7">
        <f>$B14 * IFERROR(VLOOKUP("buildings|NOx|Minor restricted activity days", US_national_yearly!$D:$AM, 32, FALSE) / VLOOKUP("buildings|NOx|Minor restricted activity days", US_national_yearly!$D:$AM, 10, FALSE), 1)</f>
        <v>0.26542778491813768</v>
      </c>
      <c r="Y14" s="7">
        <f>$B14 * IFERROR(VLOOKUP("buildings|NOx|Minor restricted activity days", US_national_yearly!$D:$AM, 33, FALSE) / VLOOKUP("buildings|NOx|Minor restricted activity days", US_national_yearly!$D:$AM, 10, FALSE), 1)</f>
        <v>0.26698130046110058</v>
      </c>
      <c r="Z14" s="7">
        <f>$B14 * IFERROR(VLOOKUP("buildings|NOx|Minor restricted activity days", US_national_yearly!$D:$AM, 34, FALSE) / VLOOKUP("buildings|NOx|Minor restricted activity days", US_national_yearly!$D:$AM, 10, FALSE), 1)</f>
        <v>0.26853481600406343</v>
      </c>
      <c r="AA14" s="7">
        <f>$B14 * IFERROR(VLOOKUP("buildings|NOx|Minor restricted activity days", US_national_yearly!$D:$AM, 35, FALSE) / VLOOKUP("buildings|NOx|Minor restricted activity days", US_national_yearly!$D:$AM, 10, FALSE), 1)</f>
        <v>0.27008833154702633</v>
      </c>
      <c r="AB14" s="7">
        <f>$B14 * IFERROR(VLOOKUP("buildings|NOx|Minor restricted activity days", US_national_yearly!$D:$AM, 36, FALSE) / VLOOKUP("buildings|NOx|Minor restricted activity days", US_national_yearly!$D:$AM, 10, FALSE), 1)</f>
        <v>0.27164184708998917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4.0043190416424068E-2</v>
      </c>
      <c r="C15" s="7">
        <f>$B15 * IFERROR(VLOOKUP("buildings|NOx|Work loss days", US_national_yearly!$D:$AM, 11, FALSE) / VLOOKUP("buildings|NOx|Work loss days", US_national_yearly!$D:$AM, 10, FALSE), 1)</f>
        <v>4.0132956640352081E-2</v>
      </c>
      <c r="D15" s="7">
        <f>$B15 * IFERROR(VLOOKUP("buildings|NOx|Work loss days", US_national_yearly!$D:$AM, 12, FALSE) / VLOOKUP("buildings|NOx|Work loss days", US_national_yearly!$D:$AM, 10, FALSE), 1)</f>
        <v>4.022272286428008E-2</v>
      </c>
      <c r="E15" s="7">
        <f>$B15 * IFERROR(VLOOKUP("buildings|NOx|Work loss days", US_national_yearly!$D:$AM, 13, FALSE) / VLOOKUP("buildings|NOx|Work loss days", US_national_yearly!$D:$AM, 10, FALSE), 1)</f>
        <v>4.0312489088208087E-2</v>
      </c>
      <c r="F15" s="7">
        <f>$B15 * IFERROR(VLOOKUP("buildings|NOx|Work loss days", US_national_yearly!$D:$AM, 14, FALSE) / VLOOKUP("buildings|NOx|Work loss days", US_national_yearly!$D:$AM, 10, FALSE), 1)</f>
        <v>4.0402255312136093E-2</v>
      </c>
      <c r="G15" s="7">
        <f>$B15 * IFERROR(VLOOKUP("buildings|NOx|Work loss days", US_national_yearly!$D:$AM, 15, FALSE) / VLOOKUP("buildings|NOx|Work loss days", US_national_yearly!$D:$AM, 10, FALSE), 1)</f>
        <v>4.0533009881435322E-2</v>
      </c>
      <c r="H15" s="7">
        <f>$B15 * IFERROR(VLOOKUP("buildings|NOx|Work loss days", US_national_yearly!$D:$AM, 16, FALSE) / VLOOKUP("buildings|NOx|Work loss days", US_national_yearly!$D:$AM, 10, FALSE), 1)</f>
        <v>4.0663764450734552E-2</v>
      </c>
      <c r="I15" s="7">
        <f>$B15 * IFERROR(VLOOKUP("buildings|NOx|Work loss days", US_national_yearly!$D:$AM, 17, FALSE) / VLOOKUP("buildings|NOx|Work loss days", US_national_yearly!$D:$AM, 10, FALSE), 1)</f>
        <v>4.087523400107123E-2</v>
      </c>
      <c r="J15" s="7">
        <f>$B15 * IFERROR(VLOOKUP("buildings|NOx|Work loss days", US_national_yearly!$D:$AM, 18, FALSE) / VLOOKUP("buildings|NOx|Work loss days", US_national_yearly!$D:$AM, 10, FALSE), 1)</f>
        <v>4.1086703551407894E-2</v>
      </c>
      <c r="K15" s="7">
        <f>$B15 * IFERROR(VLOOKUP("buildings|NOx|Work loss days", US_national_yearly!$D:$AM, 19, FALSE) / VLOOKUP("buildings|NOx|Work loss days", US_national_yearly!$D:$AM, 10, FALSE), 1)</f>
        <v>4.1298173101744565E-2</v>
      </c>
      <c r="L15" s="7">
        <f>$B15 * IFERROR(VLOOKUP("buildings|NOx|Work loss days", US_national_yearly!$D:$AM, 20, FALSE) / VLOOKUP("buildings|NOx|Work loss days", US_national_yearly!$D:$AM, 10, FALSE), 1)</f>
        <v>4.1509642652081243E-2</v>
      </c>
      <c r="M15" s="7">
        <f>$B15 * IFERROR(VLOOKUP("buildings|NOx|Work loss days", US_national_yearly!$D:$AM, 21, FALSE) / VLOOKUP("buildings|NOx|Work loss days", US_national_yearly!$D:$AM, 10, FALSE), 1)</f>
        <v>4.1721112202417907E-2</v>
      </c>
      <c r="N15" s="7">
        <f>$B15 * IFERROR(VLOOKUP("buildings|NOx|Work loss days", US_national_yearly!$D:$AM, 22, FALSE) / VLOOKUP("buildings|NOx|Work loss days", US_national_yearly!$D:$AM, 10, FALSE), 1)</f>
        <v>4.1996234436221518E-2</v>
      </c>
      <c r="O15" s="7">
        <f>$B15 * IFERROR(VLOOKUP("buildings|NOx|Work loss days", US_national_yearly!$D:$AM, 23, FALSE) / VLOOKUP("buildings|NOx|Work loss days", US_national_yearly!$D:$AM, 10, FALSE), 1)</f>
        <v>4.2271356670025136E-2</v>
      </c>
      <c r="P15" s="7">
        <f>$B15 * IFERROR(VLOOKUP("buildings|NOx|Work loss days", US_national_yearly!$D:$AM, 24, FALSE) / VLOOKUP("buildings|NOx|Work loss days", US_national_yearly!$D:$AM, 10, FALSE), 1)</f>
        <v>4.2546478903828754E-2</v>
      </c>
      <c r="Q15" s="7">
        <f>$B15 * IFERROR(VLOOKUP("buildings|NOx|Work loss days", US_national_yearly!$D:$AM, 25, FALSE) / VLOOKUP("buildings|NOx|Work loss days", US_national_yearly!$D:$AM, 10, FALSE), 1)</f>
        <v>4.2821601137632379E-2</v>
      </c>
      <c r="R15" s="7">
        <f>$B15 * IFERROR(VLOOKUP("buildings|NOx|Work loss days", US_national_yearly!$D:$AM, 26, FALSE) / VLOOKUP("buildings|NOx|Work loss days", US_national_yearly!$D:$AM, 10, FALSE), 1)</f>
        <v>4.309672337143599E-2</v>
      </c>
      <c r="S15" s="7">
        <f>$B15 * IFERROR(VLOOKUP("buildings|NOx|Work loss days", US_national_yearly!$D:$AM, 27, FALSE) / VLOOKUP("buildings|NOx|Work loss days", US_national_yearly!$D:$AM, 10, FALSE), 1)</f>
        <v>4.3403298886203277E-2</v>
      </c>
      <c r="T15" s="7">
        <f>$B15 * IFERROR(VLOOKUP("buildings|NOx|Work loss days", US_national_yearly!$D:$AM, 28, FALSE) / VLOOKUP("buildings|NOx|Work loss days", US_national_yearly!$D:$AM, 10, FALSE), 1)</f>
        <v>4.3709874400970579E-2</v>
      </c>
      <c r="U15" s="7">
        <f>$B15 * IFERROR(VLOOKUP("buildings|NOx|Work loss days", US_national_yearly!$D:$AM, 29, FALSE) / VLOOKUP("buildings|NOx|Work loss days", US_national_yearly!$D:$AM, 10, FALSE), 1)</f>
        <v>4.4016449915737867E-2</v>
      </c>
      <c r="V15" s="7">
        <f>$B15 * IFERROR(VLOOKUP("buildings|NOx|Work loss days", US_national_yearly!$D:$AM, 30, FALSE) / VLOOKUP("buildings|NOx|Work loss days", US_national_yearly!$D:$AM, 10, FALSE), 1)</f>
        <v>4.4323025430505154E-2</v>
      </c>
      <c r="W15" s="7">
        <f>$B15 * IFERROR(VLOOKUP("buildings|NOx|Work loss days", US_national_yearly!$D:$AM, 31, FALSE) / VLOOKUP("buildings|NOx|Work loss days", US_national_yearly!$D:$AM, 10, FALSE), 1)</f>
        <v>4.4629600945272442E-2</v>
      </c>
      <c r="X15" s="7">
        <f>$B15 * IFERROR(VLOOKUP("buildings|NOx|Work loss days", US_national_yearly!$D:$AM, 32, FALSE) / VLOOKUP("buildings|NOx|Work loss days", US_national_yearly!$D:$AM, 10, FALSE), 1)</f>
        <v>4.4895772547128635E-2</v>
      </c>
      <c r="Y15" s="7">
        <f>$B15 * IFERROR(VLOOKUP("buildings|NOx|Work loss days", US_national_yearly!$D:$AM, 33, FALSE) / VLOOKUP("buildings|NOx|Work loss days", US_national_yearly!$D:$AM, 10, FALSE), 1)</f>
        <v>4.5161944148984827E-2</v>
      </c>
      <c r="Z15" s="7">
        <f>$B15 * IFERROR(VLOOKUP("buildings|NOx|Work loss days", US_national_yearly!$D:$AM, 34, FALSE) / VLOOKUP("buildings|NOx|Work loss days", US_national_yearly!$D:$AM, 10, FALSE), 1)</f>
        <v>4.5428115750841012E-2</v>
      </c>
      <c r="AA15" s="7">
        <f>$B15 * IFERROR(VLOOKUP("buildings|NOx|Work loss days", US_national_yearly!$D:$AM, 35, FALSE) / VLOOKUP("buildings|NOx|Work loss days", US_national_yearly!$D:$AM, 10, FALSE), 1)</f>
        <v>4.5694287352697205E-2</v>
      </c>
      <c r="AB15" s="7">
        <f>$B15 * IFERROR(VLOOKUP("buildings|NOx|Work loss days", US_national_yearly!$D:$AM, 36, FALSE) / VLOOKUP("buildings|NOx|Work loss days", US_national_yearly!$D:$AM, 10, FALSE), 1)</f>
        <v>4.5960458954553397E-2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6.1764653860223439E-5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6.3580540172072109E-5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6.5396426483920806E-5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6.7212312795769476E-5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6.902819910761816E-5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7.0753258077261417E-5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7.2478317046904673E-5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7.3929783854478345E-5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7.5381250662052017E-5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7.6832717469625688E-5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7.8284184277199346E-5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7.9735651084773004E-5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8.0643593153928203E-5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8.1551535223083388E-5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8.2459477292238587E-5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8.3367419361393786E-5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8.4275361430548957E-5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8.4690225995582007E-5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8.510509056061503E-5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8.5519955125648066E-5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8.5934819690681102E-5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8.6349684255714138E-5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8.6580925575445932E-5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8.6812166895177754E-5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8.7043408214909548E-5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8.7274649534641355E-5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8.750589085437315E-5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2.4542657090427596E-3</v>
      </c>
      <c r="C2" s="7">
        <f>$B2 * IFERROR(VLOOKUP("buildings|SO2|Premature mortality", US_national_yearly!$D:$AM, 11, FALSE) / VLOOKUP("buildings|SO2|Premature mortality", US_national_yearly!$D:$AM, 10, FALSE), 1)</f>
        <v>2.4853573577963512E-3</v>
      </c>
      <c r="D2" s="7">
        <f>$B2 * IFERROR(VLOOKUP("buildings|SO2|Premature mortality", US_national_yearly!$D:$AM, 12, FALSE) / VLOOKUP("buildings|SO2|Premature mortality", US_national_yearly!$D:$AM, 10, FALSE), 1)</f>
        <v>2.5164490065499429E-3</v>
      </c>
      <c r="E2" s="7">
        <f>$B2 * IFERROR(VLOOKUP("buildings|SO2|Premature mortality", US_national_yearly!$D:$AM, 13, FALSE) / VLOOKUP("buildings|SO2|Premature mortality", US_national_yearly!$D:$AM, 10, FALSE), 1)</f>
        <v>2.5475406553035346E-3</v>
      </c>
      <c r="F2" s="7">
        <f>$B2 * IFERROR(VLOOKUP("buildings|SO2|Premature mortality", US_national_yearly!$D:$AM, 14, FALSE) / VLOOKUP("buildings|SO2|Premature mortality", US_national_yearly!$D:$AM, 10, FALSE), 1)</f>
        <v>2.5786323040571267E-3</v>
      </c>
      <c r="G2" s="7">
        <f>$B2 * IFERROR(VLOOKUP("buildings|SO2|Premature mortality", US_national_yearly!$D:$AM, 15, FALSE) / VLOOKUP("buildings|SO2|Premature mortality", US_national_yearly!$D:$AM, 10, FALSE), 1)</f>
        <v>2.6385396024874094E-3</v>
      </c>
      <c r="H2" s="7">
        <f>$B2 * IFERROR(VLOOKUP("buildings|SO2|Premature mortality", US_national_yearly!$D:$AM, 16, FALSE) / VLOOKUP("buildings|SO2|Premature mortality", US_national_yearly!$D:$AM, 10, FALSE), 1)</f>
        <v>2.6984469009176931E-3</v>
      </c>
      <c r="I2" s="7">
        <f>$B2 * IFERROR(VLOOKUP("buildings|SO2|Premature mortality", US_national_yearly!$D:$AM, 17, FALSE) / VLOOKUP("buildings|SO2|Premature mortality", US_national_yearly!$D:$AM, 10, FALSE), 1)</f>
        <v>2.7380572625422808E-3</v>
      </c>
      <c r="J2" s="7">
        <f>$B2 * IFERROR(VLOOKUP("buildings|SO2|Premature mortality", US_national_yearly!$D:$AM, 18, FALSE) / VLOOKUP("buildings|SO2|Premature mortality", US_national_yearly!$D:$AM, 10, FALSE), 1)</f>
        <v>2.7776676241668681E-3</v>
      </c>
      <c r="K2" s="7">
        <f>$B2 * IFERROR(VLOOKUP("buildings|SO2|Premature mortality", US_national_yearly!$D:$AM, 19, FALSE) / VLOOKUP("buildings|SO2|Premature mortality", US_national_yearly!$D:$AM, 10, FALSE), 1)</f>
        <v>2.8172779857914558E-3</v>
      </c>
      <c r="L2" s="7">
        <f>$B2 * IFERROR(VLOOKUP("buildings|SO2|Premature mortality", US_national_yearly!$D:$AM, 20, FALSE) / VLOOKUP("buildings|SO2|Premature mortality", US_national_yearly!$D:$AM, 10, FALSE), 1)</f>
        <v>2.8568883474160431E-3</v>
      </c>
      <c r="M2" s="7">
        <f>$B2 * IFERROR(VLOOKUP("buildings|SO2|Premature mortality", US_national_yearly!$D:$AM, 21, FALSE) / VLOOKUP("buildings|SO2|Premature mortality", US_national_yearly!$D:$AM, 10, FALSE), 1)</f>
        <v>2.8964987090406309E-3</v>
      </c>
      <c r="N2" s="7">
        <f>$B2 * IFERROR(VLOOKUP("buildings|SO2|Premature mortality", US_national_yearly!$D:$AM, 22, FALSE) / VLOOKUP("buildings|SO2|Premature mortality", US_national_yearly!$D:$AM, 10, FALSE), 1)</f>
        <v>2.9274409321991615E-3</v>
      </c>
      <c r="O2" s="7">
        <f>$B2 * IFERROR(VLOOKUP("buildings|SO2|Premature mortality", US_national_yearly!$D:$AM, 23, FALSE) / VLOOKUP("buildings|SO2|Premature mortality", US_national_yearly!$D:$AM, 10, FALSE), 1)</f>
        <v>2.9583831553576904E-3</v>
      </c>
      <c r="P2" s="7">
        <f>$B2 * IFERROR(VLOOKUP("buildings|SO2|Premature mortality", US_national_yearly!$D:$AM, 24, FALSE) / VLOOKUP("buildings|SO2|Premature mortality", US_national_yearly!$D:$AM, 10, FALSE), 1)</f>
        <v>2.9893253785162202E-3</v>
      </c>
      <c r="Q2" s="7">
        <f>$B2 * IFERROR(VLOOKUP("buildings|SO2|Premature mortality", US_national_yearly!$D:$AM, 25, FALSE) / VLOOKUP("buildings|SO2|Premature mortality", US_national_yearly!$D:$AM, 10, FALSE), 1)</f>
        <v>3.02026760167475E-3</v>
      </c>
      <c r="R2" s="7">
        <f>$B2 * IFERROR(VLOOKUP("buildings|SO2|Premature mortality", US_national_yearly!$D:$AM, 26, FALSE) / VLOOKUP("buildings|SO2|Premature mortality", US_national_yearly!$D:$AM, 10, FALSE), 1)</f>
        <v>3.0512098248332803E-3</v>
      </c>
      <c r="S2" s="7">
        <f>$B2 * IFERROR(VLOOKUP("buildings|SO2|Premature mortality", US_national_yearly!$D:$AM, 27, FALSE) / VLOOKUP("buildings|SO2|Premature mortality", US_national_yearly!$D:$AM, 10, FALSE), 1)</f>
        <v>3.067770455865192E-3</v>
      </c>
      <c r="T2" s="7">
        <f>$B2 * IFERROR(VLOOKUP("buildings|SO2|Premature mortality", US_national_yearly!$D:$AM, 28, FALSE) / VLOOKUP("buildings|SO2|Premature mortality", US_national_yearly!$D:$AM, 10, FALSE), 1)</f>
        <v>3.0843310868971041E-3</v>
      </c>
      <c r="U2" s="7">
        <f>$B2 * IFERROR(VLOOKUP("buildings|SO2|Premature mortality", US_national_yearly!$D:$AM, 29, FALSE) / VLOOKUP("buildings|SO2|Premature mortality", US_national_yearly!$D:$AM, 10, FALSE), 1)</f>
        <v>3.1008917179290159E-3</v>
      </c>
      <c r="V2" s="7">
        <f>$B2 * IFERROR(VLOOKUP("buildings|SO2|Premature mortality", US_national_yearly!$D:$AM, 30, FALSE) / VLOOKUP("buildings|SO2|Premature mortality", US_national_yearly!$D:$AM, 10, FALSE), 1)</f>
        <v>3.117452348960928E-3</v>
      </c>
      <c r="W2" s="7">
        <f>$B2 * IFERROR(VLOOKUP("buildings|SO2|Premature mortality", US_national_yearly!$D:$AM, 31, FALSE) / VLOOKUP("buildings|SO2|Premature mortality", US_national_yearly!$D:$AM, 10, FALSE), 1)</f>
        <v>3.1340129799928397E-3</v>
      </c>
      <c r="X2" s="7">
        <f>$B2 * IFERROR(VLOOKUP("buildings|SO2|Premature mortality", US_national_yearly!$D:$AM, 32, FALSE) / VLOOKUP("buildings|SO2|Premature mortality", US_national_yearly!$D:$AM, 10, FALSE), 1)</f>
        <v>3.1373593031746513E-3</v>
      </c>
      <c r="Y2" s="7">
        <f>$B2 * IFERROR(VLOOKUP("buildings|SO2|Premature mortality", US_national_yearly!$D:$AM, 33, FALSE) / VLOOKUP("buildings|SO2|Premature mortality", US_national_yearly!$D:$AM, 10, FALSE), 1)</f>
        <v>3.1407056263564634E-3</v>
      </c>
      <c r="Z2" s="7">
        <f>$B2 * IFERROR(VLOOKUP("buildings|SO2|Premature mortality", US_national_yearly!$D:$AM, 34, FALSE) / VLOOKUP("buildings|SO2|Premature mortality", US_national_yearly!$D:$AM, 10, FALSE), 1)</f>
        <v>3.1440519495382745E-3</v>
      </c>
      <c r="AA2" s="7">
        <f>$B2 * IFERROR(VLOOKUP("buildings|SO2|Premature mortality", US_national_yearly!$D:$AM, 35, FALSE) / VLOOKUP("buildings|SO2|Premature mortality", US_national_yearly!$D:$AM, 10, FALSE), 1)</f>
        <v>3.1473982727200866E-3</v>
      </c>
      <c r="AB2" s="7">
        <f>$B2 * IFERROR(VLOOKUP("buildings|SO2|Premature mortality", US_national_yearly!$D:$AM, 36, FALSE) / VLOOKUP("buildings|SO2|Premature mortality", US_national_yearly!$D:$AM, 10, FALSE), 1)</f>
        <v>3.1507445959018982E-3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4.4251740311268228E-6</v>
      </c>
      <c r="C3" s="7">
        <f>$B3 * IFERROR(VLOOKUP("buildings|SO2|Infant mortality", US_national_yearly!$D:$AM, 11, FALSE) / VLOOKUP("buildings|SO2|Infant mortality", US_national_yearly!$D:$AM, 10, FALSE), 1)</f>
        <v>4.3872440625591214E-6</v>
      </c>
      <c r="D3" s="7">
        <f>$B3 * IFERROR(VLOOKUP("buildings|SO2|Infant mortality", US_national_yearly!$D:$AM, 12, FALSE) / VLOOKUP("buildings|SO2|Infant mortality", US_national_yearly!$D:$AM, 10, FALSE), 1)</f>
        <v>4.3493140939914192E-6</v>
      </c>
      <c r="E3" s="7">
        <f>$B3 * IFERROR(VLOOKUP("buildings|SO2|Infant mortality", US_national_yearly!$D:$AM, 13, FALSE) / VLOOKUP("buildings|SO2|Infant mortality", US_national_yearly!$D:$AM, 10, FALSE), 1)</f>
        <v>4.3113841254237179E-6</v>
      </c>
      <c r="F3" s="7">
        <f>$B3 * IFERROR(VLOOKUP("buildings|SO2|Infant mortality", US_national_yearly!$D:$AM, 14, FALSE) / VLOOKUP("buildings|SO2|Infant mortality", US_national_yearly!$D:$AM, 10, FALSE), 1)</f>
        <v>4.2734541568560165E-6</v>
      </c>
      <c r="G3" s="7">
        <f>$B3 * IFERROR(VLOOKUP("buildings|SO2|Infant mortality", US_national_yearly!$D:$AM, 15, FALSE) / VLOOKUP("buildings|SO2|Infant mortality", US_national_yearly!$D:$AM, 10, FALSE), 1)</f>
        <v>2.8459511681294028E-6</v>
      </c>
      <c r="H3" s="7">
        <f>$B3 * IFERROR(VLOOKUP("buildings|SO2|Infant mortality", US_national_yearly!$D:$AM, 16, FALSE) / VLOOKUP("buildings|SO2|Infant mortality", US_national_yearly!$D:$AM, 10, FALSE), 1)</f>
        <v>1.4184481794027887E-6</v>
      </c>
      <c r="I3" s="7">
        <f>$B3 * IFERROR(VLOOKUP("buildings|SO2|Infant mortality", US_national_yearly!$D:$AM, 17, FALSE) / VLOOKUP("buildings|SO2|Infant mortality", US_national_yearly!$D:$AM, 10, FALSE), 1)</f>
        <v>1.4095486788860333E-6</v>
      </c>
      <c r="J3" s="7">
        <f>$B3 * IFERROR(VLOOKUP("buildings|SO2|Infant mortality", US_national_yearly!$D:$AM, 18, FALSE) / VLOOKUP("buildings|SO2|Infant mortality", US_national_yearly!$D:$AM, 10, FALSE), 1)</f>
        <v>1.4006491783692774E-6</v>
      </c>
      <c r="K3" s="7">
        <f>$B3 * IFERROR(VLOOKUP("buildings|SO2|Infant mortality", US_national_yearly!$D:$AM, 19, FALSE) / VLOOKUP("buildings|SO2|Infant mortality", US_national_yearly!$D:$AM, 10, FALSE), 1)</f>
        <v>1.391749677852522E-6</v>
      </c>
      <c r="L3" s="7">
        <f>$B3 * IFERROR(VLOOKUP("buildings|SO2|Infant mortality", US_national_yearly!$D:$AM, 20, FALSE) / VLOOKUP("buildings|SO2|Infant mortality", US_national_yearly!$D:$AM, 10, FALSE), 1)</f>
        <v>1.3828501773357663E-6</v>
      </c>
      <c r="M3" s="7">
        <f>$B3 * IFERROR(VLOOKUP("buildings|SO2|Infant mortality", US_national_yearly!$D:$AM, 21, FALSE) / VLOOKUP("buildings|SO2|Infant mortality", US_national_yearly!$D:$AM, 10, FALSE), 1)</f>
        <v>1.3739506768190109E-6</v>
      </c>
      <c r="N3" s="7">
        <f>$B3 * IFERROR(VLOOKUP("buildings|SO2|Infant mortality", US_national_yearly!$D:$AM, 22, FALSE) / VLOOKUP("buildings|SO2|Infant mortality", US_national_yearly!$D:$AM, 10, FALSE), 1)</f>
        <v>1.3683716354069557E-6</v>
      </c>
      <c r="O3" s="7">
        <f>$B3 * IFERROR(VLOOKUP("buildings|SO2|Infant mortality", US_national_yearly!$D:$AM, 23, FALSE) / VLOOKUP("buildings|SO2|Infant mortality", US_national_yearly!$D:$AM, 10, FALSE), 1)</f>
        <v>1.3627925939949008E-6</v>
      </c>
      <c r="P3" s="7">
        <f>$B3 * IFERROR(VLOOKUP("buildings|SO2|Infant mortality", US_national_yearly!$D:$AM, 24, FALSE) / VLOOKUP("buildings|SO2|Infant mortality", US_national_yearly!$D:$AM, 10, FALSE), 1)</f>
        <v>1.3572135525828456E-6</v>
      </c>
      <c r="Q3" s="7">
        <f>$B3 * IFERROR(VLOOKUP("buildings|SO2|Infant mortality", US_national_yearly!$D:$AM, 25, FALSE) / VLOOKUP("buildings|SO2|Infant mortality", US_national_yearly!$D:$AM, 10, FALSE), 1)</f>
        <v>1.3516345111707905E-6</v>
      </c>
      <c r="R3" s="7">
        <f>$B3 * IFERROR(VLOOKUP("buildings|SO2|Infant mortality", US_national_yearly!$D:$AM, 26, FALSE) / VLOOKUP("buildings|SO2|Infant mortality", US_national_yearly!$D:$AM, 10, FALSE), 1)</f>
        <v>1.3460554697587353E-6</v>
      </c>
      <c r="S3" s="7">
        <f>$B3 * IFERROR(VLOOKUP("buildings|SO2|Infant mortality", US_national_yearly!$D:$AM, 27, FALSE) / VLOOKUP("buildings|SO2|Infant mortality", US_national_yearly!$D:$AM, 10, FALSE), 1)</f>
        <v>1.3390499624742599E-6</v>
      </c>
      <c r="T3" s="7">
        <f>$B3 * IFERROR(VLOOKUP("buildings|SO2|Infant mortality", US_national_yearly!$D:$AM, 28, FALSE) / VLOOKUP("buildings|SO2|Infant mortality", US_national_yearly!$D:$AM, 10, FALSE), 1)</f>
        <v>1.3320444551897842E-6</v>
      </c>
      <c r="U3" s="7">
        <f>$B3 * IFERROR(VLOOKUP("buildings|SO2|Infant mortality", US_national_yearly!$D:$AM, 29, FALSE) / VLOOKUP("buildings|SO2|Infant mortality", US_national_yearly!$D:$AM, 10, FALSE), 1)</f>
        <v>1.3250389479053086E-6</v>
      </c>
      <c r="V3" s="7">
        <f>$B3 * IFERROR(VLOOKUP("buildings|SO2|Infant mortality", US_national_yearly!$D:$AM, 30, FALSE) / VLOOKUP("buildings|SO2|Infant mortality", US_national_yearly!$D:$AM, 10, FALSE), 1)</f>
        <v>1.3180334406208329E-6</v>
      </c>
      <c r="W3" s="7">
        <f>$B3 * IFERROR(VLOOKUP("buildings|SO2|Infant mortality", US_national_yearly!$D:$AM, 31, FALSE) / VLOOKUP("buildings|SO2|Infant mortality", US_national_yearly!$D:$AM, 10, FALSE), 1)</f>
        <v>1.3110279333363574E-6</v>
      </c>
      <c r="X3" s="7">
        <f>$B3 * IFERROR(VLOOKUP("buildings|SO2|Infant mortality", US_national_yearly!$D:$AM, 32, FALSE) / VLOOKUP("buildings|SO2|Infant mortality", US_national_yearly!$D:$AM, 10, FALSE), 1)</f>
        <v>1.3033768093480225E-6</v>
      </c>
      <c r="Y3" s="7">
        <f>$B3 * IFERROR(VLOOKUP("buildings|SO2|Infant mortality", US_national_yearly!$D:$AM, 33, FALSE) / VLOOKUP("buildings|SO2|Infant mortality", US_national_yearly!$D:$AM, 10, FALSE), 1)</f>
        <v>1.2957256853596875E-6</v>
      </c>
      <c r="Z3" s="7">
        <f>$B3 * IFERROR(VLOOKUP("buildings|SO2|Infant mortality", US_national_yearly!$D:$AM, 34, FALSE) / VLOOKUP("buildings|SO2|Infant mortality", US_national_yearly!$D:$AM, 10, FALSE), 1)</f>
        <v>1.2880745613713529E-6</v>
      </c>
      <c r="AA3" s="7">
        <f>$B3 * IFERROR(VLOOKUP("buildings|SO2|Infant mortality", US_national_yearly!$D:$AM, 35, FALSE) / VLOOKUP("buildings|SO2|Infant mortality", US_national_yearly!$D:$AM, 10, FALSE), 1)</f>
        <v>1.2804234373830178E-6</v>
      </c>
      <c r="AB3" s="7">
        <f>$B3 * IFERROR(VLOOKUP("buildings|SO2|Infant mortality", US_national_yearly!$D:$AM, 36, FALSE) / VLOOKUP("buildings|SO2|Infant mortality", US_national_yearly!$D:$AM, 10, FALSE), 1)</f>
        <v>1.2727723133946832E-6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5.9373553919018331E-3</v>
      </c>
      <c r="C6" s="7">
        <f>$B6 * IFERROR(VLOOKUP("buildings|SO2|Asthma symptoms cough", US_national_yearly!$D:$AM, 11, FALSE) / VLOOKUP("buildings|SO2|Asthma symptoms cough", US_national_yearly!$D:$AM, 10, FALSE), 1)</f>
        <v>5.9373553919018331E-3</v>
      </c>
      <c r="D6" s="7">
        <f>$B6 * IFERROR(VLOOKUP("buildings|SO2|Asthma symptoms cough", US_national_yearly!$D:$AM, 12, FALSE) / VLOOKUP("buildings|SO2|Asthma symptoms cough", US_national_yearly!$D:$AM, 10, FALSE), 1)</f>
        <v>5.9373553919018331E-3</v>
      </c>
      <c r="E6" s="7">
        <f>$B6 * IFERROR(VLOOKUP("buildings|SO2|Asthma symptoms cough", US_national_yearly!$D:$AM, 13, FALSE) / VLOOKUP("buildings|SO2|Asthma symptoms cough", US_national_yearly!$D:$AM, 10, FALSE), 1)</f>
        <v>5.9373553919018331E-3</v>
      </c>
      <c r="F6" s="7">
        <f>$B6 * IFERROR(VLOOKUP("buildings|SO2|Asthma symptoms cough", US_national_yearly!$D:$AM, 14, FALSE) / VLOOKUP("buildings|SO2|Asthma symptoms cough", US_national_yearly!$D:$AM, 10, FALSE), 1)</f>
        <v>5.9373553919018331E-3</v>
      </c>
      <c r="G6" s="7">
        <f>$B6 * IFERROR(VLOOKUP("buildings|SO2|Asthma symptoms cough", US_national_yearly!$D:$AM, 15, FALSE) / VLOOKUP("buildings|SO2|Asthma symptoms cough", US_national_yearly!$D:$AM, 10, FALSE), 1)</f>
        <v>5.9373553919018331E-3</v>
      </c>
      <c r="H6" s="7">
        <f>$B6 * IFERROR(VLOOKUP("buildings|SO2|Asthma symptoms cough", US_national_yearly!$D:$AM, 16, FALSE) / VLOOKUP("buildings|SO2|Asthma symptoms cough", US_national_yearly!$D:$AM, 10, FALSE), 1)</f>
        <v>5.9373553919018331E-3</v>
      </c>
      <c r="I6" s="7">
        <f>$B6 * IFERROR(VLOOKUP("buildings|SO2|Asthma symptoms cough", US_national_yearly!$D:$AM, 17, FALSE) / VLOOKUP("buildings|SO2|Asthma symptoms cough", US_national_yearly!$D:$AM, 10, FALSE), 1)</f>
        <v>5.9373553919018331E-3</v>
      </c>
      <c r="J6" s="7">
        <f>$B6 * IFERROR(VLOOKUP("buildings|SO2|Asthma symptoms cough", US_national_yearly!$D:$AM, 18, FALSE) / VLOOKUP("buildings|SO2|Asthma symptoms cough", US_national_yearly!$D:$AM, 10, FALSE), 1)</f>
        <v>5.9373553919018331E-3</v>
      </c>
      <c r="K6" s="7">
        <f>$B6 * IFERROR(VLOOKUP("buildings|SO2|Asthma symptoms cough", US_national_yearly!$D:$AM, 19, FALSE) / VLOOKUP("buildings|SO2|Asthma symptoms cough", US_national_yearly!$D:$AM, 10, FALSE), 1)</f>
        <v>5.9373553919018331E-3</v>
      </c>
      <c r="L6" s="7">
        <f>$B6 * IFERROR(VLOOKUP("buildings|SO2|Asthma symptoms cough", US_national_yearly!$D:$AM, 20, FALSE) / VLOOKUP("buildings|SO2|Asthma symptoms cough", US_national_yearly!$D:$AM, 10, FALSE), 1)</f>
        <v>5.9373553919018331E-3</v>
      </c>
      <c r="M6" s="7">
        <f>$B6 * IFERROR(VLOOKUP("buildings|SO2|Asthma symptoms cough", US_national_yearly!$D:$AM, 21, FALSE) / VLOOKUP("buildings|SO2|Asthma symptoms cough", US_national_yearly!$D:$AM, 10, FALSE), 1)</f>
        <v>5.9373553919018331E-3</v>
      </c>
      <c r="N6" s="7">
        <f>$B6 * IFERROR(VLOOKUP("buildings|SO2|Asthma symptoms cough", US_national_yearly!$D:$AM, 22, FALSE) / VLOOKUP("buildings|SO2|Asthma symptoms cough", US_national_yearly!$D:$AM, 10, FALSE), 1)</f>
        <v>5.9373553919018331E-3</v>
      </c>
      <c r="O6" s="7">
        <f>$B6 * IFERROR(VLOOKUP("buildings|SO2|Asthma symptoms cough", US_national_yearly!$D:$AM, 23, FALSE) / VLOOKUP("buildings|SO2|Asthma symptoms cough", US_national_yearly!$D:$AM, 10, FALSE), 1)</f>
        <v>5.9373553919018331E-3</v>
      </c>
      <c r="P6" s="7">
        <f>$B6 * IFERROR(VLOOKUP("buildings|SO2|Asthma symptoms cough", US_national_yearly!$D:$AM, 24, FALSE) / VLOOKUP("buildings|SO2|Asthma symptoms cough", US_national_yearly!$D:$AM, 10, FALSE), 1)</f>
        <v>5.9373553919018331E-3</v>
      </c>
      <c r="Q6" s="7">
        <f>$B6 * IFERROR(VLOOKUP("buildings|SO2|Asthma symptoms cough", US_national_yearly!$D:$AM, 25, FALSE) / VLOOKUP("buildings|SO2|Asthma symptoms cough", US_national_yearly!$D:$AM, 10, FALSE), 1)</f>
        <v>5.9373553919018331E-3</v>
      </c>
      <c r="R6" s="7">
        <f>$B6 * IFERROR(VLOOKUP("buildings|SO2|Asthma symptoms cough", US_national_yearly!$D:$AM, 26, FALSE) / VLOOKUP("buildings|SO2|Asthma symptoms cough", US_national_yearly!$D:$AM, 10, FALSE), 1)</f>
        <v>5.9373553919018331E-3</v>
      </c>
      <c r="S6" s="7">
        <f>$B6 * IFERROR(VLOOKUP("buildings|SO2|Asthma symptoms cough", US_national_yearly!$D:$AM, 27, FALSE) / VLOOKUP("buildings|SO2|Asthma symptoms cough", US_national_yearly!$D:$AM, 10, FALSE), 1)</f>
        <v>5.9373553919018331E-3</v>
      </c>
      <c r="T6" s="7">
        <f>$B6 * IFERROR(VLOOKUP("buildings|SO2|Asthma symptoms cough", US_national_yearly!$D:$AM, 28, FALSE) / VLOOKUP("buildings|SO2|Asthma symptoms cough", US_national_yearly!$D:$AM, 10, FALSE), 1)</f>
        <v>5.9373553919018331E-3</v>
      </c>
      <c r="U6" s="7">
        <f>$B6 * IFERROR(VLOOKUP("buildings|SO2|Asthma symptoms cough", US_national_yearly!$D:$AM, 29, FALSE) / VLOOKUP("buildings|SO2|Asthma symptoms cough", US_national_yearly!$D:$AM, 10, FALSE), 1)</f>
        <v>5.9373553919018331E-3</v>
      </c>
      <c r="V6" s="7">
        <f>$B6 * IFERROR(VLOOKUP("buildings|SO2|Asthma symptoms cough", US_national_yearly!$D:$AM, 30, FALSE) / VLOOKUP("buildings|SO2|Asthma symptoms cough", US_national_yearly!$D:$AM, 10, FALSE), 1)</f>
        <v>5.9373553919018331E-3</v>
      </c>
      <c r="W6" s="7">
        <f>$B6 * IFERROR(VLOOKUP("buildings|SO2|Asthma symptoms cough", US_national_yearly!$D:$AM, 31, FALSE) / VLOOKUP("buildings|SO2|Asthma symptoms cough", US_national_yearly!$D:$AM, 10, FALSE), 1)</f>
        <v>5.9373553919018331E-3</v>
      </c>
      <c r="X6" s="7">
        <f>$B6 * IFERROR(VLOOKUP("buildings|SO2|Asthma symptoms cough", US_national_yearly!$D:$AM, 32, FALSE) / VLOOKUP("buildings|SO2|Asthma symptoms cough", US_national_yearly!$D:$AM, 10, FALSE), 1)</f>
        <v>5.9373553919018331E-3</v>
      </c>
      <c r="Y6" s="7">
        <f>$B6 * IFERROR(VLOOKUP("buildings|SO2|Asthma symptoms cough", US_national_yearly!$D:$AM, 33, FALSE) / VLOOKUP("buildings|SO2|Asthma symptoms cough", US_national_yearly!$D:$AM, 10, FALSE), 1)</f>
        <v>5.9373553919018331E-3</v>
      </c>
      <c r="Z6" s="7">
        <f>$B6 * IFERROR(VLOOKUP("buildings|SO2|Asthma symptoms cough", US_national_yearly!$D:$AM, 34, FALSE) / VLOOKUP("buildings|SO2|Asthma symptoms cough", US_national_yearly!$D:$AM, 10, FALSE), 1)</f>
        <v>5.9373553919018331E-3</v>
      </c>
      <c r="AA6" s="7">
        <f>$B6 * IFERROR(VLOOKUP("buildings|SO2|Asthma symptoms cough", US_national_yearly!$D:$AM, 35, FALSE) / VLOOKUP("buildings|SO2|Asthma symptoms cough", US_national_yearly!$D:$AM, 10, FALSE), 1)</f>
        <v>5.9373553919018331E-3</v>
      </c>
      <c r="AB6" s="7">
        <f>$B6 * IFERROR(VLOOKUP("buildings|SO2|Asthma symptoms cough", US_national_yearly!$D:$AM, 36, FALSE) / VLOOKUP("buildings|SO2|Asthma symptoms cough", US_national_yearly!$D:$AM, 10, FALSE), 1)</f>
        <v>5.9373553919018331E-3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7.9955157771506233E-3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7.9955157771506233E-3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7.9955157771506233E-3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7.9955157771506233E-3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7.9955157771506233E-3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7.9955157771506233E-3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7.9955157771506233E-3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7.9955157771506233E-3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7.9955157771506233E-3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7.9955157771506233E-3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7.9955157771506233E-3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7.9955157771506233E-3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7.9955157771506233E-3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7.9955157771506233E-3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7.9955157771506233E-3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7.9955157771506233E-3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7.9955157771506233E-3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7.9955157771506233E-3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7.9955157771506233E-3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7.9955157771506233E-3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7.9955157771506233E-3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7.9955157771506233E-3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7.9955157771506233E-3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7.9955157771506233E-3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7.9955157771506233E-3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7.9955157771506233E-3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7.9955157771506233E-3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1.2215774523878396E-2</v>
      </c>
      <c r="C8" s="7">
        <f>$B8 * IFERROR(VLOOKUP("buildings|SO2|Asthma symptoms wheeze", US_national_yearly!$D:$AM, 11, FALSE) / VLOOKUP("buildings|SO2|Asthma symptoms wheeze", US_national_yearly!$D:$AM, 10, FALSE), 1)</f>
        <v>1.2215774523878396E-2</v>
      </c>
      <c r="D8" s="7">
        <f>$B8 * IFERROR(VLOOKUP("buildings|SO2|Asthma symptoms wheeze", US_national_yearly!$D:$AM, 12, FALSE) / VLOOKUP("buildings|SO2|Asthma symptoms wheeze", US_national_yearly!$D:$AM, 10, FALSE), 1)</f>
        <v>1.2215774523878396E-2</v>
      </c>
      <c r="E8" s="7">
        <f>$B8 * IFERROR(VLOOKUP("buildings|SO2|Asthma symptoms wheeze", US_national_yearly!$D:$AM, 13, FALSE) / VLOOKUP("buildings|SO2|Asthma symptoms wheeze", US_national_yearly!$D:$AM, 10, FALSE), 1)</f>
        <v>1.2215774523878396E-2</v>
      </c>
      <c r="F8" s="7">
        <f>$B8 * IFERROR(VLOOKUP("buildings|SO2|Asthma symptoms wheeze", US_national_yearly!$D:$AM, 14, FALSE) / VLOOKUP("buildings|SO2|Asthma symptoms wheeze", US_national_yearly!$D:$AM, 10, FALSE), 1)</f>
        <v>1.2215774523878396E-2</v>
      </c>
      <c r="G8" s="7">
        <f>$B8 * IFERROR(VLOOKUP("buildings|SO2|Asthma symptoms wheeze", US_national_yearly!$D:$AM, 15, FALSE) / VLOOKUP("buildings|SO2|Asthma symptoms wheeze", US_national_yearly!$D:$AM, 10, FALSE), 1)</f>
        <v>1.2215774523878396E-2</v>
      </c>
      <c r="H8" s="7">
        <f>$B8 * IFERROR(VLOOKUP("buildings|SO2|Asthma symptoms wheeze", US_national_yearly!$D:$AM, 16, FALSE) / VLOOKUP("buildings|SO2|Asthma symptoms wheeze", US_national_yearly!$D:$AM, 10, FALSE), 1)</f>
        <v>1.2215774523878396E-2</v>
      </c>
      <c r="I8" s="7">
        <f>$B8 * IFERROR(VLOOKUP("buildings|SO2|Asthma symptoms wheeze", US_national_yearly!$D:$AM, 17, FALSE) / VLOOKUP("buildings|SO2|Asthma symptoms wheeze", US_national_yearly!$D:$AM, 10, FALSE), 1)</f>
        <v>1.2215774523878396E-2</v>
      </c>
      <c r="J8" s="7">
        <f>$B8 * IFERROR(VLOOKUP("buildings|SO2|Asthma symptoms wheeze", US_national_yearly!$D:$AM, 18, FALSE) / VLOOKUP("buildings|SO2|Asthma symptoms wheeze", US_national_yearly!$D:$AM, 10, FALSE), 1)</f>
        <v>1.2215774523878396E-2</v>
      </c>
      <c r="K8" s="7">
        <f>$B8 * IFERROR(VLOOKUP("buildings|SO2|Asthma symptoms wheeze", US_national_yearly!$D:$AM, 19, FALSE) / VLOOKUP("buildings|SO2|Asthma symptoms wheeze", US_national_yearly!$D:$AM, 10, FALSE), 1)</f>
        <v>1.2215774523878396E-2</v>
      </c>
      <c r="L8" s="7">
        <f>$B8 * IFERROR(VLOOKUP("buildings|SO2|Asthma symptoms wheeze", US_national_yearly!$D:$AM, 20, FALSE) / VLOOKUP("buildings|SO2|Asthma symptoms wheeze", US_national_yearly!$D:$AM, 10, FALSE), 1)</f>
        <v>1.2215774523878396E-2</v>
      </c>
      <c r="M8" s="7">
        <f>$B8 * IFERROR(VLOOKUP("buildings|SO2|Asthma symptoms wheeze", US_national_yearly!$D:$AM, 21, FALSE) / VLOOKUP("buildings|SO2|Asthma symptoms wheeze", US_national_yearly!$D:$AM, 10, FALSE), 1)</f>
        <v>1.2215774523878396E-2</v>
      </c>
      <c r="N8" s="7">
        <f>$B8 * IFERROR(VLOOKUP("buildings|SO2|Asthma symptoms wheeze", US_national_yearly!$D:$AM, 22, FALSE) / VLOOKUP("buildings|SO2|Asthma symptoms wheeze", US_national_yearly!$D:$AM, 10, FALSE), 1)</f>
        <v>1.2215774523878396E-2</v>
      </c>
      <c r="O8" s="7">
        <f>$B8 * IFERROR(VLOOKUP("buildings|SO2|Asthma symptoms wheeze", US_national_yearly!$D:$AM, 23, FALSE) / VLOOKUP("buildings|SO2|Asthma symptoms wheeze", US_national_yearly!$D:$AM, 10, FALSE), 1)</f>
        <v>1.2215774523878396E-2</v>
      </c>
      <c r="P8" s="7">
        <f>$B8 * IFERROR(VLOOKUP("buildings|SO2|Asthma symptoms wheeze", US_national_yearly!$D:$AM, 24, FALSE) / VLOOKUP("buildings|SO2|Asthma symptoms wheeze", US_national_yearly!$D:$AM, 10, FALSE), 1)</f>
        <v>1.2215774523878396E-2</v>
      </c>
      <c r="Q8" s="7">
        <f>$B8 * IFERROR(VLOOKUP("buildings|SO2|Asthma symptoms wheeze", US_national_yearly!$D:$AM, 25, FALSE) / VLOOKUP("buildings|SO2|Asthma symptoms wheeze", US_national_yearly!$D:$AM, 10, FALSE), 1)</f>
        <v>1.2215774523878396E-2</v>
      </c>
      <c r="R8" s="7">
        <f>$B8 * IFERROR(VLOOKUP("buildings|SO2|Asthma symptoms wheeze", US_national_yearly!$D:$AM, 26, FALSE) / VLOOKUP("buildings|SO2|Asthma symptoms wheeze", US_national_yearly!$D:$AM, 10, FALSE), 1)</f>
        <v>1.2215774523878396E-2</v>
      </c>
      <c r="S8" s="7">
        <f>$B8 * IFERROR(VLOOKUP("buildings|SO2|Asthma symptoms wheeze", US_national_yearly!$D:$AM, 27, FALSE) / VLOOKUP("buildings|SO2|Asthma symptoms wheeze", US_national_yearly!$D:$AM, 10, FALSE), 1)</f>
        <v>1.2215774523878396E-2</v>
      </c>
      <c r="T8" s="7">
        <f>$B8 * IFERROR(VLOOKUP("buildings|SO2|Asthma symptoms wheeze", US_national_yearly!$D:$AM, 28, FALSE) / VLOOKUP("buildings|SO2|Asthma symptoms wheeze", US_national_yearly!$D:$AM, 10, FALSE), 1)</f>
        <v>1.2215774523878396E-2</v>
      </c>
      <c r="U8" s="7">
        <f>$B8 * IFERROR(VLOOKUP("buildings|SO2|Asthma symptoms wheeze", US_national_yearly!$D:$AM, 29, FALSE) / VLOOKUP("buildings|SO2|Asthma symptoms wheeze", US_national_yearly!$D:$AM, 10, FALSE), 1)</f>
        <v>1.2215774523878396E-2</v>
      </c>
      <c r="V8" s="7">
        <f>$B8 * IFERROR(VLOOKUP("buildings|SO2|Asthma symptoms wheeze", US_national_yearly!$D:$AM, 30, FALSE) / VLOOKUP("buildings|SO2|Asthma symptoms wheeze", US_national_yearly!$D:$AM, 10, FALSE), 1)</f>
        <v>1.2215774523878396E-2</v>
      </c>
      <c r="W8" s="7">
        <f>$B8 * IFERROR(VLOOKUP("buildings|SO2|Asthma symptoms wheeze", US_national_yearly!$D:$AM, 31, FALSE) / VLOOKUP("buildings|SO2|Asthma symptoms wheeze", US_national_yearly!$D:$AM, 10, FALSE), 1)</f>
        <v>1.2215774523878396E-2</v>
      </c>
      <c r="X8" s="7">
        <f>$B8 * IFERROR(VLOOKUP("buildings|SO2|Asthma symptoms wheeze", US_national_yearly!$D:$AM, 32, FALSE) / VLOOKUP("buildings|SO2|Asthma symptoms wheeze", US_national_yearly!$D:$AM, 10, FALSE), 1)</f>
        <v>1.2215774523878396E-2</v>
      </c>
      <c r="Y8" s="7">
        <f>$B8 * IFERROR(VLOOKUP("buildings|SO2|Asthma symptoms wheeze", US_national_yearly!$D:$AM, 33, FALSE) / VLOOKUP("buildings|SO2|Asthma symptoms wheeze", US_national_yearly!$D:$AM, 10, FALSE), 1)</f>
        <v>1.2215774523878396E-2</v>
      </c>
      <c r="Z8" s="7">
        <f>$B8 * IFERROR(VLOOKUP("buildings|SO2|Asthma symptoms wheeze", US_national_yearly!$D:$AM, 34, FALSE) / VLOOKUP("buildings|SO2|Asthma symptoms wheeze", US_national_yearly!$D:$AM, 10, FALSE), 1)</f>
        <v>1.2215774523878396E-2</v>
      </c>
      <c r="AA8" s="7">
        <f>$B8 * IFERROR(VLOOKUP("buildings|SO2|Asthma symptoms wheeze", US_national_yearly!$D:$AM, 35, FALSE) / VLOOKUP("buildings|SO2|Asthma symptoms wheeze", US_national_yearly!$D:$AM, 10, FALSE), 1)</f>
        <v>1.2215774523878396E-2</v>
      </c>
      <c r="AB8" s="7">
        <f>$B8 * IFERROR(VLOOKUP("buildings|SO2|Asthma symptoms wheeze", US_national_yearly!$D:$AM, 36, FALSE) / VLOOKUP("buildings|SO2|Asthma symptoms wheeze", US_national_yearly!$D:$AM, 10, FALSE), 1)</f>
        <v>1.2215774523878396E-2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1.4241740187068965E-4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1.4325857359489527E-4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1.4409974531910091E-4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1.4494091704330653E-4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1.4578208876751212E-4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1.4669885997103561E-4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1.476156311745591E-4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1.4851783517721536E-4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1.4942003917987166E-4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1.503222431825279E-4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1.5122444718518416E-4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1.5212665118784045E-4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1.5278540946130713E-4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1.534441677347738E-4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1.5410292600824047E-4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1.5476168428170715E-4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1.5542044255517385E-4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1.5604857630161799E-4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1.5667671004806216E-4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1.5730484379450631E-4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1.5793297754095045E-4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1.5856111128739463E-4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1.5915800223524257E-4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1.5975489318309055E-4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1.6035178413093852E-4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1.6094867507878647E-4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1.6154556602663447E-4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9.5106159386177693E-4</v>
      </c>
      <c r="C13" s="7">
        <f>$B13 * IFERROR(VLOOKUP("buildings|SO2|Non-fatal heart attacks", US_national_yearly!$D:$AM, 11, FALSE) / VLOOKUP("buildings|SO2|Non-fatal heart attacks", US_national_yearly!$D:$AM, 10, FALSE), 1)</f>
        <v>9.7899033446036468E-4</v>
      </c>
      <c r="D13" s="7">
        <f>$B13 * IFERROR(VLOOKUP("buildings|SO2|Non-fatal heart attacks", US_national_yearly!$D:$AM, 12, FALSE) / VLOOKUP("buildings|SO2|Non-fatal heart attacks", US_national_yearly!$D:$AM, 10, FALSE), 1)</f>
        <v>1.0069190750589523E-3</v>
      </c>
      <c r="E13" s="7">
        <f>$B13 * IFERROR(VLOOKUP("buildings|SO2|Non-fatal heart attacks", US_national_yearly!$D:$AM, 13, FALSE) / VLOOKUP("buildings|SO2|Non-fatal heart attacks", US_national_yearly!$D:$AM, 10, FALSE), 1)</f>
        <v>1.03484781565754E-3</v>
      </c>
      <c r="F13" s="7">
        <f>$B13 * IFERROR(VLOOKUP("buildings|SO2|Non-fatal heart attacks", US_national_yearly!$D:$AM, 14, FALSE) / VLOOKUP("buildings|SO2|Non-fatal heart attacks", US_national_yearly!$D:$AM, 10, FALSE), 1)</f>
        <v>1.0627765562561278E-3</v>
      </c>
      <c r="G13" s="7">
        <f>$B13 * IFERROR(VLOOKUP("buildings|SO2|Non-fatal heart attacks", US_national_yearly!$D:$AM, 15, FALSE) / VLOOKUP("buildings|SO2|Non-fatal heart attacks", US_national_yearly!$D:$AM, 10, FALSE), 1)</f>
        <v>1.0891178629960383E-3</v>
      </c>
      <c r="H13" s="7">
        <f>$B13 * IFERROR(VLOOKUP("buildings|SO2|Non-fatal heart attacks", US_national_yearly!$D:$AM, 16, FALSE) / VLOOKUP("buildings|SO2|Non-fatal heart attacks", US_national_yearly!$D:$AM, 10, FALSE), 1)</f>
        <v>1.1154591697359491E-3</v>
      </c>
      <c r="I13" s="7">
        <f>$B13 * IFERROR(VLOOKUP("buildings|SO2|Non-fatal heart attacks", US_national_yearly!$D:$AM, 17, FALSE) / VLOOKUP("buildings|SO2|Non-fatal heart attacks", US_national_yearly!$D:$AM, 10, FALSE), 1)</f>
        <v>1.1366621756604689E-3</v>
      </c>
      <c r="J13" s="7">
        <f>$B13 * IFERROR(VLOOKUP("buildings|SO2|Non-fatal heart attacks", US_national_yearly!$D:$AM, 18, FALSE) / VLOOKUP("buildings|SO2|Non-fatal heart attacks", US_national_yearly!$D:$AM, 10, FALSE), 1)</f>
        <v>1.1578651815849891E-3</v>
      </c>
      <c r="K13" s="7">
        <f>$B13 * IFERROR(VLOOKUP("buildings|SO2|Non-fatal heart attacks", US_national_yearly!$D:$AM, 19, FALSE) / VLOOKUP("buildings|SO2|Non-fatal heart attacks", US_national_yearly!$D:$AM, 10, FALSE), 1)</f>
        <v>1.1790681875095091E-3</v>
      </c>
      <c r="L13" s="7">
        <f>$B13 * IFERROR(VLOOKUP("buildings|SO2|Non-fatal heart attacks", US_national_yearly!$D:$AM, 20, FALSE) / VLOOKUP("buildings|SO2|Non-fatal heart attacks", US_national_yearly!$D:$AM, 10, FALSE), 1)</f>
        <v>1.2002711934340296E-3</v>
      </c>
      <c r="M13" s="7">
        <f>$B13 * IFERROR(VLOOKUP("buildings|SO2|Non-fatal heart attacks", US_national_yearly!$D:$AM, 21, FALSE) / VLOOKUP("buildings|SO2|Non-fatal heart attacks", US_national_yearly!$D:$AM, 10, FALSE), 1)</f>
        <v>1.2214741993585496E-3</v>
      </c>
      <c r="N13" s="7">
        <f>$B13 * IFERROR(VLOOKUP("buildings|SO2|Non-fatal heart attacks", US_national_yearly!$D:$AM, 22, FALSE) / VLOOKUP("buildings|SO2|Non-fatal heart attacks", US_national_yearly!$D:$AM, 10, FALSE), 1)</f>
        <v>1.2352359358430137E-3</v>
      </c>
      <c r="O13" s="7">
        <f>$B13 * IFERROR(VLOOKUP("buildings|SO2|Non-fatal heart attacks", US_national_yearly!$D:$AM, 23, FALSE) / VLOOKUP("buildings|SO2|Non-fatal heart attacks", US_national_yearly!$D:$AM, 10, FALSE), 1)</f>
        <v>1.2489976723274782E-3</v>
      </c>
      <c r="P13" s="7">
        <f>$B13 * IFERROR(VLOOKUP("buildings|SO2|Non-fatal heart attacks", US_national_yearly!$D:$AM, 24, FALSE) / VLOOKUP("buildings|SO2|Non-fatal heart attacks", US_national_yearly!$D:$AM, 10, FALSE), 1)</f>
        <v>1.2627594088119422E-3</v>
      </c>
      <c r="Q13" s="7">
        <f>$B13 * IFERROR(VLOOKUP("buildings|SO2|Non-fatal heart attacks", US_national_yearly!$D:$AM, 25, FALSE) / VLOOKUP("buildings|SO2|Non-fatal heart attacks", US_national_yearly!$D:$AM, 10, FALSE), 1)</f>
        <v>1.2765211452964063E-3</v>
      </c>
      <c r="R13" s="7">
        <f>$B13 * IFERROR(VLOOKUP("buildings|SO2|Non-fatal heart attacks", US_national_yearly!$D:$AM, 26, FALSE) / VLOOKUP("buildings|SO2|Non-fatal heart attacks", US_national_yearly!$D:$AM, 10, FALSE), 1)</f>
        <v>1.2902828817808706E-3</v>
      </c>
      <c r="S13" s="7">
        <f>$B13 * IFERROR(VLOOKUP("buildings|SO2|Non-fatal heart attacks", US_national_yearly!$D:$AM, 27, FALSE) / VLOOKUP("buildings|SO2|Non-fatal heart attacks", US_national_yearly!$D:$AM, 10, FALSE), 1)</f>
        <v>1.2974692380399097E-3</v>
      </c>
      <c r="T13" s="7">
        <f>$B13 * IFERROR(VLOOKUP("buildings|SO2|Non-fatal heart attacks", US_national_yearly!$D:$AM, 28, FALSE) / VLOOKUP("buildings|SO2|Non-fatal heart attacks", US_national_yearly!$D:$AM, 10, FALSE), 1)</f>
        <v>1.3046555942989489E-3</v>
      </c>
      <c r="U13" s="7">
        <f>$B13 * IFERROR(VLOOKUP("buildings|SO2|Non-fatal heart attacks", US_national_yearly!$D:$AM, 29, FALSE) / VLOOKUP("buildings|SO2|Non-fatal heart attacks", US_national_yearly!$D:$AM, 10, FALSE), 1)</f>
        <v>1.3118419505579876E-3</v>
      </c>
      <c r="V13" s="7">
        <f>$B13 * IFERROR(VLOOKUP("buildings|SO2|Non-fatal heart attacks", US_national_yearly!$D:$AM, 30, FALSE) / VLOOKUP("buildings|SO2|Non-fatal heart attacks", US_national_yearly!$D:$AM, 10, FALSE), 1)</f>
        <v>1.3190283068170267E-3</v>
      </c>
      <c r="W13" s="7">
        <f>$B13 * IFERROR(VLOOKUP("buildings|SO2|Non-fatal heart attacks", US_national_yearly!$D:$AM, 31, FALSE) / VLOOKUP("buildings|SO2|Non-fatal heart attacks", US_national_yearly!$D:$AM, 10, FALSE), 1)</f>
        <v>1.3262146630760657E-3</v>
      </c>
      <c r="X13" s="7">
        <f>$B13 * IFERROR(VLOOKUP("buildings|SO2|Non-fatal heart attacks", US_national_yearly!$D:$AM, 32, FALSE) / VLOOKUP("buildings|SO2|Non-fatal heart attacks", US_national_yearly!$D:$AM, 10, FALSE), 1)</f>
        <v>1.3316423270494475E-3</v>
      </c>
      <c r="Y13" s="7">
        <f>$B13 * IFERROR(VLOOKUP("buildings|SO2|Non-fatal heart attacks", US_national_yearly!$D:$AM, 33, FALSE) / VLOOKUP("buildings|SO2|Non-fatal heart attacks", US_national_yearly!$D:$AM, 10, FALSE), 1)</f>
        <v>1.3370699910228293E-3</v>
      </c>
      <c r="Z13" s="7">
        <f>$B13 * IFERROR(VLOOKUP("buildings|SO2|Non-fatal heart attacks", US_national_yearly!$D:$AM, 34, FALSE) / VLOOKUP("buildings|SO2|Non-fatal heart attacks", US_national_yearly!$D:$AM, 10, FALSE), 1)</f>
        <v>1.3424976549962109E-3</v>
      </c>
      <c r="AA13" s="7">
        <f>$B13 * IFERROR(VLOOKUP("buildings|SO2|Non-fatal heart attacks", US_national_yearly!$D:$AM, 35, FALSE) / VLOOKUP("buildings|SO2|Non-fatal heart attacks", US_national_yearly!$D:$AM, 10, FALSE), 1)</f>
        <v>1.3479253189695927E-3</v>
      </c>
      <c r="AB13" s="7">
        <f>$B13 * IFERROR(VLOOKUP("buildings|SO2|Non-fatal heart attacks", US_national_yearly!$D:$AM, 36, FALSE) / VLOOKUP("buildings|SO2|Non-fatal heart attacks", US_national_yearly!$D:$AM, 10, FALSE), 1)</f>
        <v>1.3533529829429746E-3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0.72887183533006816</v>
      </c>
      <c r="C14" s="7">
        <f>$B14 * IFERROR(VLOOKUP("buildings|SO2|Minor restricted activity days", US_national_yearly!$D:$AM, 11, FALSE) / VLOOKUP("buildings|SO2|Minor restricted activity days", US_national_yearly!$D:$AM, 10, FALSE), 1)</f>
        <v>0.73071693598548948</v>
      </c>
      <c r="D14" s="7">
        <f>$B14 * IFERROR(VLOOKUP("buildings|SO2|Minor restricted activity days", US_national_yearly!$D:$AM, 12, FALSE) / VLOOKUP("buildings|SO2|Minor restricted activity days", US_national_yearly!$D:$AM, 10, FALSE), 1)</f>
        <v>0.73256203664091091</v>
      </c>
      <c r="E14" s="7">
        <f>$B14 * IFERROR(VLOOKUP("buildings|SO2|Minor restricted activity days", US_national_yearly!$D:$AM, 13, FALSE) / VLOOKUP("buildings|SO2|Minor restricted activity days", US_national_yearly!$D:$AM, 10, FALSE), 1)</f>
        <v>0.73440713729633234</v>
      </c>
      <c r="F14" s="7">
        <f>$B14 * IFERROR(VLOOKUP("buildings|SO2|Minor restricted activity days", US_national_yearly!$D:$AM, 14, FALSE) / VLOOKUP("buildings|SO2|Minor restricted activity days", US_national_yearly!$D:$AM, 10, FALSE), 1)</f>
        <v>0.73625223795175365</v>
      </c>
      <c r="G14" s="7">
        <f>$B14 * IFERROR(VLOOKUP("buildings|SO2|Minor restricted activity days", US_national_yearly!$D:$AM, 15, FALSE) / VLOOKUP("buildings|SO2|Minor restricted activity days", US_national_yearly!$D:$AM, 10, FALSE), 1)</f>
        <v>0.73896526698812681</v>
      </c>
      <c r="H14" s="7">
        <f>$B14 * IFERROR(VLOOKUP("buildings|SO2|Minor restricted activity days", US_national_yearly!$D:$AM, 16, FALSE) / VLOOKUP("buildings|SO2|Minor restricted activity days", US_national_yearly!$D:$AM, 10, FALSE), 1)</f>
        <v>0.74167829602449997</v>
      </c>
      <c r="I14" s="7">
        <f>$B14 * IFERROR(VLOOKUP("buildings|SO2|Minor restricted activity days", US_national_yearly!$D:$AM, 17, FALSE) / VLOOKUP("buildings|SO2|Minor restricted activity days", US_national_yearly!$D:$AM, 10, FALSE), 1)</f>
        <v>0.74629885750067315</v>
      </c>
      <c r="J14" s="7">
        <f>$B14 * IFERROR(VLOOKUP("buildings|SO2|Minor restricted activity days", US_national_yearly!$D:$AM, 18, FALSE) / VLOOKUP("buildings|SO2|Minor restricted activity days", US_national_yearly!$D:$AM, 10, FALSE), 1)</f>
        <v>0.75091941897684644</v>
      </c>
      <c r="K14" s="7">
        <f>$B14 * IFERROR(VLOOKUP("buildings|SO2|Minor restricted activity days", US_national_yearly!$D:$AM, 19, FALSE) / VLOOKUP("buildings|SO2|Minor restricted activity days", US_national_yearly!$D:$AM, 10, FALSE), 1)</f>
        <v>0.75553998045301962</v>
      </c>
      <c r="L14" s="7">
        <f>$B14 * IFERROR(VLOOKUP("buildings|SO2|Minor restricted activity days", US_national_yearly!$D:$AM, 20, FALSE) / VLOOKUP("buildings|SO2|Minor restricted activity days", US_national_yearly!$D:$AM, 10, FALSE), 1)</f>
        <v>0.76016054192919269</v>
      </c>
      <c r="M14" s="7">
        <f>$B14 * IFERROR(VLOOKUP("buildings|SO2|Minor restricted activity days", US_national_yearly!$D:$AM, 21, FALSE) / VLOOKUP("buildings|SO2|Minor restricted activity days", US_national_yearly!$D:$AM, 10, FALSE), 1)</f>
        <v>0.76478110340536587</v>
      </c>
      <c r="N14" s="7">
        <f>$B14 * IFERROR(VLOOKUP("buildings|SO2|Minor restricted activity days", US_national_yearly!$D:$AM, 22, FALSE) / VLOOKUP("buildings|SO2|Minor restricted activity days", US_national_yearly!$D:$AM, 10, FALSE), 1)</f>
        <v>0.77109947841727933</v>
      </c>
      <c r="O14" s="7">
        <f>$B14 * IFERROR(VLOOKUP("buildings|SO2|Minor restricted activity days", US_national_yearly!$D:$AM, 23, FALSE) / VLOOKUP("buildings|SO2|Minor restricted activity days", US_national_yearly!$D:$AM, 10, FALSE), 1)</f>
        <v>0.77741785342919267</v>
      </c>
      <c r="P14" s="7">
        <f>$B14 * IFERROR(VLOOKUP("buildings|SO2|Minor restricted activity days", US_national_yearly!$D:$AM, 24, FALSE) / VLOOKUP("buildings|SO2|Minor restricted activity days", US_national_yearly!$D:$AM, 10, FALSE), 1)</f>
        <v>0.78373622844110602</v>
      </c>
      <c r="Q14" s="7">
        <f>$B14 * IFERROR(VLOOKUP("buildings|SO2|Minor restricted activity days", US_national_yearly!$D:$AM, 25, FALSE) / VLOOKUP("buildings|SO2|Minor restricted activity days", US_national_yearly!$D:$AM, 10, FALSE), 1)</f>
        <v>0.79005460345301937</v>
      </c>
      <c r="R14" s="7">
        <f>$B14 * IFERROR(VLOOKUP("buildings|SO2|Minor restricted activity days", US_national_yearly!$D:$AM, 26, FALSE) / VLOOKUP("buildings|SO2|Minor restricted activity days", US_national_yearly!$D:$AM, 10, FALSE), 1)</f>
        <v>0.79637297846493282</v>
      </c>
      <c r="S14" s="7">
        <f>$B14 * IFERROR(VLOOKUP("buildings|SO2|Minor restricted activity days", US_national_yearly!$D:$AM, 27, FALSE) / VLOOKUP("buildings|SO2|Minor restricted activity days", US_national_yearly!$D:$AM, 10, FALSE), 1)</f>
        <v>0.8028141515897117</v>
      </c>
      <c r="T14" s="7">
        <f>$B14 * IFERROR(VLOOKUP("buildings|SO2|Minor restricted activity days", US_national_yearly!$D:$AM, 28, FALSE) / VLOOKUP("buildings|SO2|Minor restricted activity days", US_national_yearly!$D:$AM, 10, FALSE), 1)</f>
        <v>0.80925532471449069</v>
      </c>
      <c r="U14" s="7">
        <f>$B14 * IFERROR(VLOOKUP("buildings|SO2|Minor restricted activity days", US_national_yearly!$D:$AM, 29, FALSE) / VLOOKUP("buildings|SO2|Minor restricted activity days", US_national_yearly!$D:$AM, 10, FALSE), 1)</f>
        <v>0.81569649783926967</v>
      </c>
      <c r="V14" s="7">
        <f>$B14 * IFERROR(VLOOKUP("buildings|SO2|Minor restricted activity days", US_national_yearly!$D:$AM, 30, FALSE) / VLOOKUP("buildings|SO2|Minor restricted activity days", US_national_yearly!$D:$AM, 10, FALSE), 1)</f>
        <v>0.82213767096404855</v>
      </c>
      <c r="W14" s="7">
        <f>$B14 * IFERROR(VLOOKUP("buildings|SO2|Minor restricted activity days", US_national_yearly!$D:$AM, 31, FALSE) / VLOOKUP("buildings|SO2|Minor restricted activity days", US_national_yearly!$D:$AM, 10, FALSE), 1)</f>
        <v>0.82857884408882776</v>
      </c>
      <c r="X14" s="7">
        <f>$B14 * IFERROR(VLOOKUP("buildings|SO2|Minor restricted activity days", US_national_yearly!$D:$AM, 32, FALSE) / VLOOKUP("buildings|SO2|Minor restricted activity days", US_national_yearly!$D:$AM, 10, FALSE), 1)</f>
        <v>0.83424348309510665</v>
      </c>
      <c r="Y14" s="7">
        <f>$B14 * IFERROR(VLOOKUP("buildings|SO2|Minor restricted activity days", US_national_yearly!$D:$AM, 33, FALSE) / VLOOKUP("buildings|SO2|Minor restricted activity days", US_national_yearly!$D:$AM, 10, FALSE), 1)</f>
        <v>0.83990812210138588</v>
      </c>
      <c r="Z14" s="7">
        <f>$B14 * IFERROR(VLOOKUP("buildings|SO2|Minor restricted activity days", US_national_yearly!$D:$AM, 34, FALSE) / VLOOKUP("buildings|SO2|Minor restricted activity days", US_national_yearly!$D:$AM, 10, FALSE), 1)</f>
        <v>0.84557276110766488</v>
      </c>
      <c r="AA14" s="7">
        <f>$B14 * IFERROR(VLOOKUP("buildings|SO2|Minor restricted activity days", US_national_yearly!$D:$AM, 35, FALSE) / VLOOKUP("buildings|SO2|Minor restricted activity days", US_national_yearly!$D:$AM, 10, FALSE), 1)</f>
        <v>0.851237400113944</v>
      </c>
      <c r="AB14" s="7">
        <f>$B14 * IFERROR(VLOOKUP("buildings|SO2|Minor restricted activity days", US_national_yearly!$D:$AM, 36, FALSE) / VLOOKUP("buildings|SO2|Minor restricted activity days", US_national_yearly!$D:$AM, 10, FALSE), 1)</f>
        <v>0.856902039120223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0.12315840736224254</v>
      </c>
      <c r="C15" s="7">
        <f>$B15 * IFERROR(VLOOKUP("buildings|SO2|Work loss days", US_national_yearly!$D:$AM, 11, FALSE) / VLOOKUP("buildings|SO2|Work loss days", US_national_yearly!$D:$AM, 10, FALSE), 1)</f>
        <v>0.12355854702208782</v>
      </c>
      <c r="D15" s="7">
        <f>$B15 * IFERROR(VLOOKUP("buildings|SO2|Work loss days", US_national_yearly!$D:$AM, 12, FALSE) / VLOOKUP("buildings|SO2|Work loss days", US_national_yearly!$D:$AM, 10, FALSE), 1)</f>
        <v>0.12395868668193311</v>
      </c>
      <c r="E15" s="7">
        <f>$B15 * IFERROR(VLOOKUP("buildings|SO2|Work loss days", US_national_yearly!$D:$AM, 13, FALSE) / VLOOKUP("buildings|SO2|Work loss days", US_national_yearly!$D:$AM, 10, FALSE), 1)</f>
        <v>0.1243588263417784</v>
      </c>
      <c r="F15" s="7">
        <f>$B15 * IFERROR(VLOOKUP("buildings|SO2|Work loss days", US_national_yearly!$D:$AM, 14, FALSE) / VLOOKUP("buildings|SO2|Work loss days", US_national_yearly!$D:$AM, 10, FALSE), 1)</f>
        <v>0.12475896600162366</v>
      </c>
      <c r="G15" s="7">
        <f>$B15 * IFERROR(VLOOKUP("buildings|SO2|Work loss days", US_national_yearly!$D:$AM, 15, FALSE) / VLOOKUP("buildings|SO2|Work loss days", US_national_yearly!$D:$AM, 10, FALSE), 1)</f>
        <v>0.12528157054055858</v>
      </c>
      <c r="H15" s="7">
        <f>$B15 * IFERROR(VLOOKUP("buildings|SO2|Work loss days", US_national_yearly!$D:$AM, 16, FALSE) / VLOOKUP("buildings|SO2|Work loss days", US_national_yearly!$D:$AM, 10, FALSE), 1)</f>
        <v>0.12580417507949351</v>
      </c>
      <c r="I15" s="7">
        <f>$B15 * IFERROR(VLOOKUP("buildings|SO2|Work loss days", US_national_yearly!$D:$AM, 17, FALSE) / VLOOKUP("buildings|SO2|Work loss days", US_national_yearly!$D:$AM, 10, FALSE), 1)</f>
        <v>0.12656825216672452</v>
      </c>
      <c r="J15" s="7">
        <f>$B15 * IFERROR(VLOOKUP("buildings|SO2|Work loss days", US_national_yearly!$D:$AM, 18, FALSE) / VLOOKUP("buildings|SO2|Work loss days", US_national_yearly!$D:$AM, 10, FALSE), 1)</f>
        <v>0.12733232925395549</v>
      </c>
      <c r="K15" s="7">
        <f>$B15 * IFERROR(VLOOKUP("buildings|SO2|Work loss days", US_national_yearly!$D:$AM, 19, FALSE) / VLOOKUP("buildings|SO2|Work loss days", US_national_yearly!$D:$AM, 10, FALSE), 1)</f>
        <v>0.12809640634118649</v>
      </c>
      <c r="L15" s="7">
        <f>$B15 * IFERROR(VLOOKUP("buildings|SO2|Work loss days", US_national_yearly!$D:$AM, 20, FALSE) / VLOOKUP("buildings|SO2|Work loss days", US_national_yearly!$D:$AM, 10, FALSE), 1)</f>
        <v>0.12886048342841747</v>
      </c>
      <c r="M15" s="7">
        <f>$B15 * IFERROR(VLOOKUP("buildings|SO2|Work loss days", US_national_yearly!$D:$AM, 21, FALSE) / VLOOKUP("buildings|SO2|Work loss days", US_national_yearly!$D:$AM, 10, FALSE), 1)</f>
        <v>0.12962456051564844</v>
      </c>
      <c r="N15" s="7">
        <f>$B15 * IFERROR(VLOOKUP("buildings|SO2|Work loss days", US_national_yearly!$D:$AM, 22, FALSE) / VLOOKUP("buildings|SO2|Work loss days", US_national_yearly!$D:$AM, 10, FALSE), 1)</f>
        <v>0.13058270066647143</v>
      </c>
      <c r="O15" s="7">
        <f>$B15 * IFERROR(VLOOKUP("buildings|SO2|Work loss days", US_national_yearly!$D:$AM, 23, FALSE) / VLOOKUP("buildings|SO2|Work loss days", US_national_yearly!$D:$AM, 10, FALSE), 1)</f>
        <v>0.13154084081729439</v>
      </c>
      <c r="P15" s="7">
        <f>$B15 * IFERROR(VLOOKUP("buildings|SO2|Work loss days", US_national_yearly!$D:$AM, 24, FALSE) / VLOOKUP("buildings|SO2|Work loss days", US_national_yearly!$D:$AM, 10, FALSE), 1)</f>
        <v>0.13249898096811738</v>
      </c>
      <c r="Q15" s="7">
        <f>$B15 * IFERROR(VLOOKUP("buildings|SO2|Work loss days", US_national_yearly!$D:$AM, 25, FALSE) / VLOOKUP("buildings|SO2|Work loss days", US_national_yearly!$D:$AM, 10, FALSE), 1)</f>
        <v>0.13345712111894037</v>
      </c>
      <c r="R15" s="7">
        <f>$B15 * IFERROR(VLOOKUP("buildings|SO2|Work loss days", US_national_yearly!$D:$AM, 26, FALSE) / VLOOKUP("buildings|SO2|Work loss days", US_national_yearly!$D:$AM, 10, FALSE), 1)</f>
        <v>0.1344152612697633</v>
      </c>
      <c r="S15" s="7">
        <f>$B15 * IFERROR(VLOOKUP("buildings|SO2|Work loss days", US_national_yearly!$D:$AM, 27, FALSE) / VLOOKUP("buildings|SO2|Work loss days", US_national_yearly!$D:$AM, 10, FALSE), 1)</f>
        <v>0.13548558774606409</v>
      </c>
      <c r="T15" s="7">
        <f>$B15 * IFERROR(VLOOKUP("buildings|SO2|Work loss days", US_national_yearly!$D:$AM, 28, FALSE) / VLOOKUP("buildings|SO2|Work loss days", US_national_yearly!$D:$AM, 10, FALSE), 1)</f>
        <v>0.13655591422236488</v>
      </c>
      <c r="U15" s="7">
        <f>$B15 * IFERROR(VLOOKUP("buildings|SO2|Work loss days", US_national_yearly!$D:$AM, 29, FALSE) / VLOOKUP("buildings|SO2|Work loss days", US_national_yearly!$D:$AM, 10, FALSE), 1)</f>
        <v>0.13762624069866566</v>
      </c>
      <c r="V15" s="7">
        <f>$B15 * IFERROR(VLOOKUP("buildings|SO2|Work loss days", US_national_yearly!$D:$AM, 30, FALSE) / VLOOKUP("buildings|SO2|Work loss days", US_national_yearly!$D:$AM, 10, FALSE), 1)</f>
        <v>0.1386965671749664</v>
      </c>
      <c r="W15" s="7">
        <f>$B15 * IFERROR(VLOOKUP("buildings|SO2|Work loss days", US_national_yearly!$D:$AM, 31, FALSE) / VLOOKUP("buildings|SO2|Work loss days", US_national_yearly!$D:$AM, 10, FALSE), 1)</f>
        <v>0.13976689365126718</v>
      </c>
      <c r="X15" s="7">
        <f>$B15 * IFERROR(VLOOKUP("buildings|SO2|Work loss days", US_national_yearly!$D:$AM, 32, FALSE) / VLOOKUP("buildings|SO2|Work loss days", US_national_yearly!$D:$AM, 10, FALSE), 1)</f>
        <v>0.14072792066337611</v>
      </c>
      <c r="Y15" s="7">
        <f>$B15 * IFERROR(VLOOKUP("buildings|SO2|Work loss days", US_national_yearly!$D:$AM, 33, FALSE) / VLOOKUP("buildings|SO2|Work loss days", US_national_yearly!$D:$AM, 10, FALSE), 1)</f>
        <v>0.14168894767548504</v>
      </c>
      <c r="Z15" s="7">
        <f>$B15 * IFERROR(VLOOKUP("buildings|SO2|Work loss days", US_national_yearly!$D:$AM, 34, FALSE) / VLOOKUP("buildings|SO2|Work loss days", US_national_yearly!$D:$AM, 10, FALSE), 1)</f>
        <v>0.14264997468759394</v>
      </c>
      <c r="AA15" s="7">
        <f>$B15 * IFERROR(VLOOKUP("buildings|SO2|Work loss days", US_national_yearly!$D:$AM, 35, FALSE) / VLOOKUP("buildings|SO2|Work loss days", US_national_yearly!$D:$AM, 10, FALSE), 1)</f>
        <v>0.14361100169970287</v>
      </c>
      <c r="AB15" s="7">
        <f>$B15 * IFERROR(VLOOKUP("buildings|SO2|Work loss days", US_national_yearly!$D:$AM, 36, FALSE) / VLOOKUP("buildings|SO2|Work loss days", US_national_yearly!$D:$AM, 10, FALSE), 1)</f>
        <v>0.14457202871181177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1.9764612991794329E-4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2.0362479855707421E-4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2.0960346719620514E-4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2.1558213583533611E-4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2.2156080447446704E-4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2.2728801091623406E-4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2.3301521735800103E-4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2.3792342174128704E-4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2.4283162612457297E-4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2.4773983050785901E-4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2.52648034891145E-4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2.5755623927443093E-4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2.6085200015193267E-4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2.6414776102943441E-4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2.6744352190693615E-4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2.7073928278443789E-4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2.7403504366193962E-4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2.7576821468539101E-4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2.775013857088424E-4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2.7923455673229379E-4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2.8096772775574517E-4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2.8270089877919651E-4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2.8386472701768682E-4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2.8502855525617702E-4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2.8619238349466728E-4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2.8735621173315754E-4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2.8852003997164775E-4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1.6490471356852394E-2</v>
      </c>
      <c r="C2" s="7">
        <f>$B2 * IFERROR(VLOOKUP("industry|PM25|Premature mortality", US_national_yearly!$D:$AM, 11, FALSE) / VLOOKUP("industry|PM25|Premature mortality", US_national_yearly!$D:$AM, 10, FALSE), 1)</f>
        <v>1.6695831614365143E-2</v>
      </c>
      <c r="D2" s="7">
        <f>$B2 * IFERROR(VLOOKUP("industry|PM25|Premature mortality", US_national_yearly!$D:$AM, 12, FALSE) / VLOOKUP("industry|PM25|Premature mortality", US_national_yearly!$D:$AM, 10, FALSE), 1)</f>
        <v>1.6901191871877885E-2</v>
      </c>
      <c r="E2" s="7">
        <f>$B2 * IFERROR(VLOOKUP("industry|PM25|Premature mortality", US_national_yearly!$D:$AM, 13, FALSE) / VLOOKUP("industry|PM25|Premature mortality", US_national_yearly!$D:$AM, 10, FALSE), 1)</f>
        <v>1.7106552129390631E-2</v>
      </c>
      <c r="F2" s="7">
        <f>$B2 * IFERROR(VLOOKUP("industry|PM25|Premature mortality", US_national_yearly!$D:$AM, 14, FALSE) / VLOOKUP("industry|PM25|Premature mortality", US_national_yearly!$D:$AM, 10, FALSE), 1)</f>
        <v>1.7311912386903376E-2</v>
      </c>
      <c r="G2" s="7">
        <f>$B2 * IFERROR(VLOOKUP("industry|PM25|Premature mortality", US_national_yearly!$D:$AM, 15, FALSE) / VLOOKUP("industry|PM25|Premature mortality", US_national_yearly!$D:$AM, 10, FALSE), 1)</f>
        <v>1.7711437578147103E-2</v>
      </c>
      <c r="H2" s="7">
        <f>$B2 * IFERROR(VLOOKUP("industry|PM25|Premature mortality", US_national_yearly!$D:$AM, 16, FALSE) / VLOOKUP("industry|PM25|Premature mortality", US_national_yearly!$D:$AM, 10, FALSE), 1)</f>
        <v>1.8110962769390834E-2</v>
      </c>
      <c r="I2" s="7">
        <f>$B2 * IFERROR(VLOOKUP("industry|PM25|Premature mortality", US_national_yearly!$D:$AM, 17, FALSE) / VLOOKUP("industry|PM25|Premature mortality", US_national_yearly!$D:$AM, 10, FALSE), 1)</f>
        <v>1.8374767925017927E-2</v>
      </c>
      <c r="J2" s="7">
        <f>$B2 * IFERROR(VLOOKUP("industry|PM25|Premature mortality", US_national_yearly!$D:$AM, 18, FALSE) / VLOOKUP("industry|PM25|Premature mortality", US_national_yearly!$D:$AM, 10, FALSE), 1)</f>
        <v>1.8638573080645017E-2</v>
      </c>
      <c r="K2" s="7">
        <f>$B2 * IFERROR(VLOOKUP("industry|PM25|Premature mortality", US_national_yearly!$D:$AM, 19, FALSE) / VLOOKUP("industry|PM25|Premature mortality", US_national_yearly!$D:$AM, 10, FALSE), 1)</f>
        <v>1.8902378236272107E-2</v>
      </c>
      <c r="L2" s="7">
        <f>$B2 * IFERROR(VLOOKUP("industry|PM25|Premature mortality", US_national_yearly!$D:$AM, 20, FALSE) / VLOOKUP("industry|PM25|Premature mortality", US_national_yearly!$D:$AM, 10, FALSE), 1)</f>
        <v>1.9166183391899197E-2</v>
      </c>
      <c r="M2" s="7">
        <f>$B2 * IFERROR(VLOOKUP("industry|PM25|Premature mortality", US_national_yearly!$D:$AM, 21, FALSE) / VLOOKUP("industry|PM25|Premature mortality", US_national_yearly!$D:$AM, 10, FALSE), 1)</f>
        <v>1.942998854752629E-2</v>
      </c>
      <c r="N2" s="7">
        <f>$B2 * IFERROR(VLOOKUP("industry|PM25|Premature mortality", US_national_yearly!$D:$AM, 22, FALSE) / VLOOKUP("industry|PM25|Premature mortality", US_national_yearly!$D:$AM, 10, FALSE), 1)</f>
        <v>1.9635515318273702E-2</v>
      </c>
      <c r="O2" s="7">
        <f>$B2 * IFERROR(VLOOKUP("industry|PM25|Premature mortality", US_national_yearly!$D:$AM, 23, FALSE) / VLOOKUP("industry|PM25|Premature mortality", US_national_yearly!$D:$AM, 10, FALSE), 1)</f>
        <v>1.9841042089021106E-2</v>
      </c>
      <c r="P2" s="7">
        <f>$B2 * IFERROR(VLOOKUP("industry|PM25|Premature mortality", US_national_yearly!$D:$AM, 24, FALSE) / VLOOKUP("industry|PM25|Premature mortality", US_national_yearly!$D:$AM, 10, FALSE), 1)</f>
        <v>2.0046568859768518E-2</v>
      </c>
      <c r="Q2" s="7">
        <f>$B2 * IFERROR(VLOOKUP("industry|PM25|Premature mortality", US_national_yearly!$D:$AM, 25, FALSE) / VLOOKUP("industry|PM25|Premature mortality", US_national_yearly!$D:$AM, 10, FALSE), 1)</f>
        <v>2.0252095630515929E-2</v>
      </c>
      <c r="R2" s="7">
        <f>$B2 * IFERROR(VLOOKUP("industry|PM25|Premature mortality", US_national_yearly!$D:$AM, 26, FALSE) / VLOOKUP("industry|PM25|Premature mortality", US_national_yearly!$D:$AM, 10, FALSE), 1)</f>
        <v>2.0457622401263333E-2</v>
      </c>
      <c r="S2" s="7">
        <f>$B2 * IFERROR(VLOOKUP("industry|PM25|Premature mortality", US_national_yearly!$D:$AM, 27, FALSE) / VLOOKUP("industry|PM25|Premature mortality", US_national_yearly!$D:$AM, 10, FALSE), 1)</f>
        <v>2.0568599234535859E-2</v>
      </c>
      <c r="T2" s="7">
        <f>$B2 * IFERROR(VLOOKUP("industry|PM25|Premature mortality", US_national_yearly!$D:$AM, 28, FALSE) / VLOOKUP("industry|PM25|Premature mortality", US_national_yearly!$D:$AM, 10, FALSE), 1)</f>
        <v>2.0679576067808386E-2</v>
      </c>
      <c r="U2" s="7">
        <f>$B2 * IFERROR(VLOOKUP("industry|PM25|Premature mortality", US_national_yearly!$D:$AM, 29, FALSE) / VLOOKUP("industry|PM25|Premature mortality", US_national_yearly!$D:$AM, 10, FALSE), 1)</f>
        <v>2.0790552901080919E-2</v>
      </c>
      <c r="V2" s="7">
        <f>$B2 * IFERROR(VLOOKUP("industry|PM25|Premature mortality", US_national_yearly!$D:$AM, 30, FALSE) / VLOOKUP("industry|PM25|Premature mortality", US_national_yearly!$D:$AM, 10, FALSE), 1)</f>
        <v>2.0901529734353445E-2</v>
      </c>
      <c r="W2" s="7">
        <f>$B2 * IFERROR(VLOOKUP("industry|PM25|Premature mortality", US_national_yearly!$D:$AM, 31, FALSE) / VLOOKUP("industry|PM25|Premature mortality", US_national_yearly!$D:$AM, 10, FALSE), 1)</f>
        <v>2.1012506567625967E-2</v>
      </c>
      <c r="X2" s="7">
        <f>$B2 * IFERROR(VLOOKUP("industry|PM25|Premature mortality", US_national_yearly!$D:$AM, 32, FALSE) / VLOOKUP("industry|PM25|Premature mortality", US_national_yearly!$D:$AM, 10, FALSE), 1)</f>
        <v>2.1035419393887405E-2</v>
      </c>
      <c r="Y2" s="7">
        <f>$B2 * IFERROR(VLOOKUP("industry|PM25|Premature mortality", US_national_yearly!$D:$AM, 33, FALSE) / VLOOKUP("industry|PM25|Premature mortality", US_national_yearly!$D:$AM, 10, FALSE), 1)</f>
        <v>2.105833222014885E-2</v>
      </c>
      <c r="Z2" s="7">
        <f>$B2 * IFERROR(VLOOKUP("industry|PM25|Premature mortality", US_national_yearly!$D:$AM, 34, FALSE) / VLOOKUP("industry|PM25|Premature mortality", US_national_yearly!$D:$AM, 10, FALSE), 1)</f>
        <v>2.1081245046410287E-2</v>
      </c>
      <c r="AA2" s="7">
        <f>$B2 * IFERROR(VLOOKUP("industry|PM25|Premature mortality", US_national_yearly!$D:$AM, 35, FALSE) / VLOOKUP("industry|PM25|Premature mortality", US_national_yearly!$D:$AM, 10, FALSE), 1)</f>
        <v>2.1104157872671728E-2</v>
      </c>
      <c r="AB2" s="7">
        <f>$B2 * IFERROR(VLOOKUP("industry|PM25|Premature mortality", US_national_yearly!$D:$AM, 36, FALSE) / VLOOKUP("industry|PM25|Premature mortality", US_national_yearly!$D:$AM, 10, FALSE), 1)</f>
        <v>2.112707069893317E-2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2.9384363837888534E-5</v>
      </c>
      <c r="C3" s="7">
        <f>$B3 * IFERROR(VLOOKUP("industry|PM25|Infant mortality", US_national_yearly!$D:$AM, 11, FALSE) / VLOOKUP("industry|PM25|Infant mortality", US_national_yearly!$D:$AM, 10, FALSE), 1)</f>
        <v>2.9128518623424791E-5</v>
      </c>
      <c r="D3" s="7">
        <f>$B3 * IFERROR(VLOOKUP("industry|PM25|Infant mortality", US_national_yearly!$D:$AM, 12, FALSE) / VLOOKUP("industry|PM25|Infant mortality", US_national_yearly!$D:$AM, 10, FALSE), 1)</f>
        <v>2.8872673408961044E-5</v>
      </c>
      <c r="E3" s="7">
        <f>$B3 * IFERROR(VLOOKUP("industry|PM25|Infant mortality", US_national_yearly!$D:$AM, 13, FALSE) / VLOOKUP("industry|PM25|Infant mortality", US_national_yearly!$D:$AM, 10, FALSE), 1)</f>
        <v>2.8616828194497294E-5</v>
      </c>
      <c r="F3" s="7">
        <f>$B3 * IFERROR(VLOOKUP("industry|PM25|Infant mortality", US_national_yearly!$D:$AM, 14, FALSE) / VLOOKUP("industry|PM25|Infant mortality", US_national_yearly!$D:$AM, 10, FALSE), 1)</f>
        <v>2.8360982980033555E-5</v>
      </c>
      <c r="G3" s="7">
        <f>$B3 * IFERROR(VLOOKUP("industry|PM25|Infant mortality", US_national_yearly!$D:$AM, 15, FALSE) / VLOOKUP("industry|PM25|Infant mortality", US_national_yearly!$D:$AM, 10, FALSE), 1)</f>
        <v>1.8844029810903791E-5</v>
      </c>
      <c r="H3" s="7">
        <f>$B3 * IFERROR(VLOOKUP("industry|PM25|Infant mortality", US_national_yearly!$D:$AM, 16, FALSE) / VLOOKUP("industry|PM25|Infant mortality", US_national_yearly!$D:$AM, 10, FALSE), 1)</f>
        <v>9.32707664177403E-6</v>
      </c>
      <c r="I3" s="7">
        <f>$B3 * IFERROR(VLOOKUP("industry|PM25|Infant mortality", US_national_yearly!$D:$AM, 17, FALSE) / VLOOKUP("industry|PM25|Infant mortality", US_national_yearly!$D:$AM, 10, FALSE), 1)</f>
        <v>9.2649957473025663E-6</v>
      </c>
      <c r="J3" s="7">
        <f>$B3 * IFERROR(VLOOKUP("industry|PM25|Infant mortality", US_national_yearly!$D:$AM, 18, FALSE) / VLOOKUP("industry|PM25|Infant mortality", US_national_yearly!$D:$AM, 10, FALSE), 1)</f>
        <v>9.2029148528311008E-6</v>
      </c>
      <c r="K3" s="7">
        <f>$B3 * IFERROR(VLOOKUP("industry|PM25|Infant mortality", US_national_yearly!$D:$AM, 19, FALSE) / VLOOKUP("industry|PM25|Infant mortality", US_national_yearly!$D:$AM, 10, FALSE), 1)</f>
        <v>9.140833958359637E-6</v>
      </c>
      <c r="L3" s="7">
        <f>$B3 * IFERROR(VLOOKUP("industry|PM25|Infant mortality", US_national_yearly!$D:$AM, 20, FALSE) / VLOOKUP("industry|PM25|Infant mortality", US_national_yearly!$D:$AM, 10, FALSE), 1)</f>
        <v>9.0787530638881698E-6</v>
      </c>
      <c r="M3" s="7">
        <f>$B3 * IFERROR(VLOOKUP("industry|PM25|Infant mortality", US_national_yearly!$D:$AM, 21, FALSE) / VLOOKUP("industry|PM25|Infant mortality", US_national_yearly!$D:$AM, 10, FALSE), 1)</f>
        <v>9.0166721694167078E-6</v>
      </c>
      <c r="N3" s="7">
        <f>$B3 * IFERROR(VLOOKUP("industry|PM25|Infant mortality", US_national_yearly!$D:$AM, 22, FALSE) / VLOOKUP("industry|PM25|Infant mortality", US_national_yearly!$D:$AM, 10, FALSE), 1)</f>
        <v>8.977058513360131E-6</v>
      </c>
      <c r="O3" s="7">
        <f>$B3 * IFERROR(VLOOKUP("industry|PM25|Infant mortality", US_national_yearly!$D:$AM, 23, FALSE) / VLOOKUP("industry|PM25|Infant mortality", US_national_yearly!$D:$AM, 10, FALSE), 1)</f>
        <v>8.937444857303556E-6</v>
      </c>
      <c r="P3" s="7">
        <f>$B3 * IFERROR(VLOOKUP("industry|PM25|Infant mortality", US_national_yearly!$D:$AM, 24, FALSE) / VLOOKUP("industry|PM25|Infant mortality", US_national_yearly!$D:$AM, 10, FALSE), 1)</f>
        <v>8.8978312012469827E-6</v>
      </c>
      <c r="Q3" s="7">
        <f>$B3 * IFERROR(VLOOKUP("industry|PM25|Infant mortality", US_national_yearly!$D:$AM, 25, FALSE) / VLOOKUP("industry|PM25|Infant mortality", US_national_yearly!$D:$AM, 10, FALSE), 1)</f>
        <v>8.8582175451904077E-6</v>
      </c>
      <c r="R3" s="7">
        <f>$B3 * IFERROR(VLOOKUP("industry|PM25|Infant mortality", US_national_yearly!$D:$AM, 26, FALSE) / VLOOKUP("industry|PM25|Infant mortality", US_national_yearly!$D:$AM, 10, FALSE), 1)</f>
        <v>8.8186038891338327E-6</v>
      </c>
      <c r="S3" s="7">
        <f>$B3 * IFERROR(VLOOKUP("industry|PM25|Infant mortality", US_national_yearly!$D:$AM, 27, FALSE) / VLOOKUP("industry|PM25|Infant mortality", US_national_yearly!$D:$AM, 10, FALSE), 1)</f>
        <v>8.7698826689158924E-6</v>
      </c>
      <c r="T3" s="7">
        <f>$B3 * IFERROR(VLOOKUP("industry|PM25|Infant mortality", US_national_yearly!$D:$AM, 28, FALSE) / VLOOKUP("industry|PM25|Infant mortality", US_national_yearly!$D:$AM, 10, FALSE), 1)</f>
        <v>8.7211614486979538E-6</v>
      </c>
      <c r="U3" s="7">
        <f>$B3 * IFERROR(VLOOKUP("industry|PM25|Infant mortality", US_national_yearly!$D:$AM, 29, FALSE) / VLOOKUP("industry|PM25|Infant mortality", US_national_yearly!$D:$AM, 10, FALSE), 1)</f>
        <v>8.6724402284800136E-6</v>
      </c>
      <c r="V3" s="7">
        <f>$B3 * IFERROR(VLOOKUP("industry|PM25|Infant mortality", US_national_yearly!$D:$AM, 30, FALSE) / VLOOKUP("industry|PM25|Infant mortality", US_national_yearly!$D:$AM, 10, FALSE), 1)</f>
        <v>8.6237190082620733E-6</v>
      </c>
      <c r="W3" s="7">
        <f>$B3 * IFERROR(VLOOKUP("industry|PM25|Infant mortality", US_national_yearly!$D:$AM, 31, FALSE) / VLOOKUP("industry|PM25|Infant mortality", US_national_yearly!$D:$AM, 10, FALSE), 1)</f>
        <v>8.5749977880441347E-6</v>
      </c>
      <c r="X3" s="7">
        <f>$B3 * IFERROR(VLOOKUP("industry|PM25|Infant mortality", US_national_yearly!$D:$AM, 32, FALSE) / VLOOKUP("industry|PM25|Infant mortality", US_national_yearly!$D:$AM, 10, FALSE), 1)</f>
        <v>8.5229330593032513E-6</v>
      </c>
      <c r="Y3" s="7">
        <f>$B3 * IFERROR(VLOOKUP("industry|PM25|Infant mortality", US_national_yearly!$D:$AM, 33, FALSE) / VLOOKUP("industry|PM25|Infant mortality", US_national_yearly!$D:$AM, 10, FALSE), 1)</f>
        <v>8.4708683305623661E-6</v>
      </c>
      <c r="Z3" s="7">
        <f>$B3 * IFERROR(VLOOKUP("industry|PM25|Infant mortality", US_national_yearly!$D:$AM, 34, FALSE) / VLOOKUP("industry|PM25|Infant mortality", US_national_yearly!$D:$AM, 10, FALSE), 1)</f>
        <v>8.4188036018214809E-6</v>
      </c>
      <c r="AA3" s="7">
        <f>$B3 * IFERROR(VLOOKUP("industry|PM25|Infant mortality", US_national_yearly!$D:$AM, 35, FALSE) / VLOOKUP("industry|PM25|Infant mortality", US_national_yearly!$D:$AM, 10, FALSE), 1)</f>
        <v>8.3667388730805958E-6</v>
      </c>
      <c r="AB3" s="7">
        <f>$B3 * IFERROR(VLOOKUP("industry|PM25|Infant mortality", US_national_yearly!$D:$AM, 36, FALSE) / VLOOKUP("industry|PM25|Infant mortality", US_national_yearly!$D:$AM, 10, FALSE), 1)</f>
        <v>8.3146741443397123E-6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3.9611991338736212E-2</v>
      </c>
      <c r="C6" s="7">
        <f>$B6 * IFERROR(VLOOKUP("industry|PM25|Asthma symptoms cough", US_national_yearly!$D:$AM, 11, FALSE) / VLOOKUP("industry|PM25|Asthma symptoms cough", US_national_yearly!$D:$AM, 10, FALSE), 1)</f>
        <v>3.9611991338736212E-2</v>
      </c>
      <c r="D6" s="7">
        <f>$B6 * IFERROR(VLOOKUP("industry|PM25|Asthma symptoms cough", US_national_yearly!$D:$AM, 12, FALSE) / VLOOKUP("industry|PM25|Asthma symptoms cough", US_national_yearly!$D:$AM, 10, FALSE), 1)</f>
        <v>3.9611991338736212E-2</v>
      </c>
      <c r="E6" s="7">
        <f>$B6 * IFERROR(VLOOKUP("industry|PM25|Asthma symptoms cough", US_national_yearly!$D:$AM, 13, FALSE) / VLOOKUP("industry|PM25|Asthma symptoms cough", US_national_yearly!$D:$AM, 10, FALSE), 1)</f>
        <v>3.9611991338736212E-2</v>
      </c>
      <c r="F6" s="7">
        <f>$B6 * IFERROR(VLOOKUP("industry|PM25|Asthma symptoms cough", US_national_yearly!$D:$AM, 14, FALSE) / VLOOKUP("industry|PM25|Asthma symptoms cough", US_national_yearly!$D:$AM, 10, FALSE), 1)</f>
        <v>3.9611991338736212E-2</v>
      </c>
      <c r="G6" s="7">
        <f>$B6 * IFERROR(VLOOKUP("industry|PM25|Asthma symptoms cough", US_national_yearly!$D:$AM, 15, FALSE) / VLOOKUP("industry|PM25|Asthma symptoms cough", US_national_yearly!$D:$AM, 10, FALSE), 1)</f>
        <v>3.9611991338736212E-2</v>
      </c>
      <c r="H6" s="7">
        <f>$B6 * IFERROR(VLOOKUP("industry|PM25|Asthma symptoms cough", US_national_yearly!$D:$AM, 16, FALSE) / VLOOKUP("industry|PM25|Asthma symptoms cough", US_national_yearly!$D:$AM, 10, FALSE), 1)</f>
        <v>3.9611991338736212E-2</v>
      </c>
      <c r="I6" s="7">
        <f>$B6 * IFERROR(VLOOKUP("industry|PM25|Asthma symptoms cough", US_national_yearly!$D:$AM, 17, FALSE) / VLOOKUP("industry|PM25|Asthma symptoms cough", US_national_yearly!$D:$AM, 10, FALSE), 1)</f>
        <v>3.9611991338736212E-2</v>
      </c>
      <c r="J6" s="7">
        <f>$B6 * IFERROR(VLOOKUP("industry|PM25|Asthma symptoms cough", US_national_yearly!$D:$AM, 18, FALSE) / VLOOKUP("industry|PM25|Asthma symptoms cough", US_national_yearly!$D:$AM, 10, FALSE), 1)</f>
        <v>3.9611991338736212E-2</v>
      </c>
      <c r="K6" s="7">
        <f>$B6 * IFERROR(VLOOKUP("industry|PM25|Asthma symptoms cough", US_national_yearly!$D:$AM, 19, FALSE) / VLOOKUP("industry|PM25|Asthma symptoms cough", US_national_yearly!$D:$AM, 10, FALSE), 1)</f>
        <v>3.9611991338736212E-2</v>
      </c>
      <c r="L6" s="7">
        <f>$B6 * IFERROR(VLOOKUP("industry|PM25|Asthma symptoms cough", US_national_yearly!$D:$AM, 20, FALSE) / VLOOKUP("industry|PM25|Asthma symptoms cough", US_national_yearly!$D:$AM, 10, FALSE), 1)</f>
        <v>3.9611991338736212E-2</v>
      </c>
      <c r="M6" s="7">
        <f>$B6 * IFERROR(VLOOKUP("industry|PM25|Asthma symptoms cough", US_national_yearly!$D:$AM, 21, FALSE) / VLOOKUP("industry|PM25|Asthma symptoms cough", US_national_yearly!$D:$AM, 10, FALSE), 1)</f>
        <v>3.9611991338736212E-2</v>
      </c>
      <c r="N6" s="7">
        <f>$B6 * IFERROR(VLOOKUP("industry|PM25|Asthma symptoms cough", US_national_yearly!$D:$AM, 22, FALSE) / VLOOKUP("industry|PM25|Asthma symptoms cough", US_national_yearly!$D:$AM, 10, FALSE), 1)</f>
        <v>3.9611991338736212E-2</v>
      </c>
      <c r="O6" s="7">
        <f>$B6 * IFERROR(VLOOKUP("industry|PM25|Asthma symptoms cough", US_national_yearly!$D:$AM, 23, FALSE) / VLOOKUP("industry|PM25|Asthma symptoms cough", US_national_yearly!$D:$AM, 10, FALSE), 1)</f>
        <v>3.9611991338736212E-2</v>
      </c>
      <c r="P6" s="7">
        <f>$B6 * IFERROR(VLOOKUP("industry|PM25|Asthma symptoms cough", US_national_yearly!$D:$AM, 24, FALSE) / VLOOKUP("industry|PM25|Asthma symptoms cough", US_national_yearly!$D:$AM, 10, FALSE), 1)</f>
        <v>3.9611991338736212E-2</v>
      </c>
      <c r="Q6" s="7">
        <f>$B6 * IFERROR(VLOOKUP("industry|PM25|Asthma symptoms cough", US_national_yearly!$D:$AM, 25, FALSE) / VLOOKUP("industry|PM25|Asthma symptoms cough", US_national_yearly!$D:$AM, 10, FALSE), 1)</f>
        <v>3.9611991338736212E-2</v>
      </c>
      <c r="R6" s="7">
        <f>$B6 * IFERROR(VLOOKUP("industry|PM25|Asthma symptoms cough", US_national_yearly!$D:$AM, 26, FALSE) / VLOOKUP("industry|PM25|Asthma symptoms cough", US_national_yearly!$D:$AM, 10, FALSE), 1)</f>
        <v>3.9611991338736212E-2</v>
      </c>
      <c r="S6" s="7">
        <f>$B6 * IFERROR(VLOOKUP("industry|PM25|Asthma symptoms cough", US_national_yearly!$D:$AM, 27, FALSE) / VLOOKUP("industry|PM25|Asthma symptoms cough", US_national_yearly!$D:$AM, 10, FALSE), 1)</f>
        <v>3.9611991338736212E-2</v>
      </c>
      <c r="T6" s="7">
        <f>$B6 * IFERROR(VLOOKUP("industry|PM25|Asthma symptoms cough", US_national_yearly!$D:$AM, 28, FALSE) / VLOOKUP("industry|PM25|Asthma symptoms cough", US_national_yearly!$D:$AM, 10, FALSE), 1)</f>
        <v>3.9611991338736212E-2</v>
      </c>
      <c r="U6" s="7">
        <f>$B6 * IFERROR(VLOOKUP("industry|PM25|Asthma symptoms cough", US_national_yearly!$D:$AM, 29, FALSE) / VLOOKUP("industry|PM25|Asthma symptoms cough", US_national_yearly!$D:$AM, 10, FALSE), 1)</f>
        <v>3.9611991338736212E-2</v>
      </c>
      <c r="V6" s="7">
        <f>$B6 * IFERROR(VLOOKUP("industry|PM25|Asthma symptoms cough", US_national_yearly!$D:$AM, 30, FALSE) / VLOOKUP("industry|PM25|Asthma symptoms cough", US_national_yearly!$D:$AM, 10, FALSE), 1)</f>
        <v>3.9611991338736212E-2</v>
      </c>
      <c r="W6" s="7">
        <f>$B6 * IFERROR(VLOOKUP("industry|PM25|Asthma symptoms cough", US_national_yearly!$D:$AM, 31, FALSE) / VLOOKUP("industry|PM25|Asthma symptoms cough", US_national_yearly!$D:$AM, 10, FALSE), 1)</f>
        <v>3.9611991338736212E-2</v>
      </c>
      <c r="X6" s="7">
        <f>$B6 * IFERROR(VLOOKUP("industry|PM25|Asthma symptoms cough", US_national_yearly!$D:$AM, 32, FALSE) / VLOOKUP("industry|PM25|Asthma symptoms cough", US_national_yearly!$D:$AM, 10, FALSE), 1)</f>
        <v>3.9611991338736212E-2</v>
      </c>
      <c r="Y6" s="7">
        <f>$B6 * IFERROR(VLOOKUP("industry|PM25|Asthma symptoms cough", US_national_yearly!$D:$AM, 33, FALSE) / VLOOKUP("industry|PM25|Asthma symptoms cough", US_national_yearly!$D:$AM, 10, FALSE), 1)</f>
        <v>3.9611991338736212E-2</v>
      </c>
      <c r="Z6" s="7">
        <f>$B6 * IFERROR(VLOOKUP("industry|PM25|Asthma symptoms cough", US_national_yearly!$D:$AM, 34, FALSE) / VLOOKUP("industry|PM25|Asthma symptoms cough", US_national_yearly!$D:$AM, 10, FALSE), 1)</f>
        <v>3.9611991338736212E-2</v>
      </c>
      <c r="AA6" s="7">
        <f>$B6 * IFERROR(VLOOKUP("industry|PM25|Asthma symptoms cough", US_national_yearly!$D:$AM, 35, FALSE) / VLOOKUP("industry|PM25|Asthma symptoms cough", US_national_yearly!$D:$AM, 10, FALSE), 1)</f>
        <v>3.9611991338736212E-2</v>
      </c>
      <c r="AB6" s="7">
        <f>$B6 * IFERROR(VLOOKUP("industry|PM25|Asthma symptoms cough", US_national_yearly!$D:$AM, 36, FALSE) / VLOOKUP("industry|PM25|Asthma symptoms cough", US_national_yearly!$D:$AM, 10, FALSE), 1)</f>
        <v>3.9611991338736212E-2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5.3339670605741969E-2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5.3339670605741969E-2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5.3339670605741969E-2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5.3339670605741969E-2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5.3339670605741969E-2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5.3339670605741969E-2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5.3339670605741969E-2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5.3339670605741969E-2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5.3339670605741969E-2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5.3339670605741969E-2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5.3339670605741969E-2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5.3339670605741969E-2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5.3339670605741969E-2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5.3339670605741969E-2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5.3339670605741969E-2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5.3339670605741969E-2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5.3339670605741969E-2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5.3339670605741969E-2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5.3339670605741969E-2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5.3339670605741969E-2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5.3339670605741969E-2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5.3339670605741969E-2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5.3339670605741969E-2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5.3339670605741969E-2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5.3339670605741969E-2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5.3339670605741969E-2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5.3339670605741969E-2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8.1506890441918181E-2</v>
      </c>
      <c r="C8" s="7">
        <f>$B8 * IFERROR(VLOOKUP("industry|PM25|Asthma symptoms wheeze", US_national_yearly!$D:$AM, 11, FALSE) / VLOOKUP("industry|PM25|Asthma symptoms wheeze", US_national_yearly!$D:$AM, 10, FALSE), 1)</f>
        <v>8.1506890441918181E-2</v>
      </c>
      <c r="D8" s="7">
        <f>$B8 * IFERROR(VLOOKUP("industry|PM25|Asthma symptoms wheeze", US_national_yearly!$D:$AM, 12, FALSE) / VLOOKUP("industry|PM25|Asthma symptoms wheeze", US_national_yearly!$D:$AM, 10, FALSE), 1)</f>
        <v>8.1506890441918181E-2</v>
      </c>
      <c r="E8" s="7">
        <f>$B8 * IFERROR(VLOOKUP("industry|PM25|Asthma symptoms wheeze", US_national_yearly!$D:$AM, 13, FALSE) / VLOOKUP("industry|PM25|Asthma symptoms wheeze", US_national_yearly!$D:$AM, 10, FALSE), 1)</f>
        <v>8.1506890441918181E-2</v>
      </c>
      <c r="F8" s="7">
        <f>$B8 * IFERROR(VLOOKUP("industry|PM25|Asthma symptoms wheeze", US_national_yearly!$D:$AM, 14, FALSE) / VLOOKUP("industry|PM25|Asthma symptoms wheeze", US_national_yearly!$D:$AM, 10, FALSE), 1)</f>
        <v>8.1506890441918181E-2</v>
      </c>
      <c r="G8" s="7">
        <f>$B8 * IFERROR(VLOOKUP("industry|PM25|Asthma symptoms wheeze", US_national_yearly!$D:$AM, 15, FALSE) / VLOOKUP("industry|PM25|Asthma symptoms wheeze", US_national_yearly!$D:$AM, 10, FALSE), 1)</f>
        <v>8.1506890441918181E-2</v>
      </c>
      <c r="H8" s="7">
        <f>$B8 * IFERROR(VLOOKUP("industry|PM25|Asthma symptoms wheeze", US_national_yearly!$D:$AM, 16, FALSE) / VLOOKUP("industry|PM25|Asthma symptoms wheeze", US_national_yearly!$D:$AM, 10, FALSE), 1)</f>
        <v>8.1506890441918181E-2</v>
      </c>
      <c r="I8" s="7">
        <f>$B8 * IFERROR(VLOOKUP("industry|PM25|Asthma symptoms wheeze", US_national_yearly!$D:$AM, 17, FALSE) / VLOOKUP("industry|PM25|Asthma symptoms wheeze", US_national_yearly!$D:$AM, 10, FALSE), 1)</f>
        <v>8.1506890441918181E-2</v>
      </c>
      <c r="J8" s="7">
        <f>$B8 * IFERROR(VLOOKUP("industry|PM25|Asthma symptoms wheeze", US_national_yearly!$D:$AM, 18, FALSE) / VLOOKUP("industry|PM25|Asthma symptoms wheeze", US_national_yearly!$D:$AM, 10, FALSE), 1)</f>
        <v>8.1506890441918181E-2</v>
      </c>
      <c r="K8" s="7">
        <f>$B8 * IFERROR(VLOOKUP("industry|PM25|Asthma symptoms wheeze", US_national_yearly!$D:$AM, 19, FALSE) / VLOOKUP("industry|PM25|Asthma symptoms wheeze", US_national_yearly!$D:$AM, 10, FALSE), 1)</f>
        <v>8.1506890441918181E-2</v>
      </c>
      <c r="L8" s="7">
        <f>$B8 * IFERROR(VLOOKUP("industry|PM25|Asthma symptoms wheeze", US_national_yearly!$D:$AM, 20, FALSE) / VLOOKUP("industry|PM25|Asthma symptoms wheeze", US_national_yearly!$D:$AM, 10, FALSE), 1)</f>
        <v>8.1506890441918181E-2</v>
      </c>
      <c r="M8" s="7">
        <f>$B8 * IFERROR(VLOOKUP("industry|PM25|Asthma symptoms wheeze", US_national_yearly!$D:$AM, 21, FALSE) / VLOOKUP("industry|PM25|Asthma symptoms wheeze", US_national_yearly!$D:$AM, 10, FALSE), 1)</f>
        <v>8.1506890441918181E-2</v>
      </c>
      <c r="N8" s="7">
        <f>$B8 * IFERROR(VLOOKUP("industry|PM25|Asthma symptoms wheeze", US_national_yearly!$D:$AM, 22, FALSE) / VLOOKUP("industry|PM25|Asthma symptoms wheeze", US_national_yearly!$D:$AM, 10, FALSE), 1)</f>
        <v>8.1506890441918181E-2</v>
      </c>
      <c r="O8" s="7">
        <f>$B8 * IFERROR(VLOOKUP("industry|PM25|Asthma symptoms wheeze", US_national_yearly!$D:$AM, 23, FALSE) / VLOOKUP("industry|PM25|Asthma symptoms wheeze", US_national_yearly!$D:$AM, 10, FALSE), 1)</f>
        <v>8.1506890441918181E-2</v>
      </c>
      <c r="P8" s="7">
        <f>$B8 * IFERROR(VLOOKUP("industry|PM25|Asthma symptoms wheeze", US_national_yearly!$D:$AM, 24, FALSE) / VLOOKUP("industry|PM25|Asthma symptoms wheeze", US_national_yearly!$D:$AM, 10, FALSE), 1)</f>
        <v>8.1506890441918181E-2</v>
      </c>
      <c r="Q8" s="7">
        <f>$B8 * IFERROR(VLOOKUP("industry|PM25|Asthma symptoms wheeze", US_national_yearly!$D:$AM, 25, FALSE) / VLOOKUP("industry|PM25|Asthma symptoms wheeze", US_national_yearly!$D:$AM, 10, FALSE), 1)</f>
        <v>8.1506890441918181E-2</v>
      </c>
      <c r="R8" s="7">
        <f>$B8 * IFERROR(VLOOKUP("industry|PM25|Asthma symptoms wheeze", US_national_yearly!$D:$AM, 26, FALSE) / VLOOKUP("industry|PM25|Asthma symptoms wheeze", US_national_yearly!$D:$AM, 10, FALSE), 1)</f>
        <v>8.1506890441918181E-2</v>
      </c>
      <c r="S8" s="7">
        <f>$B8 * IFERROR(VLOOKUP("industry|PM25|Asthma symptoms wheeze", US_national_yearly!$D:$AM, 27, FALSE) / VLOOKUP("industry|PM25|Asthma symptoms wheeze", US_national_yearly!$D:$AM, 10, FALSE), 1)</f>
        <v>8.1506890441918181E-2</v>
      </c>
      <c r="T8" s="7">
        <f>$B8 * IFERROR(VLOOKUP("industry|PM25|Asthma symptoms wheeze", US_national_yearly!$D:$AM, 28, FALSE) / VLOOKUP("industry|PM25|Asthma symptoms wheeze", US_national_yearly!$D:$AM, 10, FALSE), 1)</f>
        <v>8.1506890441918181E-2</v>
      </c>
      <c r="U8" s="7">
        <f>$B8 * IFERROR(VLOOKUP("industry|PM25|Asthma symptoms wheeze", US_national_yearly!$D:$AM, 29, FALSE) / VLOOKUP("industry|PM25|Asthma symptoms wheeze", US_national_yearly!$D:$AM, 10, FALSE), 1)</f>
        <v>8.1506890441918181E-2</v>
      </c>
      <c r="V8" s="7">
        <f>$B8 * IFERROR(VLOOKUP("industry|PM25|Asthma symptoms wheeze", US_national_yearly!$D:$AM, 30, FALSE) / VLOOKUP("industry|PM25|Asthma symptoms wheeze", US_national_yearly!$D:$AM, 10, FALSE), 1)</f>
        <v>8.1506890441918181E-2</v>
      </c>
      <c r="W8" s="7">
        <f>$B8 * IFERROR(VLOOKUP("industry|PM25|Asthma symptoms wheeze", US_national_yearly!$D:$AM, 31, FALSE) / VLOOKUP("industry|PM25|Asthma symptoms wheeze", US_national_yearly!$D:$AM, 10, FALSE), 1)</f>
        <v>8.1506890441918181E-2</v>
      </c>
      <c r="X8" s="7">
        <f>$B8 * IFERROR(VLOOKUP("industry|PM25|Asthma symptoms wheeze", US_national_yearly!$D:$AM, 32, FALSE) / VLOOKUP("industry|PM25|Asthma symptoms wheeze", US_national_yearly!$D:$AM, 10, FALSE), 1)</f>
        <v>8.1506890441918181E-2</v>
      </c>
      <c r="Y8" s="7">
        <f>$B8 * IFERROR(VLOOKUP("industry|PM25|Asthma symptoms wheeze", US_national_yearly!$D:$AM, 33, FALSE) / VLOOKUP("industry|PM25|Asthma symptoms wheeze", US_national_yearly!$D:$AM, 10, FALSE), 1)</f>
        <v>8.1506890441918181E-2</v>
      </c>
      <c r="Z8" s="7">
        <f>$B8 * IFERROR(VLOOKUP("industry|PM25|Asthma symptoms wheeze", US_national_yearly!$D:$AM, 34, FALSE) / VLOOKUP("industry|PM25|Asthma symptoms wheeze", US_national_yearly!$D:$AM, 10, FALSE), 1)</f>
        <v>8.1506890441918181E-2</v>
      </c>
      <c r="AA8" s="7">
        <f>$B8 * IFERROR(VLOOKUP("industry|PM25|Asthma symptoms wheeze", US_national_yearly!$D:$AM, 35, FALSE) / VLOOKUP("industry|PM25|Asthma symptoms wheeze", US_national_yearly!$D:$AM, 10, FALSE), 1)</f>
        <v>8.1506890441918181E-2</v>
      </c>
      <c r="AB8" s="7">
        <f>$B8 * IFERROR(VLOOKUP("industry|PM25|Asthma symptoms wheeze", US_national_yearly!$D:$AM, 36, FALSE) / VLOOKUP("industry|PM25|Asthma symptoms wheeze", US_national_yearly!$D:$AM, 10, FALSE), 1)</f>
        <v>8.1506890441918181E-2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9.3954636456779249E-4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9.4488069886281207E-4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9.5021503315783165E-4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9.5554936745285122E-4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9.6088370174787091E-4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9.6665112329233252E-4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9.7241854483679435E-4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9.7788966975054649E-4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9.8336079466429852E-4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9.8883191957805034E-4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9.9430304449180237E-4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9.9977416940555462E-4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1.0036437427978192E-3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1.0075133161900835E-3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1.011382889582348E-3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1.0152524629746123E-3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1.0191220363668769E-3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1.0227717282063858E-3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1.026421420045895E-3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1.0300711118854044E-3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1.0337208037249136E-3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1.037370495564423E-3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1.0408846181908838E-3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1.044398740817345E-3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1.0479128634438061E-3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1.0514269860702674E-3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1.0549411086967283E-3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6.2739255053969687E-3</v>
      </c>
      <c r="C13" s="7">
        <f>$B13 * IFERROR(VLOOKUP("industry|PM25|Non-fatal heart attacks", US_national_yearly!$D:$AM, 11, FALSE) / VLOOKUP("industry|PM25|Non-fatal heart attacks", US_national_yearly!$D:$AM, 10, FALSE), 1)</f>
        <v>6.456561121919435E-3</v>
      </c>
      <c r="D13" s="7">
        <f>$B13 * IFERROR(VLOOKUP("industry|PM25|Non-fatal heart attacks", US_national_yearly!$D:$AM, 12, FALSE) / VLOOKUP("industry|PM25|Non-fatal heart attacks", US_national_yearly!$D:$AM, 10, FALSE), 1)</f>
        <v>6.6391967384419005E-3</v>
      </c>
      <c r="E13" s="7">
        <f>$B13 * IFERROR(VLOOKUP("industry|PM25|Non-fatal heart attacks", US_national_yearly!$D:$AM, 13, FALSE) / VLOOKUP("industry|PM25|Non-fatal heart attacks", US_national_yearly!$D:$AM, 10, FALSE), 1)</f>
        <v>6.8218323549643668E-3</v>
      </c>
      <c r="F13" s="7">
        <f>$B13 * IFERROR(VLOOKUP("industry|PM25|Non-fatal heart attacks", US_national_yearly!$D:$AM, 14, FALSE) / VLOOKUP("industry|PM25|Non-fatal heart attacks", US_national_yearly!$D:$AM, 10, FALSE), 1)</f>
        <v>7.0044679714868332E-3</v>
      </c>
      <c r="G13" s="7">
        <f>$B13 * IFERROR(VLOOKUP("industry|PM25|Non-fatal heart attacks", US_national_yearly!$D:$AM, 15, FALSE) / VLOOKUP("industry|PM25|Non-fatal heart attacks", US_national_yearly!$D:$AM, 10, FALSE), 1)</f>
        <v>7.1768888351838407E-3</v>
      </c>
      <c r="H13" s="7">
        <f>$B13 * IFERROR(VLOOKUP("industry|PM25|Non-fatal heart attacks", US_national_yearly!$D:$AM, 16, FALSE) / VLOOKUP("industry|PM25|Non-fatal heart attacks", US_national_yearly!$D:$AM, 10, FALSE), 1)</f>
        <v>7.3493096988808491E-3</v>
      </c>
      <c r="I13" s="7">
        <f>$B13 * IFERROR(VLOOKUP("industry|PM25|Non-fatal heart attacks", US_national_yearly!$D:$AM, 17, FALSE) / VLOOKUP("industry|PM25|Non-fatal heart attacks", US_national_yearly!$D:$AM, 10, FALSE), 1)</f>
        <v>7.4885411386629228E-3</v>
      </c>
      <c r="J13" s="7">
        <f>$B13 * IFERROR(VLOOKUP("industry|PM25|Non-fatal heart attacks", US_national_yearly!$D:$AM, 18, FALSE) / VLOOKUP("industry|PM25|Non-fatal heart attacks", US_national_yearly!$D:$AM, 10, FALSE), 1)</f>
        <v>7.6277725784449956E-3</v>
      </c>
      <c r="K13" s="7">
        <f>$B13 * IFERROR(VLOOKUP("industry|PM25|Non-fatal heart attacks", US_national_yearly!$D:$AM, 19, FALSE) / VLOOKUP("industry|PM25|Non-fatal heart attacks", US_national_yearly!$D:$AM, 10, FALSE), 1)</f>
        <v>7.7670040182270675E-3</v>
      </c>
      <c r="L13" s="7">
        <f>$B13 * IFERROR(VLOOKUP("industry|PM25|Non-fatal heart attacks", US_national_yearly!$D:$AM, 20, FALSE) / VLOOKUP("industry|PM25|Non-fatal heart attacks", US_national_yearly!$D:$AM, 10, FALSE), 1)</f>
        <v>7.9062354580091403E-3</v>
      </c>
      <c r="M13" s="7">
        <f>$B13 * IFERROR(VLOOKUP("industry|PM25|Non-fatal heart attacks", US_national_yearly!$D:$AM, 21, FALSE) / VLOOKUP("industry|PM25|Non-fatal heart attacks", US_national_yearly!$D:$AM, 10, FALSE), 1)</f>
        <v>8.0454668977912123E-3</v>
      </c>
      <c r="N13" s="7">
        <f>$B13 * IFERROR(VLOOKUP("industry|PM25|Non-fatal heart attacks", US_national_yearly!$D:$AM, 22, FALSE) / VLOOKUP("industry|PM25|Non-fatal heart attacks", US_national_yearly!$D:$AM, 10, FALSE), 1)</f>
        <v>8.1354877775381383E-3</v>
      </c>
      <c r="O13" s="7">
        <f>$B13 * IFERROR(VLOOKUP("industry|PM25|Non-fatal heart attacks", US_national_yearly!$D:$AM, 23, FALSE) / VLOOKUP("industry|PM25|Non-fatal heart attacks", US_national_yearly!$D:$AM, 10, FALSE), 1)</f>
        <v>8.2255086572850626E-3</v>
      </c>
      <c r="P13" s="7">
        <f>$B13 * IFERROR(VLOOKUP("industry|PM25|Non-fatal heart attacks", US_national_yearly!$D:$AM, 24, FALSE) / VLOOKUP("industry|PM25|Non-fatal heart attacks", US_national_yearly!$D:$AM, 10, FALSE), 1)</f>
        <v>8.3155295370319886E-3</v>
      </c>
      <c r="Q13" s="7">
        <f>$B13 * IFERROR(VLOOKUP("industry|PM25|Non-fatal heart attacks", US_national_yearly!$D:$AM, 25, FALSE) / VLOOKUP("industry|PM25|Non-fatal heart attacks", US_national_yearly!$D:$AM, 10, FALSE), 1)</f>
        <v>8.4055504167789112E-3</v>
      </c>
      <c r="R13" s="7">
        <f>$B13 * IFERROR(VLOOKUP("industry|PM25|Non-fatal heart attacks", US_national_yearly!$D:$AM, 26, FALSE) / VLOOKUP("industry|PM25|Non-fatal heart attacks", US_national_yearly!$D:$AM, 10, FALSE), 1)</f>
        <v>8.4955712965258372E-3</v>
      </c>
      <c r="S13" s="7">
        <f>$B13 * IFERROR(VLOOKUP("industry|PM25|Non-fatal heart attacks", US_national_yearly!$D:$AM, 27, FALSE) / VLOOKUP("industry|PM25|Non-fatal heart attacks", US_national_yearly!$D:$AM, 10, FALSE), 1)</f>
        <v>8.5436517895462315E-3</v>
      </c>
      <c r="T13" s="7">
        <f>$B13 * IFERROR(VLOOKUP("industry|PM25|Non-fatal heart attacks", US_national_yearly!$D:$AM, 28, FALSE) / VLOOKUP("industry|PM25|Non-fatal heart attacks", US_national_yearly!$D:$AM, 10, FALSE), 1)</f>
        <v>8.5917322825666276E-3</v>
      </c>
      <c r="U13" s="7">
        <f>$B13 * IFERROR(VLOOKUP("industry|PM25|Non-fatal heart attacks", US_national_yearly!$D:$AM, 29, FALSE) / VLOOKUP("industry|PM25|Non-fatal heart attacks", US_national_yearly!$D:$AM, 10, FALSE), 1)</f>
        <v>8.6398127755870236E-3</v>
      </c>
      <c r="V13" s="7">
        <f>$B13 * IFERROR(VLOOKUP("industry|PM25|Non-fatal heart attacks", US_national_yearly!$D:$AM, 30, FALSE) / VLOOKUP("industry|PM25|Non-fatal heart attacks", US_national_yearly!$D:$AM, 10, FALSE), 1)</f>
        <v>8.6878932686074162E-3</v>
      </c>
      <c r="W13" s="7">
        <f>$B13 * IFERROR(VLOOKUP("industry|PM25|Non-fatal heart attacks", US_national_yearly!$D:$AM, 31, FALSE) / VLOOKUP("industry|PM25|Non-fatal heart attacks", US_national_yearly!$D:$AM, 10, FALSE), 1)</f>
        <v>8.7359737616278139E-3</v>
      </c>
      <c r="X13" s="7">
        <f>$B13 * IFERROR(VLOOKUP("industry|PM25|Non-fatal heart attacks", US_national_yearly!$D:$AM, 32, FALSE) / VLOOKUP("industry|PM25|Non-fatal heart attacks", US_national_yearly!$D:$AM, 10, FALSE), 1)</f>
        <v>8.7730819758684575E-3</v>
      </c>
      <c r="Y13" s="7">
        <f>$B13 * IFERROR(VLOOKUP("industry|PM25|Non-fatal heart attacks", US_national_yearly!$D:$AM, 33, FALSE) / VLOOKUP("industry|PM25|Non-fatal heart attacks", US_national_yearly!$D:$AM, 10, FALSE), 1)</f>
        <v>8.8101901901090993E-3</v>
      </c>
      <c r="Z13" s="7">
        <f>$B13 * IFERROR(VLOOKUP("industry|PM25|Non-fatal heart attacks", US_national_yearly!$D:$AM, 34, FALSE) / VLOOKUP("industry|PM25|Non-fatal heart attacks", US_national_yearly!$D:$AM, 10, FALSE), 1)</f>
        <v>8.8472984043497429E-3</v>
      </c>
      <c r="AA13" s="7">
        <f>$B13 * IFERROR(VLOOKUP("industry|PM25|Non-fatal heart attacks", US_national_yearly!$D:$AM, 35, FALSE) / VLOOKUP("industry|PM25|Non-fatal heart attacks", US_national_yearly!$D:$AM, 10, FALSE), 1)</f>
        <v>8.8844066185903865E-3</v>
      </c>
      <c r="AB13" s="7">
        <f>$B13 * IFERROR(VLOOKUP("industry|PM25|Non-fatal heart attacks", US_national_yearly!$D:$AM, 36, FALSE) / VLOOKUP("industry|PM25|Non-fatal heart attacks", US_national_yearly!$D:$AM, 10, FALSE), 1)</f>
        <v>8.92151483283103E-3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4.8640326864625658</v>
      </c>
      <c r="C14" s="7">
        <f>$B14 * IFERROR(VLOOKUP("industry|PM25|Minor restricted activity days", US_national_yearly!$D:$AM, 11, FALSE) / VLOOKUP("industry|PM25|Minor restricted activity days", US_national_yearly!$D:$AM, 10, FALSE), 1)</f>
        <v>4.8759455087532579</v>
      </c>
      <c r="D14" s="7">
        <f>$B14 * IFERROR(VLOOKUP("industry|PM25|Minor restricted activity days", US_national_yearly!$D:$AM, 12, FALSE) / VLOOKUP("industry|PM25|Minor restricted activity days", US_national_yearly!$D:$AM, 10, FALSE), 1)</f>
        <v>4.8878583310439518</v>
      </c>
      <c r="E14" s="7">
        <f>$B14 * IFERROR(VLOOKUP("industry|PM25|Minor restricted activity days", US_national_yearly!$D:$AM, 13, FALSE) / VLOOKUP("industry|PM25|Minor restricted activity days", US_national_yearly!$D:$AM, 10, FALSE), 1)</f>
        <v>4.899771153334644</v>
      </c>
      <c r="F14" s="7">
        <f>$B14 * IFERROR(VLOOKUP("industry|PM25|Minor restricted activity days", US_national_yearly!$D:$AM, 14, FALSE) / VLOOKUP("industry|PM25|Minor restricted activity days", US_national_yearly!$D:$AM, 10, FALSE), 1)</f>
        <v>4.9116839756253361</v>
      </c>
      <c r="G14" s="7">
        <f>$B14 * IFERROR(VLOOKUP("industry|PM25|Minor restricted activity days", US_national_yearly!$D:$AM, 15, FALSE) / VLOOKUP("industry|PM25|Minor restricted activity days", US_national_yearly!$D:$AM, 10, FALSE), 1)</f>
        <v>4.9291700625729238</v>
      </c>
      <c r="H14" s="7">
        <f>$B14 * IFERROR(VLOOKUP("industry|PM25|Minor restricted activity days", US_national_yearly!$D:$AM, 16, FALSE) / VLOOKUP("industry|PM25|Minor restricted activity days", US_national_yearly!$D:$AM, 10, FALSE), 1)</f>
        <v>4.9466561495205106</v>
      </c>
      <c r="I14" s="7">
        <f>$B14 * IFERROR(VLOOKUP("industry|PM25|Minor restricted activity days", US_national_yearly!$D:$AM, 17, FALSE) / VLOOKUP("industry|PM25|Minor restricted activity days", US_national_yearly!$D:$AM, 10, FALSE), 1)</f>
        <v>4.9763605150921757</v>
      </c>
      <c r="J14" s="7">
        <f>$B14 * IFERROR(VLOOKUP("industry|PM25|Minor restricted activity days", US_national_yearly!$D:$AM, 18, FALSE) / VLOOKUP("industry|PM25|Minor restricted activity days", US_national_yearly!$D:$AM, 10, FALSE), 1)</f>
        <v>5.0060648806638426</v>
      </c>
      <c r="K14" s="7">
        <f>$B14 * IFERROR(VLOOKUP("industry|PM25|Minor restricted activity days", US_national_yearly!$D:$AM, 19, FALSE) / VLOOKUP("industry|PM25|Minor restricted activity days", US_national_yearly!$D:$AM, 10, FALSE), 1)</f>
        <v>5.0357692462355077</v>
      </c>
      <c r="L14" s="7">
        <f>$B14 * IFERROR(VLOOKUP("industry|PM25|Minor restricted activity days", US_national_yearly!$D:$AM, 20, FALSE) / VLOOKUP("industry|PM25|Minor restricted activity days", US_national_yearly!$D:$AM, 10, FALSE), 1)</f>
        <v>5.0654736118071728</v>
      </c>
      <c r="M14" s="7">
        <f>$B14 * IFERROR(VLOOKUP("industry|PM25|Minor restricted activity days", US_national_yearly!$D:$AM, 21, FALSE) / VLOOKUP("industry|PM25|Minor restricted activity days", US_national_yearly!$D:$AM, 10, FALSE), 1)</f>
        <v>5.0951779773788388</v>
      </c>
      <c r="N14" s="7">
        <f>$B14 * IFERROR(VLOOKUP("industry|PM25|Minor restricted activity days", US_national_yearly!$D:$AM, 22, FALSE) / VLOOKUP("industry|PM25|Minor restricted activity days", US_national_yearly!$D:$AM, 10, FALSE), 1)</f>
        <v>5.1357570737864204</v>
      </c>
      <c r="O14" s="7">
        <f>$B14 * IFERROR(VLOOKUP("industry|PM25|Minor restricted activity days", US_national_yearly!$D:$AM, 23, FALSE) / VLOOKUP("industry|PM25|Minor restricted activity days", US_national_yearly!$D:$AM, 10, FALSE), 1)</f>
        <v>5.1763361701940065</v>
      </c>
      <c r="P14" s="7">
        <f>$B14 * IFERROR(VLOOKUP("industry|PM25|Minor restricted activity days", US_national_yearly!$D:$AM, 24, FALSE) / VLOOKUP("industry|PM25|Minor restricted activity days", US_national_yearly!$D:$AM, 10, FALSE), 1)</f>
        <v>5.216915266601589</v>
      </c>
      <c r="Q14" s="7">
        <f>$B14 * IFERROR(VLOOKUP("industry|PM25|Minor restricted activity days", US_national_yearly!$D:$AM, 25, FALSE) / VLOOKUP("industry|PM25|Minor restricted activity days", US_national_yearly!$D:$AM, 10, FALSE), 1)</f>
        <v>5.2574943630091759</v>
      </c>
      <c r="R14" s="7">
        <f>$B14 * IFERROR(VLOOKUP("industry|PM25|Minor restricted activity days", US_national_yearly!$D:$AM, 26, FALSE) / VLOOKUP("industry|PM25|Minor restricted activity days", US_national_yearly!$D:$AM, 10, FALSE), 1)</f>
        <v>5.2980734594167576</v>
      </c>
      <c r="S14" s="7">
        <f>$B14 * IFERROR(VLOOKUP("industry|PM25|Minor restricted activity days", US_national_yearly!$D:$AM, 27, FALSE) / VLOOKUP("industry|PM25|Minor restricted activity days", US_national_yearly!$D:$AM, 10, FALSE), 1)</f>
        <v>5.339042131020217</v>
      </c>
      <c r="T14" s="7">
        <f>$B14 * IFERROR(VLOOKUP("industry|PM25|Minor restricted activity days", US_national_yearly!$D:$AM, 28, FALSE) / VLOOKUP("industry|PM25|Minor restricted activity days", US_national_yearly!$D:$AM, 10, FALSE), 1)</f>
        <v>5.3800108026236764</v>
      </c>
      <c r="U14" s="7">
        <f>$B14 * IFERROR(VLOOKUP("industry|PM25|Minor restricted activity days", US_national_yearly!$D:$AM, 29, FALSE) / VLOOKUP("industry|PM25|Minor restricted activity days", US_national_yearly!$D:$AM, 10, FALSE), 1)</f>
        <v>5.4209794742271358</v>
      </c>
      <c r="V14" s="7">
        <f>$B14 * IFERROR(VLOOKUP("industry|PM25|Minor restricted activity days", US_national_yearly!$D:$AM, 30, FALSE) / VLOOKUP("industry|PM25|Minor restricted activity days", US_national_yearly!$D:$AM, 10, FALSE), 1)</f>
        <v>5.4619481458305943</v>
      </c>
      <c r="W14" s="7">
        <f>$B14 * IFERROR(VLOOKUP("industry|PM25|Minor restricted activity days", US_national_yearly!$D:$AM, 31, FALSE) / VLOOKUP("industry|PM25|Minor restricted activity days", US_national_yearly!$D:$AM, 10, FALSE), 1)</f>
        <v>5.5029168174340546</v>
      </c>
      <c r="X14" s="7">
        <f>$B14 * IFERROR(VLOOKUP("industry|PM25|Minor restricted activity days", US_national_yearly!$D:$AM, 32, FALSE) / VLOOKUP("industry|PM25|Minor restricted activity days", US_national_yearly!$D:$AM, 10, FALSE), 1)</f>
        <v>5.5385170926626506</v>
      </c>
      <c r="Y14" s="7">
        <f>$B14 * IFERROR(VLOOKUP("industry|PM25|Minor restricted activity days", US_national_yearly!$D:$AM, 33, FALSE) / VLOOKUP("industry|PM25|Minor restricted activity days", US_national_yearly!$D:$AM, 10, FALSE), 1)</f>
        <v>5.5741173678912483</v>
      </c>
      <c r="Z14" s="7">
        <f>$B14 * IFERROR(VLOOKUP("industry|PM25|Minor restricted activity days", US_national_yearly!$D:$AM, 34, FALSE) / VLOOKUP("industry|PM25|Minor restricted activity days", US_national_yearly!$D:$AM, 10, FALSE), 1)</f>
        <v>5.6097176431198461</v>
      </c>
      <c r="AA14" s="7">
        <f>$B14 * IFERROR(VLOOKUP("industry|PM25|Minor restricted activity days", US_national_yearly!$D:$AM, 35, FALSE) / VLOOKUP("industry|PM25|Minor restricted activity days", US_national_yearly!$D:$AM, 10, FALSE), 1)</f>
        <v>5.6453179183484439</v>
      </c>
      <c r="AB14" s="7">
        <f>$B14 * IFERROR(VLOOKUP("industry|PM25|Minor restricted activity days", US_national_yearly!$D:$AM, 36, FALSE) / VLOOKUP("industry|PM25|Minor restricted activity days", US_national_yearly!$D:$AM, 10, FALSE), 1)</f>
        <v>5.6809181935770416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0.8219576493167523</v>
      </c>
      <c r="C15" s="7">
        <f>$B15 * IFERROR(VLOOKUP("industry|PM25|Work loss days", US_national_yearly!$D:$AM, 11, FALSE) / VLOOKUP("industry|PM25|Work loss days", US_national_yearly!$D:$AM, 10, FALSE), 1)</f>
        <v>0.82450604804523242</v>
      </c>
      <c r="D15" s="7">
        <f>$B15 * IFERROR(VLOOKUP("industry|PM25|Work loss days", US_national_yearly!$D:$AM, 12, FALSE) / VLOOKUP("industry|PM25|Work loss days", US_national_yearly!$D:$AM, 10, FALSE), 1)</f>
        <v>0.82705444677371254</v>
      </c>
      <c r="E15" s="7">
        <f>$B15 * IFERROR(VLOOKUP("industry|PM25|Work loss days", US_national_yearly!$D:$AM, 13, FALSE) / VLOOKUP("industry|PM25|Work loss days", US_national_yearly!$D:$AM, 10, FALSE), 1)</f>
        <v>0.82960284550219243</v>
      </c>
      <c r="F15" s="7">
        <f>$B15 * IFERROR(VLOOKUP("industry|PM25|Work loss days", US_national_yearly!$D:$AM, 14, FALSE) / VLOOKUP("industry|PM25|Work loss days", US_national_yearly!$D:$AM, 10, FALSE), 1)</f>
        <v>0.83215124423067244</v>
      </c>
      <c r="G15" s="7">
        <f>$B15 * IFERROR(VLOOKUP("industry|PM25|Work loss days", US_national_yearly!$D:$AM, 15, FALSE) / VLOOKUP("industry|PM25|Work loss days", US_national_yearly!$D:$AM, 10, FALSE), 1)</f>
        <v>0.83547829035193844</v>
      </c>
      <c r="H15" s="7">
        <f>$B15 * IFERROR(VLOOKUP("industry|PM25|Work loss days", US_national_yearly!$D:$AM, 16, FALSE) / VLOOKUP("industry|PM25|Work loss days", US_national_yearly!$D:$AM, 10, FALSE), 1)</f>
        <v>0.83880533647320443</v>
      </c>
      <c r="I15" s="7">
        <f>$B15 * IFERROR(VLOOKUP("industry|PM25|Work loss days", US_national_yearly!$D:$AM, 17, FALSE) / VLOOKUP("industry|PM25|Work loss days", US_national_yearly!$D:$AM, 10, FALSE), 1)</f>
        <v>0.84367719087313642</v>
      </c>
      <c r="J15" s="7">
        <f>$B15 * IFERROR(VLOOKUP("industry|PM25|Work loss days", US_national_yearly!$D:$AM, 18, FALSE) / VLOOKUP("industry|PM25|Work loss days", US_national_yearly!$D:$AM, 10, FALSE), 1)</f>
        <v>0.84854904527306851</v>
      </c>
      <c r="K15" s="7">
        <f>$B15 * IFERROR(VLOOKUP("industry|PM25|Work loss days", US_national_yearly!$D:$AM, 19, FALSE) / VLOOKUP("industry|PM25|Work loss days", US_national_yearly!$D:$AM, 10, FALSE), 1)</f>
        <v>0.85342089967300039</v>
      </c>
      <c r="L15" s="7">
        <f>$B15 * IFERROR(VLOOKUP("industry|PM25|Work loss days", US_national_yearly!$D:$AM, 20, FALSE) / VLOOKUP("industry|PM25|Work loss days", US_national_yearly!$D:$AM, 10, FALSE), 1)</f>
        <v>0.85829275407293237</v>
      </c>
      <c r="M15" s="7">
        <f>$B15 * IFERROR(VLOOKUP("industry|PM25|Work loss days", US_national_yearly!$D:$AM, 21, FALSE) / VLOOKUP("industry|PM25|Work loss days", US_national_yearly!$D:$AM, 10, FALSE), 1)</f>
        <v>0.86316460847286447</v>
      </c>
      <c r="N15" s="7">
        <f>$B15 * IFERROR(VLOOKUP("industry|PM25|Work loss days", US_national_yearly!$D:$AM, 22, FALSE) / VLOOKUP("industry|PM25|Work loss days", US_national_yearly!$D:$AM, 10, FALSE), 1)</f>
        <v>0.86931224925626871</v>
      </c>
      <c r="O15" s="7">
        <f>$B15 * IFERROR(VLOOKUP("industry|PM25|Work loss days", US_national_yearly!$D:$AM, 23, FALSE) / VLOOKUP("industry|PM25|Work loss days", US_national_yearly!$D:$AM, 10, FALSE), 1)</f>
        <v>0.87545989003967295</v>
      </c>
      <c r="P15" s="7">
        <f>$B15 * IFERROR(VLOOKUP("industry|PM25|Work loss days", US_national_yearly!$D:$AM, 24, FALSE) / VLOOKUP("industry|PM25|Work loss days", US_national_yearly!$D:$AM, 10, FALSE), 1)</f>
        <v>0.88160753082307697</v>
      </c>
      <c r="Q15" s="7">
        <f>$B15 * IFERROR(VLOOKUP("industry|PM25|Work loss days", US_national_yearly!$D:$AM, 25, FALSE) / VLOOKUP("industry|PM25|Work loss days", US_national_yearly!$D:$AM, 10, FALSE), 1)</f>
        <v>0.88775517160648132</v>
      </c>
      <c r="R15" s="7">
        <f>$B15 * IFERROR(VLOOKUP("industry|PM25|Work loss days", US_national_yearly!$D:$AM, 26, FALSE) / VLOOKUP("industry|PM25|Work loss days", US_national_yearly!$D:$AM, 10, FALSE), 1)</f>
        <v>0.89390281238988534</v>
      </c>
      <c r="S15" s="7">
        <f>$B15 * IFERROR(VLOOKUP("industry|PM25|Work loss days", US_national_yearly!$D:$AM, 27, FALSE) / VLOOKUP("industry|PM25|Work loss days", US_national_yearly!$D:$AM, 10, FALSE), 1)</f>
        <v>0.90071967447701917</v>
      </c>
      <c r="T15" s="7">
        <f>$B15 * IFERROR(VLOOKUP("industry|PM25|Work loss days", US_national_yearly!$D:$AM, 28, FALSE) / VLOOKUP("industry|PM25|Work loss days", US_national_yearly!$D:$AM, 10, FALSE), 1)</f>
        <v>0.90753653656415267</v>
      </c>
      <c r="U15" s="7">
        <f>$B15 * IFERROR(VLOOKUP("industry|PM25|Work loss days", US_national_yearly!$D:$AM, 29, FALSE) / VLOOKUP("industry|PM25|Work loss days", US_national_yearly!$D:$AM, 10, FALSE), 1)</f>
        <v>0.91435339865128629</v>
      </c>
      <c r="V15" s="7">
        <f>$B15 * IFERROR(VLOOKUP("industry|PM25|Work loss days", US_national_yearly!$D:$AM, 30, FALSE) / VLOOKUP("industry|PM25|Work loss days", US_national_yearly!$D:$AM, 10, FALSE), 1)</f>
        <v>0.9211702607384199</v>
      </c>
      <c r="W15" s="7">
        <f>$B15 * IFERROR(VLOOKUP("industry|PM25|Work loss days", US_national_yearly!$D:$AM, 31, FALSE) / VLOOKUP("industry|PM25|Work loss days", US_national_yearly!$D:$AM, 10, FALSE), 1)</f>
        <v>0.92798712282555373</v>
      </c>
      <c r="X15" s="7">
        <f>$B15 * IFERROR(VLOOKUP("industry|PM25|Work loss days", US_national_yearly!$D:$AM, 32, FALSE) / VLOOKUP("industry|PM25|Work loss days", US_national_yearly!$D:$AM, 10, FALSE), 1)</f>
        <v>0.934044801139431</v>
      </c>
      <c r="Y15" s="7">
        <f>$B15 * IFERROR(VLOOKUP("industry|PM25|Work loss days", US_national_yearly!$D:$AM, 33, FALSE) / VLOOKUP("industry|PM25|Work loss days", US_national_yearly!$D:$AM, 10, FALSE), 1)</f>
        <v>0.94010247945330849</v>
      </c>
      <c r="Z15" s="7">
        <f>$B15 * IFERROR(VLOOKUP("industry|PM25|Work loss days", US_national_yearly!$D:$AM, 34, FALSE) / VLOOKUP("industry|PM25|Work loss days", US_national_yearly!$D:$AM, 10, FALSE), 1)</f>
        <v>0.94616015776718587</v>
      </c>
      <c r="AA15" s="7">
        <f>$B15 * IFERROR(VLOOKUP("industry|PM25|Work loss days", US_national_yearly!$D:$AM, 35, FALSE) / VLOOKUP("industry|PM25|Work loss days", US_national_yearly!$D:$AM, 10, FALSE), 1)</f>
        <v>0.95221783608106325</v>
      </c>
      <c r="AB15" s="7">
        <f>$B15 * IFERROR(VLOOKUP("industry|PM25|Work loss days", US_national_yearly!$D:$AM, 36, FALSE) / VLOOKUP("industry|PM25|Work loss days", US_national_yearly!$D:$AM, 10, FALSE), 1)</f>
        <v>0.95827551439494063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1.2956141282787896E-3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1.3343667775003981E-3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1.3731194267220066E-3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1.4118720759436153E-3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1.4506247251652236E-3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1.4877663462030191E-3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1.5249079672408146E-3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1.5567973037848082E-3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1.5886866403288017E-3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1.6205759768727957E-3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1.6524653134167896E-3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1.6843546499607832E-3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1.7056568469996833E-3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1.726959044038583E-3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1.7482612410774827E-3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1.7695634381163826E-3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1.7908656351552825E-3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1.8022788357389327E-3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1.813692036322583E-3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1.8251052369062334E-3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1.8365184374898832E-3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1.8479316380735334E-3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1.8557690207789748E-3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1.8636064034844157E-3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1.8714437861898567E-3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1.8792811688952975E-3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1.8871185516007385E-3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6.8314413747205057E-4</v>
      </c>
      <c r="C2" s="7">
        <f>$B2 * IFERROR(VLOOKUP("industry|NOx|Premature mortality", US_national_yearly!$D:$AM, 11, FALSE) / VLOOKUP("industry|NOx|Premature mortality", US_national_yearly!$D:$AM, 10, FALSE), 1)</f>
        <v>6.932456105222173E-4</v>
      </c>
      <c r="D2" s="7">
        <f>$B2 * IFERROR(VLOOKUP("industry|NOx|Premature mortality", US_national_yearly!$D:$AM, 12, FALSE) / VLOOKUP("industry|NOx|Premature mortality", US_national_yearly!$D:$AM, 10, FALSE), 1)</f>
        <v>7.0334708357238415E-4</v>
      </c>
      <c r="E2" s="7">
        <f>$B2 * IFERROR(VLOOKUP("industry|NOx|Premature mortality", US_national_yearly!$D:$AM, 13, FALSE) / VLOOKUP("industry|NOx|Premature mortality", US_national_yearly!$D:$AM, 10, FALSE), 1)</f>
        <v>7.1344855662255078E-4</v>
      </c>
      <c r="F2" s="7">
        <f>$B2 * IFERROR(VLOOKUP("industry|NOx|Premature mortality", US_national_yearly!$D:$AM, 14, FALSE) / VLOOKUP("industry|NOx|Premature mortality", US_national_yearly!$D:$AM, 10, FALSE), 1)</f>
        <v>7.2355002967271762E-4</v>
      </c>
      <c r="G2" s="7">
        <f>$B2 * IFERROR(VLOOKUP("industry|NOx|Premature mortality", US_national_yearly!$D:$AM, 15, FALSE) / VLOOKUP("industry|NOx|Premature mortality", US_national_yearly!$D:$AM, 10, FALSE), 1)</f>
        <v>7.4166575367645661E-4</v>
      </c>
      <c r="H2" s="7">
        <f>$B2 * IFERROR(VLOOKUP("industry|NOx|Premature mortality", US_national_yearly!$D:$AM, 16, FALSE) / VLOOKUP("industry|NOx|Premature mortality", US_national_yearly!$D:$AM, 10, FALSE), 1)</f>
        <v>7.5978147768019548E-4</v>
      </c>
      <c r="I2" s="7">
        <f>$B2 * IFERROR(VLOOKUP("industry|NOx|Premature mortality", US_national_yearly!$D:$AM, 17, FALSE) / VLOOKUP("industry|NOx|Premature mortality", US_national_yearly!$D:$AM, 10, FALSE), 1)</f>
        <v>7.715337574079581E-4</v>
      </c>
      <c r="J2" s="7">
        <f>$B2 * IFERROR(VLOOKUP("industry|NOx|Premature mortality", US_national_yearly!$D:$AM, 18, FALSE) / VLOOKUP("industry|NOx|Premature mortality", US_national_yearly!$D:$AM, 10, FALSE), 1)</f>
        <v>7.8328603713572072E-4</v>
      </c>
      <c r="K2" s="7">
        <f>$B2 * IFERROR(VLOOKUP("industry|NOx|Premature mortality", US_national_yearly!$D:$AM, 19, FALSE) / VLOOKUP("industry|NOx|Premature mortality", US_national_yearly!$D:$AM, 10, FALSE), 1)</f>
        <v>7.9503831686348345E-4</v>
      </c>
      <c r="L2" s="7">
        <f>$B2 * IFERROR(VLOOKUP("industry|NOx|Premature mortality", US_national_yearly!$D:$AM, 20, FALSE) / VLOOKUP("industry|NOx|Premature mortality", US_national_yearly!$D:$AM, 10, FALSE), 1)</f>
        <v>8.0679059659124596E-4</v>
      </c>
      <c r="M2" s="7">
        <f>$B2 * IFERROR(VLOOKUP("industry|NOx|Premature mortality", US_national_yearly!$D:$AM, 21, FALSE) / VLOOKUP("industry|NOx|Premature mortality", US_national_yearly!$D:$AM, 10, FALSE), 1)</f>
        <v>8.1854287631900858E-4</v>
      </c>
      <c r="N2" s="7">
        <f>$B2 * IFERROR(VLOOKUP("industry|NOx|Premature mortality", US_national_yearly!$D:$AM, 22, FALSE) / VLOOKUP("industry|NOx|Premature mortality", US_national_yearly!$D:$AM, 10, FALSE), 1)</f>
        <v>8.2728810599669853E-4</v>
      </c>
      <c r="O2" s="7">
        <f>$B2 * IFERROR(VLOOKUP("industry|NOx|Premature mortality", US_national_yearly!$D:$AM, 23, FALSE) / VLOOKUP("industry|NOx|Premature mortality", US_national_yearly!$D:$AM, 10, FALSE), 1)</f>
        <v>8.3603333567438837E-4</v>
      </c>
      <c r="P2" s="7">
        <f>$B2 * IFERROR(VLOOKUP("industry|NOx|Premature mortality", US_national_yearly!$D:$AM, 24, FALSE) / VLOOKUP("industry|NOx|Premature mortality", US_national_yearly!$D:$AM, 10, FALSE), 1)</f>
        <v>8.4477856535207811E-4</v>
      </c>
      <c r="Q2" s="7">
        <f>$B2 * IFERROR(VLOOKUP("industry|NOx|Premature mortality", US_national_yearly!$D:$AM, 25, FALSE) / VLOOKUP("industry|NOx|Premature mortality", US_national_yearly!$D:$AM, 10, FALSE), 1)</f>
        <v>8.5352379502976795E-4</v>
      </c>
      <c r="R2" s="7">
        <f>$B2 * IFERROR(VLOOKUP("industry|NOx|Premature mortality", US_national_yearly!$D:$AM, 26, FALSE) / VLOOKUP("industry|NOx|Premature mortality", US_national_yearly!$D:$AM, 10, FALSE), 1)</f>
        <v>8.6226902470745779E-4</v>
      </c>
      <c r="S2" s="7">
        <f>$B2 * IFERROR(VLOOKUP("industry|NOx|Premature mortality", US_national_yearly!$D:$AM, 27, FALSE) / VLOOKUP("industry|NOx|Premature mortality", US_national_yearly!$D:$AM, 10, FALSE), 1)</f>
        <v>8.663413316339349E-4</v>
      </c>
      <c r="T2" s="7">
        <f>$B2 * IFERROR(VLOOKUP("industry|NOx|Premature mortality", US_national_yearly!$D:$AM, 28, FALSE) / VLOOKUP("industry|NOx|Premature mortality", US_national_yearly!$D:$AM, 10, FALSE), 1)</f>
        <v>8.7041363856041202E-4</v>
      </c>
      <c r="U2" s="7">
        <f>$B2 * IFERROR(VLOOKUP("industry|NOx|Premature mortality", US_national_yearly!$D:$AM, 29, FALSE) / VLOOKUP("industry|NOx|Premature mortality", US_national_yearly!$D:$AM, 10, FALSE), 1)</f>
        <v>8.7448594548688902E-4</v>
      </c>
      <c r="V2" s="7">
        <f>$B2 * IFERROR(VLOOKUP("industry|NOx|Premature mortality", US_national_yearly!$D:$AM, 30, FALSE) / VLOOKUP("industry|NOx|Premature mortality", US_national_yearly!$D:$AM, 10, FALSE), 1)</f>
        <v>8.7855825241336613E-4</v>
      </c>
      <c r="W2" s="7">
        <f>$B2 * IFERROR(VLOOKUP("industry|NOx|Premature mortality", US_national_yearly!$D:$AM, 31, FALSE) / VLOOKUP("industry|NOx|Premature mortality", US_national_yearly!$D:$AM, 10, FALSE), 1)</f>
        <v>8.8263055933984302E-4</v>
      </c>
      <c r="X2" s="7">
        <f>$B2 * IFERROR(VLOOKUP("industry|NOx|Premature mortality", US_national_yearly!$D:$AM, 32, FALSE) / VLOOKUP("industry|NOx|Premature mortality", US_national_yearly!$D:$AM, 10, FALSE), 1)</f>
        <v>8.8294177805911978E-4</v>
      </c>
      <c r="Y2" s="7">
        <f>$B2 * IFERROR(VLOOKUP("industry|NOx|Premature mortality", US_national_yearly!$D:$AM, 33, FALSE) / VLOOKUP("industry|NOx|Premature mortality", US_national_yearly!$D:$AM, 10, FALSE), 1)</f>
        <v>8.8325299677839643E-4</v>
      </c>
      <c r="Z2" s="7">
        <f>$B2 * IFERROR(VLOOKUP("industry|NOx|Premature mortality", US_national_yearly!$D:$AM, 34, FALSE) / VLOOKUP("industry|NOx|Premature mortality", US_national_yearly!$D:$AM, 10, FALSE), 1)</f>
        <v>8.8356421549767319E-4</v>
      </c>
      <c r="AA2" s="7">
        <f>$B2 * IFERROR(VLOOKUP("industry|NOx|Premature mortality", US_national_yearly!$D:$AM, 35, FALSE) / VLOOKUP("industry|NOx|Premature mortality", US_national_yearly!$D:$AM, 10, FALSE), 1)</f>
        <v>8.8387543421694983E-4</v>
      </c>
      <c r="AB2" s="7">
        <f>$B2 * IFERROR(VLOOKUP("industry|NOx|Premature mortality", US_national_yearly!$D:$AM, 36, FALSE) / VLOOKUP("industry|NOx|Premature mortality", US_national_yearly!$D:$AM, 10, FALSE), 1)</f>
        <v>8.8418665293622648E-4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1.1565792027526485E-6</v>
      </c>
      <c r="C3" s="7">
        <f>$B3 * IFERROR(VLOOKUP("industry|NOx|Infant mortality", US_national_yearly!$D:$AM, 11, FALSE) / VLOOKUP("industry|NOx|Infant mortality", US_national_yearly!$D:$AM, 10, FALSE), 1)</f>
        <v>1.1455028375499199E-6</v>
      </c>
      <c r="D3" s="7">
        <f>$B3 * IFERROR(VLOOKUP("industry|NOx|Infant mortality", US_national_yearly!$D:$AM, 12, FALSE) / VLOOKUP("industry|NOx|Infant mortality", US_national_yearly!$D:$AM, 10, FALSE), 1)</f>
        <v>1.1344264723471912E-6</v>
      </c>
      <c r="E3" s="7">
        <f>$B3 * IFERROR(VLOOKUP("industry|NOx|Infant mortality", US_national_yearly!$D:$AM, 13, FALSE) / VLOOKUP("industry|NOx|Infant mortality", US_national_yearly!$D:$AM, 10, FALSE), 1)</f>
        <v>1.1233501071444626E-6</v>
      </c>
      <c r="F3" s="7">
        <f>$B3 * IFERROR(VLOOKUP("industry|NOx|Infant mortality", US_national_yearly!$D:$AM, 14, FALSE) / VLOOKUP("industry|NOx|Infant mortality", US_national_yearly!$D:$AM, 10, FALSE), 1)</f>
        <v>1.1122737419417338E-6</v>
      </c>
      <c r="G3" s="7">
        <f>$B3 * IFERROR(VLOOKUP("industry|NOx|Infant mortality", US_national_yearly!$D:$AM, 15, FALSE) / VLOOKUP("industry|NOx|Infant mortality", US_national_yearly!$D:$AM, 10, FALSE), 1)</f>
        <v>7.377580877929653E-7</v>
      </c>
      <c r="H3" s="7">
        <f>$B3 * IFERROR(VLOOKUP("industry|NOx|Infant mortality", US_national_yearly!$D:$AM, 16, FALSE) / VLOOKUP("industry|NOx|Infant mortality", US_national_yearly!$D:$AM, 10, FALSE), 1)</f>
        <v>3.6324243364419683E-7</v>
      </c>
      <c r="I3" s="7">
        <f>$B3 * IFERROR(VLOOKUP("industry|NOx|Infant mortality", US_national_yearly!$D:$AM, 17, FALSE) / VLOOKUP("industry|NOx|Infant mortality", US_national_yearly!$D:$AM, 10, FALSE), 1)</f>
        <v>3.6062361253228009E-7</v>
      </c>
      <c r="J3" s="7">
        <f>$B3 * IFERROR(VLOOKUP("industry|NOx|Infant mortality", US_national_yearly!$D:$AM, 18, FALSE) / VLOOKUP("industry|NOx|Infant mortality", US_national_yearly!$D:$AM, 10, FALSE), 1)</f>
        <v>3.5800479142036346E-7</v>
      </c>
      <c r="K3" s="7">
        <f>$B3 * IFERROR(VLOOKUP("industry|NOx|Infant mortality", US_national_yearly!$D:$AM, 19, FALSE) / VLOOKUP("industry|NOx|Infant mortality", US_national_yearly!$D:$AM, 10, FALSE), 1)</f>
        <v>3.5538597030844673E-7</v>
      </c>
      <c r="L3" s="7">
        <f>$B3 * IFERROR(VLOOKUP("industry|NOx|Infant mortality", US_national_yearly!$D:$AM, 20, FALSE) / VLOOKUP("industry|NOx|Infant mortality", US_national_yearly!$D:$AM, 10, FALSE), 1)</f>
        <v>3.5276714919652994E-7</v>
      </c>
      <c r="M3" s="7">
        <f>$B3 * IFERROR(VLOOKUP("industry|NOx|Infant mortality", US_national_yearly!$D:$AM, 21, FALSE) / VLOOKUP("industry|NOx|Infant mortality", US_national_yearly!$D:$AM, 10, FALSE), 1)</f>
        <v>3.5014832808461326E-7</v>
      </c>
      <c r="N3" s="7">
        <f>$B3 * IFERROR(VLOOKUP("industry|NOx|Infant mortality", US_national_yearly!$D:$AM, 22, FALSE) / VLOOKUP("industry|NOx|Infant mortality", US_national_yearly!$D:$AM, 10, FALSE), 1)</f>
        <v>3.4838388454646718E-7</v>
      </c>
      <c r="O3" s="7">
        <f>$B3 * IFERROR(VLOOKUP("industry|NOx|Infant mortality", US_national_yearly!$D:$AM, 23, FALSE) / VLOOKUP("industry|NOx|Infant mortality", US_national_yearly!$D:$AM, 10, FALSE), 1)</f>
        <v>3.4661944100832099E-7</v>
      </c>
      <c r="P3" s="7">
        <f>$B3 * IFERROR(VLOOKUP("industry|NOx|Infant mortality", US_national_yearly!$D:$AM, 24, FALSE) / VLOOKUP("industry|NOx|Infant mortality", US_national_yearly!$D:$AM, 10, FALSE), 1)</f>
        <v>3.448549974701749E-7</v>
      </c>
      <c r="Q3" s="7">
        <f>$B3 * IFERROR(VLOOKUP("industry|NOx|Infant mortality", US_national_yearly!$D:$AM, 25, FALSE) / VLOOKUP("industry|NOx|Infant mortality", US_national_yearly!$D:$AM, 10, FALSE), 1)</f>
        <v>3.4309055393202882E-7</v>
      </c>
      <c r="R3" s="7">
        <f>$B3 * IFERROR(VLOOKUP("industry|NOx|Infant mortality", US_national_yearly!$D:$AM, 26, FALSE) / VLOOKUP("industry|NOx|Infant mortality", US_national_yearly!$D:$AM, 10, FALSE), 1)</f>
        <v>3.4132611039388273E-7</v>
      </c>
      <c r="S3" s="7">
        <f>$B3 * IFERROR(VLOOKUP("industry|NOx|Infant mortality", US_national_yearly!$D:$AM, 27, FALSE) / VLOOKUP("industry|NOx|Infant mortality", US_national_yearly!$D:$AM, 10, FALSE), 1)</f>
        <v>3.392308652371892E-7</v>
      </c>
      <c r="T3" s="7">
        <f>$B3 * IFERROR(VLOOKUP("industry|NOx|Infant mortality", US_national_yearly!$D:$AM, 28, FALSE) / VLOOKUP("industry|NOx|Infant mortality", US_national_yearly!$D:$AM, 10, FALSE), 1)</f>
        <v>3.3713562008049572E-7</v>
      </c>
      <c r="U3" s="7">
        <f>$B3 * IFERROR(VLOOKUP("industry|NOx|Infant mortality", US_national_yearly!$D:$AM, 29, FALSE) / VLOOKUP("industry|NOx|Infant mortality", US_national_yearly!$D:$AM, 10, FALSE), 1)</f>
        <v>3.3504037492380218E-7</v>
      </c>
      <c r="V3" s="7">
        <f>$B3 * IFERROR(VLOOKUP("industry|NOx|Infant mortality", US_national_yearly!$D:$AM, 30, FALSE) / VLOOKUP("industry|NOx|Infant mortality", US_national_yearly!$D:$AM, 10, FALSE), 1)</f>
        <v>3.329451297671087E-7</v>
      </c>
      <c r="W3" s="7">
        <f>$B3 * IFERROR(VLOOKUP("industry|NOx|Infant mortality", US_national_yearly!$D:$AM, 31, FALSE) / VLOOKUP("industry|NOx|Infant mortality", US_national_yearly!$D:$AM, 10, FALSE), 1)</f>
        <v>3.3084988461041522E-7</v>
      </c>
      <c r="X3" s="7">
        <f>$B3 * IFERROR(VLOOKUP("industry|NOx|Infant mortality", US_national_yearly!$D:$AM, 32, FALSE) / VLOOKUP("industry|NOx|Infant mortality", US_national_yearly!$D:$AM, 10, FALSE), 1)</f>
        <v>3.2864964519343184E-7</v>
      </c>
      <c r="Y3" s="7">
        <f>$B3 * IFERROR(VLOOKUP("industry|NOx|Infant mortality", US_national_yearly!$D:$AM, 33, FALSE) / VLOOKUP("industry|NOx|Infant mortality", US_national_yearly!$D:$AM, 10, FALSE), 1)</f>
        <v>3.264494057764485E-7</v>
      </c>
      <c r="Z3" s="7">
        <f>$B3 * IFERROR(VLOOKUP("industry|NOx|Infant mortality", US_national_yearly!$D:$AM, 34, FALSE) / VLOOKUP("industry|NOx|Infant mortality", US_national_yearly!$D:$AM, 10, FALSE), 1)</f>
        <v>3.2424916635946511E-7</v>
      </c>
      <c r="AA3" s="7">
        <f>$B3 * IFERROR(VLOOKUP("industry|NOx|Infant mortality", US_national_yearly!$D:$AM, 35, FALSE) / VLOOKUP("industry|NOx|Infant mortality", US_national_yearly!$D:$AM, 10, FALSE), 1)</f>
        <v>3.2204892694248178E-7</v>
      </c>
      <c r="AB3" s="7">
        <f>$B3 * IFERROR(VLOOKUP("industry|NOx|Infant mortality", US_national_yearly!$D:$AM, 36, FALSE) / VLOOKUP("industry|NOx|Infant mortality", US_national_yearly!$D:$AM, 10, FALSE), 1)</f>
        <v>3.1984868752549844E-7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1.588613700014354E-3</v>
      </c>
      <c r="C6" s="7">
        <f>$B6 * IFERROR(VLOOKUP("industry|NOx|Asthma symptoms cough", US_national_yearly!$D:$AM, 11, FALSE) / VLOOKUP("industry|NOx|Asthma symptoms cough", US_national_yearly!$D:$AM, 10, FALSE), 1)</f>
        <v>1.6103464744758292E-3</v>
      </c>
      <c r="D6" s="7">
        <f>$B6 * IFERROR(VLOOKUP("industry|NOx|Asthma symptoms cough", US_national_yearly!$D:$AM, 12, FALSE) / VLOOKUP("industry|NOx|Asthma symptoms cough", US_national_yearly!$D:$AM, 10, FALSE), 1)</f>
        <v>1.6320792489373046E-3</v>
      </c>
      <c r="E6" s="7">
        <f>$B6 * IFERROR(VLOOKUP("industry|NOx|Asthma symptoms cough", US_national_yearly!$D:$AM, 13, FALSE) / VLOOKUP("industry|NOx|Asthma symptoms cough", US_national_yearly!$D:$AM, 10, FALSE), 1)</f>
        <v>1.6538120233987798E-3</v>
      </c>
      <c r="F6" s="7">
        <f>$B6 * IFERROR(VLOOKUP("industry|NOx|Asthma symptoms cough", US_national_yearly!$D:$AM, 14, FALSE) / VLOOKUP("industry|NOx|Asthma symptoms cough", US_national_yearly!$D:$AM, 10, FALSE), 1)</f>
        <v>1.6755447978602552E-3</v>
      </c>
      <c r="G6" s="7">
        <f>$B6 * IFERROR(VLOOKUP("industry|NOx|Asthma symptoms cough", US_national_yearly!$D:$AM, 15, FALSE) / VLOOKUP("industry|NOx|Asthma symptoms cough", US_national_yearly!$D:$AM, 10, FALSE), 1)</f>
        <v>1.6929711114111773E-3</v>
      </c>
      <c r="H6" s="7">
        <f>$B6 * IFERROR(VLOOKUP("industry|NOx|Asthma symptoms cough", US_national_yearly!$D:$AM, 16, FALSE) / VLOOKUP("industry|NOx|Asthma symptoms cough", US_national_yearly!$D:$AM, 10, FALSE), 1)</f>
        <v>1.7103974249620996E-3</v>
      </c>
      <c r="I6" s="7">
        <f>$B6 * IFERROR(VLOOKUP("industry|NOx|Asthma symptoms cough", US_national_yearly!$D:$AM, 17, FALSE) / VLOOKUP("industry|NOx|Asthma symptoms cough", US_national_yearly!$D:$AM, 10, FALSE), 1)</f>
        <v>1.7164619365632558E-3</v>
      </c>
      <c r="J6" s="7">
        <f>$B6 * IFERROR(VLOOKUP("industry|NOx|Asthma symptoms cough", US_national_yearly!$D:$AM, 18, FALSE) / VLOOKUP("industry|NOx|Asthma symptoms cough", US_national_yearly!$D:$AM, 10, FALSE), 1)</f>
        <v>1.7225264481644123E-3</v>
      </c>
      <c r="K6" s="7">
        <f>$B6 * IFERROR(VLOOKUP("industry|NOx|Asthma symptoms cough", US_national_yearly!$D:$AM, 19, FALSE) / VLOOKUP("industry|NOx|Asthma symptoms cough", US_national_yearly!$D:$AM, 10, FALSE), 1)</f>
        <v>1.7285909597655684E-3</v>
      </c>
      <c r="L6" s="7">
        <f>$B6 * IFERROR(VLOOKUP("industry|NOx|Asthma symptoms cough", US_national_yearly!$D:$AM, 20, FALSE) / VLOOKUP("industry|NOx|Asthma symptoms cough", US_national_yearly!$D:$AM, 10, FALSE), 1)</f>
        <v>1.7346554713667248E-3</v>
      </c>
      <c r="M6" s="7">
        <f>$B6 * IFERROR(VLOOKUP("industry|NOx|Asthma symptoms cough", US_national_yearly!$D:$AM, 21, FALSE) / VLOOKUP("industry|NOx|Asthma symptoms cough", US_national_yearly!$D:$AM, 10, FALSE), 1)</f>
        <v>1.7407199829678813E-3</v>
      </c>
      <c r="N6" s="7">
        <f>$B6 * IFERROR(VLOOKUP("industry|NOx|Asthma symptoms cough", US_national_yearly!$D:$AM, 22, FALSE) / VLOOKUP("industry|NOx|Asthma symptoms cough", US_national_yearly!$D:$AM, 10, FALSE), 1)</f>
        <v>1.7476427885137194E-3</v>
      </c>
      <c r="O6" s="7">
        <f>$B6 * IFERROR(VLOOKUP("industry|NOx|Asthma symptoms cough", US_national_yearly!$D:$AM, 23, FALSE) / VLOOKUP("industry|NOx|Asthma symptoms cough", US_national_yearly!$D:$AM, 10, FALSE), 1)</f>
        <v>1.7545655940595568E-3</v>
      </c>
      <c r="P6" s="7">
        <f>$B6 * IFERROR(VLOOKUP("industry|NOx|Asthma symptoms cough", US_national_yearly!$D:$AM, 24, FALSE) / VLOOKUP("industry|NOx|Asthma symptoms cough", US_national_yearly!$D:$AM, 10, FALSE), 1)</f>
        <v>1.7614883996053949E-3</v>
      </c>
      <c r="Q6" s="7">
        <f>$B6 * IFERROR(VLOOKUP("industry|NOx|Asthma symptoms cough", US_national_yearly!$D:$AM, 25, FALSE) / VLOOKUP("industry|NOx|Asthma symptoms cough", US_national_yearly!$D:$AM, 10, FALSE), 1)</f>
        <v>1.7684112051512327E-3</v>
      </c>
      <c r="R6" s="7">
        <f>$B6 * IFERROR(VLOOKUP("industry|NOx|Asthma symptoms cough", US_national_yearly!$D:$AM, 26, FALSE) / VLOOKUP("industry|NOx|Asthma symptoms cough", US_national_yearly!$D:$AM, 10, FALSE), 1)</f>
        <v>1.7753340106970706E-3</v>
      </c>
      <c r="S6" s="7">
        <f>$B6 * IFERROR(VLOOKUP("industry|NOx|Asthma symptoms cough", US_national_yearly!$D:$AM, 27, FALSE) / VLOOKUP("industry|NOx|Asthma symptoms cough", US_national_yearly!$D:$AM, 10, FALSE), 1)</f>
        <v>1.7842641235446812E-3</v>
      </c>
      <c r="T6" s="7">
        <f>$B6 * IFERROR(VLOOKUP("industry|NOx|Asthma symptoms cough", US_national_yearly!$D:$AM, 28, FALSE) / VLOOKUP("industry|NOx|Asthma symptoms cough", US_national_yearly!$D:$AM, 10, FALSE), 1)</f>
        <v>1.7931942363922922E-3</v>
      </c>
      <c r="U6" s="7">
        <f>$B6 * IFERROR(VLOOKUP("industry|NOx|Asthma symptoms cough", US_national_yearly!$D:$AM, 29, FALSE) / VLOOKUP("industry|NOx|Asthma symptoms cough", US_national_yearly!$D:$AM, 10, FALSE), 1)</f>
        <v>1.8021243492399028E-3</v>
      </c>
      <c r="V6" s="7">
        <f>$B6 * IFERROR(VLOOKUP("industry|NOx|Asthma symptoms cough", US_national_yearly!$D:$AM, 30, FALSE) / VLOOKUP("industry|NOx|Asthma symptoms cough", US_national_yearly!$D:$AM, 10, FALSE), 1)</f>
        <v>1.8110544620875133E-3</v>
      </c>
      <c r="W6" s="7">
        <f>$B6 * IFERROR(VLOOKUP("industry|NOx|Asthma symptoms cough", US_national_yearly!$D:$AM, 31, FALSE) / VLOOKUP("industry|NOx|Asthma symptoms cough", US_national_yearly!$D:$AM, 10, FALSE), 1)</f>
        <v>1.8199845749351242E-3</v>
      </c>
      <c r="X6" s="7">
        <f>$B6 * IFERROR(VLOOKUP("industry|NOx|Asthma symptoms cough", US_national_yearly!$D:$AM, 32, FALSE) / VLOOKUP("industry|NOx|Asthma symptoms cough", US_national_yearly!$D:$AM, 10, FALSE), 1)</f>
        <v>1.8282634762581914E-3</v>
      </c>
      <c r="Y6" s="7">
        <f>$B6 * IFERROR(VLOOKUP("industry|NOx|Asthma symptoms cough", US_national_yearly!$D:$AM, 33, FALSE) / VLOOKUP("industry|NOx|Asthma symptoms cough", US_national_yearly!$D:$AM, 10, FALSE), 1)</f>
        <v>1.8365423775812582E-3</v>
      </c>
      <c r="Z6" s="7">
        <f>$B6 * IFERROR(VLOOKUP("industry|NOx|Asthma symptoms cough", US_national_yearly!$D:$AM, 34, FALSE) / VLOOKUP("industry|NOx|Asthma symptoms cough", US_national_yearly!$D:$AM, 10, FALSE), 1)</f>
        <v>1.8448212789043252E-3</v>
      </c>
      <c r="AA6" s="7">
        <f>$B6 * IFERROR(VLOOKUP("industry|NOx|Asthma symptoms cough", US_national_yearly!$D:$AM, 35, FALSE) / VLOOKUP("industry|NOx|Asthma symptoms cough", US_national_yearly!$D:$AM, 10, FALSE), 1)</f>
        <v>1.8531001802273919E-3</v>
      </c>
      <c r="AB6" s="7">
        <f>$B6 * IFERROR(VLOOKUP("industry|NOx|Asthma symptoms cough", US_national_yearly!$D:$AM, 36, FALSE) / VLOOKUP("industry|NOx|Asthma symptoms cough", US_national_yearly!$D:$AM, 10, FALSE), 1)</f>
        <v>1.8613790815504591E-3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2.1392756440362396E-3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2.1685416606794235E-3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2.1978076773226068E-3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2.2270736939657906E-3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2.2563397106089749E-3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2.2798065156645906E-3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2.3032733207202071E-3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2.3114399768369874E-3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2.3196066329537676E-3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2.3277732890705483E-3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2.3359399451873294E-3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2.3441066013041101E-3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2.353429062226178E-3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2.3627515231482463E-3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2.372073984070315E-3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2.3813964449923837E-3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2.390718905914452E-3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2.4027444680718756E-3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2.4147700302292992E-3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2.4267955923867228E-3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2.4388211545441469E-3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2.4508467167015696E-3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2.461995337557271E-3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2.4731439584129715E-3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2.484292579268672E-3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2.4954412001243725E-3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2.506589820980073E-3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3.2685334255161229E-3</v>
      </c>
      <c r="C8" s="7">
        <f>$B8 * IFERROR(VLOOKUP("industry|NOx|Asthma symptoms wheeze", US_national_yearly!$D:$AM, 11, FALSE) / VLOOKUP("industry|NOx|Asthma symptoms wheeze", US_national_yearly!$D:$AM, 10, FALSE), 1)</f>
        <v>3.3132480718796966E-3</v>
      </c>
      <c r="D8" s="7">
        <f>$B8 * IFERROR(VLOOKUP("industry|NOx|Asthma symptoms wheeze", US_national_yearly!$D:$AM, 12, FALSE) / VLOOKUP("industry|NOx|Asthma symptoms wheeze", US_national_yearly!$D:$AM, 10, FALSE), 1)</f>
        <v>3.3579627182432703E-3</v>
      </c>
      <c r="E8" s="7">
        <f>$B8 * IFERROR(VLOOKUP("industry|NOx|Asthma symptoms wheeze", US_national_yearly!$D:$AM, 13, FALSE) / VLOOKUP("industry|NOx|Asthma symptoms wheeze", US_national_yearly!$D:$AM, 10, FALSE), 1)</f>
        <v>3.4026773646068441E-3</v>
      </c>
      <c r="F8" s="7">
        <f>$B8 * IFERROR(VLOOKUP("industry|NOx|Asthma symptoms wheeze", US_national_yearly!$D:$AM, 14, FALSE) / VLOOKUP("industry|NOx|Asthma symptoms wheeze", US_national_yearly!$D:$AM, 10, FALSE), 1)</f>
        <v>3.4473920109704174E-3</v>
      </c>
      <c r="G8" s="7">
        <f>$B8 * IFERROR(VLOOKUP("industry|NOx|Asthma symptoms wheeze", US_national_yearly!$D:$AM, 15, FALSE) / VLOOKUP("industry|NOx|Asthma symptoms wheeze", US_national_yearly!$D:$AM, 10, FALSE), 1)</f>
        <v>3.4832462204469308E-3</v>
      </c>
      <c r="H8" s="7">
        <f>$B8 * IFERROR(VLOOKUP("industry|NOx|Asthma symptoms wheeze", US_national_yearly!$D:$AM, 16, FALSE) / VLOOKUP("industry|NOx|Asthma symptoms wheeze", US_national_yearly!$D:$AM, 10, FALSE), 1)</f>
        <v>3.519100429923443E-3</v>
      </c>
      <c r="I8" s="7">
        <f>$B8 * IFERROR(VLOOKUP("industry|NOx|Asthma symptoms wheeze", US_national_yearly!$D:$AM, 17, FALSE) / VLOOKUP("industry|NOx|Asthma symptoms wheeze", US_national_yearly!$D:$AM, 10, FALSE), 1)</f>
        <v>3.5315780126817255E-3</v>
      </c>
      <c r="J8" s="7">
        <f>$B8 * IFERROR(VLOOKUP("industry|NOx|Asthma symptoms wheeze", US_national_yearly!$D:$AM, 18, FALSE) / VLOOKUP("industry|NOx|Asthma symptoms wheeze", US_national_yearly!$D:$AM, 10, FALSE), 1)</f>
        <v>3.5440555954400071E-3</v>
      </c>
      <c r="K8" s="7">
        <f>$B8 * IFERROR(VLOOKUP("industry|NOx|Asthma symptoms wheeze", US_national_yearly!$D:$AM, 19, FALSE) / VLOOKUP("industry|NOx|Asthma symptoms wheeze", US_national_yearly!$D:$AM, 10, FALSE), 1)</f>
        <v>3.5565331781982896E-3</v>
      </c>
      <c r="L8" s="7">
        <f>$B8 * IFERROR(VLOOKUP("industry|NOx|Asthma symptoms wheeze", US_national_yearly!$D:$AM, 20, FALSE) / VLOOKUP("industry|NOx|Asthma symptoms wheeze", US_national_yearly!$D:$AM, 10, FALSE), 1)</f>
        <v>3.5690107609565704E-3</v>
      </c>
      <c r="M8" s="7">
        <f>$B8 * IFERROR(VLOOKUP("industry|NOx|Asthma symptoms wheeze", US_national_yearly!$D:$AM, 21, FALSE) / VLOOKUP("industry|NOx|Asthma symptoms wheeze", US_national_yearly!$D:$AM, 10, FALSE), 1)</f>
        <v>3.5814883437148529E-3</v>
      </c>
      <c r="N8" s="7">
        <f>$B8 * IFERROR(VLOOKUP("industry|NOx|Asthma symptoms wheeze", US_national_yearly!$D:$AM, 22, FALSE) / VLOOKUP("industry|NOx|Asthma symptoms wheeze", US_national_yearly!$D:$AM, 10, FALSE), 1)</f>
        <v>3.5957318450519074E-3</v>
      </c>
      <c r="O8" s="7">
        <f>$B8 * IFERROR(VLOOKUP("industry|NOx|Asthma symptoms wheeze", US_national_yearly!$D:$AM, 23, FALSE) / VLOOKUP("industry|NOx|Asthma symptoms wheeze", US_national_yearly!$D:$AM, 10, FALSE), 1)</f>
        <v>3.6099753463889614E-3</v>
      </c>
      <c r="P8" s="7">
        <f>$B8 * IFERROR(VLOOKUP("industry|NOx|Asthma symptoms wheeze", US_national_yearly!$D:$AM, 24, FALSE) / VLOOKUP("industry|NOx|Asthma symptoms wheeze", US_national_yearly!$D:$AM, 10, FALSE), 1)</f>
        <v>3.6242188477260151E-3</v>
      </c>
      <c r="Q8" s="7">
        <f>$B8 * IFERROR(VLOOKUP("industry|NOx|Asthma symptoms wheeze", US_national_yearly!$D:$AM, 25, FALSE) / VLOOKUP("industry|NOx|Asthma symptoms wheeze", US_national_yearly!$D:$AM, 10, FALSE), 1)</f>
        <v>3.6384623490630695E-3</v>
      </c>
      <c r="R8" s="7">
        <f>$B8 * IFERROR(VLOOKUP("industry|NOx|Asthma symptoms wheeze", US_national_yearly!$D:$AM, 26, FALSE) / VLOOKUP("industry|NOx|Asthma symptoms wheeze", US_national_yearly!$D:$AM, 10, FALSE), 1)</f>
        <v>3.652705850400124E-3</v>
      </c>
      <c r="S8" s="7">
        <f>$B8 * IFERROR(VLOOKUP("industry|NOx|Asthma symptoms wheeze", US_national_yearly!$D:$AM, 27, FALSE) / VLOOKUP("industry|NOx|Asthma symptoms wheeze", US_national_yearly!$D:$AM, 10, FALSE), 1)</f>
        <v>3.6710793369006925E-3</v>
      </c>
      <c r="T8" s="7">
        <f>$B8 * IFERROR(VLOOKUP("industry|NOx|Asthma symptoms wheeze", US_national_yearly!$D:$AM, 28, FALSE) / VLOOKUP("industry|NOx|Asthma symptoms wheeze", US_national_yearly!$D:$AM, 10, FALSE), 1)</f>
        <v>3.6894528234012601E-3</v>
      </c>
      <c r="U8" s="7">
        <f>$B8 * IFERROR(VLOOKUP("industry|NOx|Asthma symptoms wheeze", US_national_yearly!$D:$AM, 29, FALSE) / VLOOKUP("industry|NOx|Asthma symptoms wheeze", US_national_yearly!$D:$AM, 10, FALSE), 1)</f>
        <v>3.7078263099018282E-3</v>
      </c>
      <c r="V8" s="7">
        <f>$B8 * IFERROR(VLOOKUP("industry|NOx|Asthma symptoms wheeze", US_national_yearly!$D:$AM, 30, FALSE) / VLOOKUP("industry|NOx|Asthma symptoms wheeze", US_national_yearly!$D:$AM, 10, FALSE), 1)</f>
        <v>3.7261997964023962E-3</v>
      </c>
      <c r="W8" s="7">
        <f>$B8 * IFERROR(VLOOKUP("industry|NOx|Asthma symptoms wheeze", US_national_yearly!$D:$AM, 31, FALSE) / VLOOKUP("industry|NOx|Asthma symptoms wheeze", US_national_yearly!$D:$AM, 10, FALSE), 1)</f>
        <v>3.7445732829029638E-3</v>
      </c>
      <c r="X8" s="7">
        <f>$B8 * IFERROR(VLOOKUP("industry|NOx|Asthma symptoms wheeze", US_national_yearly!$D:$AM, 32, FALSE) / VLOOKUP("industry|NOx|Asthma symptoms wheeze", US_national_yearly!$D:$AM, 10, FALSE), 1)</f>
        <v>3.7616069177844385E-3</v>
      </c>
      <c r="Y8" s="7">
        <f>$B8 * IFERROR(VLOOKUP("industry|NOx|Asthma symptoms wheeze", US_national_yearly!$D:$AM, 33, FALSE) / VLOOKUP("industry|NOx|Asthma symptoms wheeze", US_national_yearly!$D:$AM, 10, FALSE), 1)</f>
        <v>3.7786405526659128E-3</v>
      </c>
      <c r="Z8" s="7">
        <f>$B8 * IFERROR(VLOOKUP("industry|NOx|Asthma symptoms wheeze", US_national_yearly!$D:$AM, 34, FALSE) / VLOOKUP("industry|NOx|Asthma symptoms wheeze", US_national_yearly!$D:$AM, 10, FALSE), 1)</f>
        <v>3.7956741875473867E-3</v>
      </c>
      <c r="AA8" s="7">
        <f>$B8 * IFERROR(VLOOKUP("industry|NOx|Asthma symptoms wheeze", US_national_yearly!$D:$AM, 35, FALSE) / VLOOKUP("industry|NOx|Asthma symptoms wheeze", US_national_yearly!$D:$AM, 10, FALSE), 1)</f>
        <v>3.8127078224288601E-3</v>
      </c>
      <c r="AB8" s="7">
        <f>$B8 * IFERROR(VLOOKUP("industry|NOx|Asthma symptoms wheeze", US_national_yearly!$D:$AM, 36, FALSE) / VLOOKUP("industry|NOx|Asthma symptoms wheeze", US_national_yearly!$D:$AM, 10, FALSE), 1)</f>
        <v>3.8297414573103374E-3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3.6563995142214003E-5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3.7482603837208708E-5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3.8401212532203419E-5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3.9319821227198136E-5</v>
      </c>
      <c r="F12" s="7">
        <f>$B12 * IFERROR(VLOOKUP("industry|NOx|Respiratory hospital admissions", US_national_yearly!$D:$AM, 14, FALSE) / VLOOKUP("industry|NOx|Respiratory hospital admissions", US_national_yearly!$D:$AM, 10, FALSE), 1)</f>
        <v>4.0238429922192834E-5</v>
      </c>
      <c r="G12" s="7">
        <f>$B12 * IFERROR(VLOOKUP("industry|NOx|Respiratory hospital admissions", US_national_yearly!$D:$AM, 15, FALSE) / VLOOKUP("industry|NOx|Respiratory hospital admissions", US_national_yearly!$D:$AM, 10, FALSE), 1)</f>
        <v>4.1117119986954061E-5</v>
      </c>
      <c r="H12" s="7">
        <f>$B12 * IFERROR(VLOOKUP("industry|NOx|Respiratory hospital admissions", US_national_yearly!$D:$AM, 16, FALSE) / VLOOKUP("industry|NOx|Respiratory hospital admissions", US_national_yearly!$D:$AM, 10, FALSE), 1)</f>
        <v>4.1995810051715294E-5</v>
      </c>
      <c r="I12" s="7">
        <f>$B12 * IFERROR(VLOOKUP("industry|NOx|Respiratory hospital admissions", US_national_yearly!$D:$AM, 17, FALSE) / VLOOKUP("industry|NOx|Respiratory hospital admissions", US_national_yearly!$D:$AM, 10, FALSE), 1)</f>
        <v>4.2744133961045676E-5</v>
      </c>
      <c r="J12" s="7">
        <f>$B12 * IFERROR(VLOOKUP("industry|NOx|Respiratory hospital admissions", US_national_yearly!$D:$AM, 18, FALSE) / VLOOKUP("industry|NOx|Respiratory hospital admissions", US_national_yearly!$D:$AM, 10, FALSE), 1)</f>
        <v>4.3492457870376064E-5</v>
      </c>
      <c r="K12" s="7">
        <f>$B12 * IFERROR(VLOOKUP("industry|NOx|Respiratory hospital admissions", US_national_yearly!$D:$AM, 19, FALSE) / VLOOKUP("industry|NOx|Respiratory hospital admissions", US_national_yearly!$D:$AM, 10, FALSE), 1)</f>
        <v>4.4240781779706452E-5</v>
      </c>
      <c r="L12" s="7">
        <f>$B12 * IFERROR(VLOOKUP("industry|NOx|Respiratory hospital admissions", US_national_yearly!$D:$AM, 20, FALSE) / VLOOKUP("industry|NOx|Respiratory hospital admissions", US_national_yearly!$D:$AM, 10, FALSE), 1)</f>
        <v>4.4989105689036847E-5</v>
      </c>
      <c r="M12" s="7">
        <f>$B12 * IFERROR(VLOOKUP("industry|NOx|Respiratory hospital admissions", US_national_yearly!$D:$AM, 21, FALSE) / VLOOKUP("industry|NOx|Respiratory hospital admissions", US_national_yearly!$D:$AM, 10, FALSE), 1)</f>
        <v>4.5737429598367228E-5</v>
      </c>
      <c r="N12" s="7">
        <f>$B12 * IFERROR(VLOOKUP("industry|NOx|Respiratory hospital admissions", US_national_yearly!$D:$AM, 22, FALSE) / VLOOKUP("industry|NOx|Respiratory hospital admissions", US_national_yearly!$D:$AM, 10, FALSE), 1)</f>
        <v>4.6238968995540139E-5</v>
      </c>
      <c r="O12" s="7">
        <f>$B12 * IFERROR(VLOOKUP("industry|NOx|Respiratory hospital admissions", US_national_yearly!$D:$AM, 23, FALSE) / VLOOKUP("industry|NOx|Respiratory hospital admissions", US_national_yearly!$D:$AM, 10, FALSE), 1)</f>
        <v>4.6740508392713042E-5</v>
      </c>
      <c r="P12" s="7">
        <f>$B12 * IFERROR(VLOOKUP("industry|NOx|Respiratory hospital admissions", US_national_yearly!$D:$AM, 24, FALSE) / VLOOKUP("industry|NOx|Respiratory hospital admissions", US_national_yearly!$D:$AM, 10, FALSE), 1)</f>
        <v>4.7242047789885953E-5</v>
      </c>
      <c r="Q12" s="7">
        <f>$B12 * IFERROR(VLOOKUP("industry|NOx|Respiratory hospital admissions", US_national_yearly!$D:$AM, 25, FALSE) / VLOOKUP("industry|NOx|Respiratory hospital admissions", US_national_yearly!$D:$AM, 10, FALSE), 1)</f>
        <v>4.7743587187058857E-5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4.8245126584231768E-5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4.8517418899584918E-5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4.8789711214938075E-5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4.9062003530291218E-5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4.9334295845644368E-5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4.9606588160997518E-5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4.9796447136789511E-5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4.9986306112581503E-5</v>
      </c>
      <c r="Z12" s="7">
        <f>$B12 * IFERROR(VLOOKUP("industry|NOx|Respiratory hospital admissions", US_national_yearly!$D:$AM, 34, FALSE) / VLOOKUP("industry|NOx|Respiratory hospital admissions", US_national_yearly!$D:$AM, 10, FALSE), 1)</f>
        <v>5.0176165088373502E-5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5.0366024064165494E-5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5.055588303995748E-5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2.4294275850267989E-4</v>
      </c>
      <c r="C13" s="7">
        <f>$B13 * IFERROR(VLOOKUP("industry|NOx|Non-fatal heart attacks", US_national_yearly!$D:$AM, 11, FALSE) / VLOOKUP("industry|NOx|Non-fatal heart attacks", US_national_yearly!$D:$AM, 10, FALSE), 1)</f>
        <v>2.4988386592030058E-4</v>
      </c>
      <c r="D13" s="7">
        <f>$B13 * IFERROR(VLOOKUP("industry|NOx|Non-fatal heart attacks", US_national_yearly!$D:$AM, 12, FALSE) / VLOOKUP("industry|NOx|Non-fatal heart attacks", US_national_yearly!$D:$AM, 10, FALSE), 1)</f>
        <v>2.5682497333792128E-4</v>
      </c>
      <c r="E13" s="7">
        <f>$B13 * IFERROR(VLOOKUP("industry|NOx|Non-fatal heart attacks", US_national_yearly!$D:$AM, 13, FALSE) / VLOOKUP("industry|NOx|Non-fatal heart attacks", US_national_yearly!$D:$AM, 10, FALSE), 1)</f>
        <v>2.6376608075554198E-4</v>
      </c>
      <c r="F13" s="7">
        <f>$B13 * IFERROR(VLOOKUP("industry|NOx|Non-fatal heart attacks", US_national_yearly!$D:$AM, 14, FALSE) / VLOOKUP("industry|NOx|Non-fatal heart attacks", US_national_yearly!$D:$AM, 10, FALSE), 1)</f>
        <v>2.7070718817316268E-4</v>
      </c>
      <c r="G13" s="7">
        <f>$B13 * IFERROR(VLOOKUP("industry|NOx|Non-fatal heart attacks", US_national_yearly!$D:$AM, 15, FALSE) / VLOOKUP("industry|NOx|Non-fatal heart attacks", US_national_yearly!$D:$AM, 10, FALSE), 1)</f>
        <v>2.7719914558949559E-4</v>
      </c>
      <c r="H13" s="7">
        <f>$B13 * IFERROR(VLOOKUP("industry|NOx|Non-fatal heart attacks", US_national_yearly!$D:$AM, 16, FALSE) / VLOOKUP("industry|NOx|Non-fatal heart attacks", US_national_yearly!$D:$AM, 10, FALSE), 1)</f>
        <v>2.8369110300582845E-4</v>
      </c>
      <c r="I13" s="7">
        <f>$B13 * IFERROR(VLOOKUP("industry|NOx|Non-fatal heart attacks", US_national_yearly!$D:$AM, 17, FALSE) / VLOOKUP("industry|NOx|Non-fatal heart attacks", US_national_yearly!$D:$AM, 10, FALSE), 1)</f>
        <v>2.88825558892998E-4</v>
      </c>
      <c r="J13" s="7">
        <f>$B13 * IFERROR(VLOOKUP("industry|NOx|Non-fatal heart attacks", US_national_yearly!$D:$AM, 18, FALSE) / VLOOKUP("industry|NOx|Non-fatal heart attacks", US_national_yearly!$D:$AM, 10, FALSE), 1)</f>
        <v>2.9396001478016755E-4</v>
      </c>
      <c r="K13" s="7">
        <f>$B13 * IFERROR(VLOOKUP("industry|NOx|Non-fatal heart attacks", US_national_yearly!$D:$AM, 19, FALSE) / VLOOKUP("industry|NOx|Non-fatal heart attacks", US_national_yearly!$D:$AM, 10, FALSE), 1)</f>
        <v>2.9909447066733705E-4</v>
      </c>
      <c r="L13" s="7">
        <f>$B13 * IFERROR(VLOOKUP("industry|NOx|Non-fatal heart attacks", US_national_yearly!$D:$AM, 20, FALSE) / VLOOKUP("industry|NOx|Non-fatal heart attacks", US_national_yearly!$D:$AM, 10, FALSE), 1)</f>
        <v>3.0422892655450671E-4</v>
      </c>
      <c r="M13" s="7">
        <f>$B13 * IFERROR(VLOOKUP("industry|NOx|Non-fatal heart attacks", US_national_yearly!$D:$AM, 21, FALSE) / VLOOKUP("industry|NOx|Non-fatal heart attacks", US_national_yearly!$D:$AM, 10, FALSE), 1)</f>
        <v>3.0936338244167631E-4</v>
      </c>
      <c r="N13" s="7">
        <f>$B13 * IFERROR(VLOOKUP("industry|NOx|Non-fatal heart attacks", US_national_yearly!$D:$AM, 22, FALSE) / VLOOKUP("industry|NOx|Non-fatal heart attacks", US_national_yearly!$D:$AM, 10, FALSE), 1)</f>
        <v>3.1245664568334134E-4</v>
      </c>
      <c r="O13" s="7">
        <f>$B13 * IFERROR(VLOOKUP("industry|NOx|Non-fatal heart attacks", US_national_yearly!$D:$AM, 23, FALSE) / VLOOKUP("industry|NOx|Non-fatal heart attacks", US_national_yearly!$D:$AM, 10, FALSE), 1)</f>
        <v>3.1554990892500637E-4</v>
      </c>
      <c r="P13" s="7">
        <f>$B13 * IFERROR(VLOOKUP("industry|NOx|Non-fatal heart attacks", US_national_yearly!$D:$AM, 24, FALSE) / VLOOKUP("industry|NOx|Non-fatal heart attacks", US_national_yearly!$D:$AM, 10, FALSE), 1)</f>
        <v>3.1864317216667135E-4</v>
      </c>
      <c r="Q13" s="7">
        <f>$B13 * IFERROR(VLOOKUP("industry|NOx|Non-fatal heart attacks", US_national_yearly!$D:$AM, 25, FALSE) / VLOOKUP("industry|NOx|Non-fatal heart attacks", US_national_yearly!$D:$AM, 10, FALSE), 1)</f>
        <v>3.2173643540833632E-4</v>
      </c>
      <c r="R13" s="7">
        <f>$B13 * IFERROR(VLOOKUP("industry|NOx|Non-fatal heart attacks", US_national_yearly!$D:$AM, 26, FALSE) / VLOOKUP("industry|NOx|Non-fatal heart attacks", US_national_yearly!$D:$AM, 10, FALSE), 1)</f>
        <v>3.2482969865000135E-4</v>
      </c>
      <c r="S13" s="7">
        <f>$B13 * IFERROR(VLOOKUP("industry|NOx|Non-fatal heart attacks", US_national_yearly!$D:$AM, 27, FALSE) / VLOOKUP("industry|NOx|Non-fatal heart attacks", US_national_yearly!$D:$AM, 10, FALSE), 1)</f>
        <v>3.262489495247955E-4</v>
      </c>
      <c r="T13" s="7">
        <f>$B13 * IFERROR(VLOOKUP("industry|NOx|Non-fatal heart attacks", US_national_yearly!$D:$AM, 28, FALSE) / VLOOKUP("industry|NOx|Non-fatal heart attacks", US_national_yearly!$D:$AM, 10, FALSE), 1)</f>
        <v>3.2766820039958964E-4</v>
      </c>
      <c r="U13" s="7">
        <f>$B13 * IFERROR(VLOOKUP("industry|NOx|Non-fatal heart attacks", US_national_yearly!$D:$AM, 29, FALSE) / VLOOKUP("industry|NOx|Non-fatal heart attacks", US_national_yearly!$D:$AM, 10, FALSE), 1)</f>
        <v>3.2908745127438379E-4</v>
      </c>
      <c r="V13" s="7">
        <f>$B13 * IFERROR(VLOOKUP("industry|NOx|Non-fatal heart attacks", US_national_yearly!$D:$AM, 30, FALSE) / VLOOKUP("industry|NOx|Non-fatal heart attacks", US_national_yearly!$D:$AM, 10, FALSE), 1)</f>
        <v>3.3050670214917794E-4</v>
      </c>
      <c r="W13" s="7">
        <f>$B13 * IFERROR(VLOOKUP("industry|NOx|Non-fatal heart attacks", US_national_yearly!$D:$AM, 31, FALSE) / VLOOKUP("industry|NOx|Non-fatal heart attacks", US_national_yearly!$D:$AM, 10, FALSE), 1)</f>
        <v>3.3192595302397208E-4</v>
      </c>
      <c r="X13" s="7">
        <f>$B13 * IFERROR(VLOOKUP("industry|NOx|Non-fatal heart attacks", US_national_yearly!$D:$AM, 32, FALSE) / VLOOKUP("industry|NOx|Non-fatal heart attacks", US_national_yearly!$D:$AM, 10, FALSE), 1)</f>
        <v>3.3288379187898244E-4</v>
      </c>
      <c r="Y13" s="7">
        <f>$B13 * IFERROR(VLOOKUP("industry|NOx|Non-fatal heart attacks", US_national_yearly!$D:$AM, 33, FALSE) / VLOOKUP("industry|NOx|Non-fatal heart attacks", US_national_yearly!$D:$AM, 10, FALSE), 1)</f>
        <v>3.3384163073399279E-4</v>
      </c>
      <c r="Z13" s="7">
        <f>$B13 * IFERROR(VLOOKUP("industry|NOx|Non-fatal heart attacks", US_national_yearly!$D:$AM, 34, FALSE) / VLOOKUP("industry|NOx|Non-fatal heart attacks", US_national_yearly!$D:$AM, 10, FALSE), 1)</f>
        <v>3.3479946958900309E-4</v>
      </c>
      <c r="AA13" s="7">
        <f>$B13 * IFERROR(VLOOKUP("industry|NOx|Non-fatal heart attacks", US_national_yearly!$D:$AM, 35, FALSE) / VLOOKUP("industry|NOx|Non-fatal heart attacks", US_national_yearly!$D:$AM, 10, FALSE), 1)</f>
        <v>3.3575730844401344E-4</v>
      </c>
      <c r="AB13" s="7">
        <f>$B13 * IFERROR(VLOOKUP("industry|NOx|Non-fatal heart attacks", US_national_yearly!$D:$AM, 36, FALSE) / VLOOKUP("industry|NOx|Non-fatal heart attacks", US_national_yearly!$D:$AM, 10, FALSE), 1)</f>
        <v>3.367151472990238E-4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0.19424627467793151</v>
      </c>
      <c r="C14" s="7">
        <f>$B14 * IFERROR(VLOOKUP("industry|NOx|Minor restricted activity days", US_national_yearly!$D:$AM, 11, FALSE) / VLOOKUP("industry|NOx|Minor restricted activity days", US_national_yearly!$D:$AM, 10, FALSE), 1)</f>
        <v>0.19453406552278668</v>
      </c>
      <c r="D14" s="7">
        <f>$B14 * IFERROR(VLOOKUP("industry|NOx|Minor restricted activity days", US_national_yearly!$D:$AM, 12, FALSE) / VLOOKUP("industry|NOx|Minor restricted activity days", US_national_yearly!$D:$AM, 10, FALSE), 1)</f>
        <v>0.19482185636764182</v>
      </c>
      <c r="E14" s="7">
        <f>$B14 * IFERROR(VLOOKUP("industry|NOx|Minor restricted activity days", US_national_yearly!$D:$AM, 13, FALSE) / VLOOKUP("industry|NOx|Minor restricted activity days", US_national_yearly!$D:$AM, 10, FALSE), 1)</f>
        <v>0.19510964721249699</v>
      </c>
      <c r="F14" s="7">
        <f>$B14 * IFERROR(VLOOKUP("industry|NOx|Minor restricted activity days", US_national_yearly!$D:$AM, 14, FALSE) / VLOOKUP("industry|NOx|Minor restricted activity days", US_national_yearly!$D:$AM, 10, FALSE), 1)</f>
        <v>0.19539743805735213</v>
      </c>
      <c r="G14" s="7">
        <f>$B14 * IFERROR(VLOOKUP("industry|NOx|Minor restricted activity days", US_national_yearly!$D:$AM, 15, FALSE) / VLOOKUP("industry|NOx|Minor restricted activity days", US_national_yearly!$D:$AM, 10, FALSE), 1)</f>
        <v>0.19592133437671463</v>
      </c>
      <c r="H14" s="7">
        <f>$B14 * IFERROR(VLOOKUP("industry|NOx|Minor restricted activity days", US_national_yearly!$D:$AM, 16, FALSE) / VLOOKUP("industry|NOx|Minor restricted activity days", US_national_yearly!$D:$AM, 10, FALSE), 1)</f>
        <v>0.19644523069607717</v>
      </c>
      <c r="I14" s="7">
        <f>$B14 * IFERROR(VLOOKUP("industry|NOx|Minor restricted activity days", US_national_yearly!$D:$AM, 17, FALSE) / VLOOKUP("industry|NOx|Minor restricted activity days", US_national_yearly!$D:$AM, 10, FALSE), 1)</f>
        <v>0.19747659517609376</v>
      </c>
      <c r="J14" s="7">
        <f>$B14 * IFERROR(VLOOKUP("industry|NOx|Minor restricted activity days", US_national_yearly!$D:$AM, 18, FALSE) / VLOOKUP("industry|NOx|Minor restricted activity days", US_national_yearly!$D:$AM, 10, FALSE), 1)</f>
        <v>0.19850795965611029</v>
      </c>
      <c r="K14" s="7">
        <f>$B14 * IFERROR(VLOOKUP("industry|NOx|Minor restricted activity days", US_national_yearly!$D:$AM, 19, FALSE) / VLOOKUP("industry|NOx|Minor restricted activity days", US_national_yearly!$D:$AM, 10, FALSE), 1)</f>
        <v>0.19953932413612682</v>
      </c>
      <c r="L14" s="7">
        <f>$B14 * IFERROR(VLOOKUP("industry|NOx|Minor restricted activity days", US_national_yearly!$D:$AM, 20, FALSE) / VLOOKUP("industry|NOx|Minor restricted activity days", US_national_yearly!$D:$AM, 10, FALSE), 1)</f>
        <v>0.20057068861614341</v>
      </c>
      <c r="M14" s="7">
        <f>$B14 * IFERROR(VLOOKUP("industry|NOx|Minor restricted activity days", US_national_yearly!$D:$AM, 21, FALSE) / VLOOKUP("industry|NOx|Minor restricted activity days", US_national_yearly!$D:$AM, 10, FALSE), 1)</f>
        <v>0.20160205309615994</v>
      </c>
      <c r="N14" s="7">
        <f>$B14 * IFERROR(VLOOKUP("industry|NOx|Minor restricted activity days", US_national_yearly!$D:$AM, 22, FALSE) / VLOOKUP("industry|NOx|Minor restricted activity days", US_national_yearly!$D:$AM, 10, FALSE), 1)</f>
        <v>0.20308728689622996</v>
      </c>
      <c r="O14" s="7">
        <f>$B14 * IFERROR(VLOOKUP("industry|NOx|Minor restricted activity days", US_national_yearly!$D:$AM, 23, FALSE) / VLOOKUP("industry|NOx|Minor restricted activity days", US_national_yearly!$D:$AM, 10, FALSE), 1)</f>
        <v>0.20457252069630003</v>
      </c>
      <c r="P14" s="7">
        <f>$B14 * IFERROR(VLOOKUP("industry|NOx|Minor restricted activity days", US_national_yearly!$D:$AM, 24, FALSE) / VLOOKUP("industry|NOx|Minor restricted activity days", US_national_yearly!$D:$AM, 10, FALSE), 1)</f>
        <v>0.20605775449637007</v>
      </c>
      <c r="Q14" s="7">
        <f>$B14 * IFERROR(VLOOKUP("industry|NOx|Minor restricted activity days", US_national_yearly!$D:$AM, 25, FALSE) / VLOOKUP("industry|NOx|Minor restricted activity days", US_national_yearly!$D:$AM, 10, FALSE), 1)</f>
        <v>0.20754298829644008</v>
      </c>
      <c r="R14" s="7">
        <f>$B14 * IFERROR(VLOOKUP("industry|NOx|Minor restricted activity days", US_national_yearly!$D:$AM, 26, FALSE) / VLOOKUP("industry|NOx|Minor restricted activity days", US_national_yearly!$D:$AM, 10, FALSE), 1)</f>
        <v>0.20902822209651012</v>
      </c>
      <c r="S14" s="7">
        <f>$B14 * IFERROR(VLOOKUP("industry|NOx|Minor restricted activity days", US_national_yearly!$D:$AM, 27, FALSE) / VLOOKUP("industry|NOx|Minor restricted activity days", US_national_yearly!$D:$AM, 10, FALSE), 1)</f>
        <v>0.21051504603812368</v>
      </c>
      <c r="T14" s="7">
        <f>$B14 * IFERROR(VLOOKUP("industry|NOx|Minor restricted activity days", US_national_yearly!$D:$AM, 28, FALSE) / VLOOKUP("industry|NOx|Minor restricted activity days", US_national_yearly!$D:$AM, 10, FALSE), 1)</f>
        <v>0.21200186997973727</v>
      </c>
      <c r="U14" s="7">
        <f>$B14 * IFERROR(VLOOKUP("industry|NOx|Minor restricted activity days", US_national_yearly!$D:$AM, 29, FALSE) / VLOOKUP("industry|NOx|Minor restricted activity days", US_national_yearly!$D:$AM, 10, FALSE), 1)</f>
        <v>0.21348869392135086</v>
      </c>
      <c r="V14" s="7">
        <f>$B14 * IFERROR(VLOOKUP("industry|NOx|Minor restricted activity days", US_national_yearly!$D:$AM, 30, FALSE) / VLOOKUP("industry|NOx|Minor restricted activity days", US_national_yearly!$D:$AM, 10, FALSE), 1)</f>
        <v>0.21497551786296445</v>
      </c>
      <c r="W14" s="7">
        <f>$B14 * IFERROR(VLOOKUP("industry|NOx|Minor restricted activity days", US_national_yearly!$D:$AM, 31, FALSE) / VLOOKUP("industry|NOx|Minor restricted activity days", US_national_yearly!$D:$AM, 10, FALSE), 1)</f>
        <v>0.21646234180457807</v>
      </c>
      <c r="X14" s="7">
        <f>$B14 * IFERROR(VLOOKUP("industry|NOx|Minor restricted activity days", US_national_yearly!$D:$AM, 32, FALSE) / VLOOKUP("industry|NOx|Minor restricted activity days", US_national_yearly!$D:$AM, 10, FALSE), 1)</f>
        <v>0.2177176455590247</v>
      </c>
      <c r="Y14" s="7">
        <f>$B14 * IFERROR(VLOOKUP("industry|NOx|Minor restricted activity days", US_national_yearly!$D:$AM, 33, FALSE) / VLOOKUP("industry|NOx|Minor restricted activity days", US_national_yearly!$D:$AM, 10, FALSE), 1)</f>
        <v>0.2189729493134713</v>
      </c>
      <c r="Z14" s="7">
        <f>$B14 * IFERROR(VLOOKUP("industry|NOx|Minor restricted activity days", US_national_yearly!$D:$AM, 34, FALSE) / VLOOKUP("industry|NOx|Minor restricted activity days", US_national_yearly!$D:$AM, 10, FALSE), 1)</f>
        <v>0.22022825306791788</v>
      </c>
      <c r="AA14" s="7">
        <f>$B14 * IFERROR(VLOOKUP("industry|NOx|Minor restricted activity days", US_national_yearly!$D:$AM, 35, FALSE) / VLOOKUP("industry|NOx|Minor restricted activity days", US_national_yearly!$D:$AM, 10, FALSE), 1)</f>
        <v>0.22148355682236454</v>
      </c>
      <c r="AB14" s="7">
        <f>$B14 * IFERROR(VLOOKUP("industry|NOx|Minor restricted activity days", US_national_yearly!$D:$AM, 36, FALSE) / VLOOKUP("industry|NOx|Minor restricted activity days", US_national_yearly!$D:$AM, 10, FALSE), 1)</f>
        <v>0.22273886057681117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3.2703839375200577E-2</v>
      </c>
      <c r="C15" s="7">
        <f>$B15 * IFERROR(VLOOKUP("industry|NOx|Work loss days", US_national_yearly!$D:$AM, 11, FALSE) / VLOOKUP("industry|NOx|Work loss days", US_national_yearly!$D:$AM, 10, FALSE), 1)</f>
        <v>3.2774698027875207E-2</v>
      </c>
      <c r="D15" s="7">
        <f>$B15 * IFERROR(VLOOKUP("industry|NOx|Work loss days", US_national_yearly!$D:$AM, 12, FALSE) / VLOOKUP("industry|NOx|Work loss days", US_national_yearly!$D:$AM, 10, FALSE), 1)</f>
        <v>3.2845556680549823E-2</v>
      </c>
      <c r="E15" s="7">
        <f>$B15 * IFERROR(VLOOKUP("industry|NOx|Work loss days", US_national_yearly!$D:$AM, 13, FALSE) / VLOOKUP("industry|NOx|Work loss days", US_national_yearly!$D:$AM, 10, FALSE), 1)</f>
        <v>3.2916415333224452E-2</v>
      </c>
      <c r="F15" s="7">
        <f>$B15 * IFERROR(VLOOKUP("industry|NOx|Work loss days", US_national_yearly!$D:$AM, 14, FALSE) / VLOOKUP("industry|NOx|Work loss days", US_national_yearly!$D:$AM, 10, FALSE), 1)</f>
        <v>3.2987273985899075E-2</v>
      </c>
      <c r="G15" s="7">
        <f>$B15 * IFERROR(VLOOKUP("industry|NOx|Work loss days", US_national_yearly!$D:$AM, 15, FALSE) / VLOOKUP("industry|NOx|Work loss days", US_national_yearly!$D:$AM, 10, FALSE), 1)</f>
        <v>3.309092242289504E-2</v>
      </c>
      <c r="H15" s="7">
        <f>$B15 * IFERROR(VLOOKUP("industry|NOx|Work loss days", US_national_yearly!$D:$AM, 16, FALSE) / VLOOKUP("industry|NOx|Work loss days", US_national_yearly!$D:$AM, 10, FALSE), 1)</f>
        <v>3.3194570859890998E-2</v>
      </c>
      <c r="I15" s="7">
        <f>$B15 * IFERROR(VLOOKUP("industry|NOx|Work loss days", US_national_yearly!$D:$AM, 17, FALSE) / VLOOKUP("industry|NOx|Work loss days", US_national_yearly!$D:$AM, 10, FALSE), 1)</f>
        <v>3.3362973289471097E-2</v>
      </c>
      <c r="J15" s="7">
        <f>$B15 * IFERROR(VLOOKUP("industry|NOx|Work loss days", US_national_yearly!$D:$AM, 18, FALSE) / VLOOKUP("industry|NOx|Work loss days", US_national_yearly!$D:$AM, 10, FALSE), 1)</f>
        <v>3.3531375719051189E-2</v>
      </c>
      <c r="K15" s="7">
        <f>$B15 * IFERROR(VLOOKUP("industry|NOx|Work loss days", US_national_yearly!$D:$AM, 19, FALSE) / VLOOKUP("industry|NOx|Work loss days", US_national_yearly!$D:$AM, 10, FALSE), 1)</f>
        <v>3.3699778148631288E-2</v>
      </c>
      <c r="L15" s="7">
        <f>$B15 * IFERROR(VLOOKUP("industry|NOx|Work loss days", US_national_yearly!$D:$AM, 20, FALSE) / VLOOKUP("industry|NOx|Work loss days", US_national_yearly!$D:$AM, 10, FALSE), 1)</f>
        <v>3.3868180578211379E-2</v>
      </c>
      <c r="M15" s="7">
        <f>$B15 * IFERROR(VLOOKUP("industry|NOx|Work loss days", US_national_yearly!$D:$AM, 21, FALSE) / VLOOKUP("industry|NOx|Work loss days", US_national_yearly!$D:$AM, 10, FALSE), 1)</f>
        <v>3.4036583007791485E-2</v>
      </c>
      <c r="N15" s="7">
        <f>$B15 * IFERROR(VLOOKUP("industry|NOx|Work loss days", US_national_yearly!$D:$AM, 22, FALSE) / VLOOKUP("industry|NOx|Work loss days", US_national_yearly!$D:$AM, 10, FALSE), 1)</f>
        <v>3.4256815195925383E-2</v>
      </c>
      <c r="O15" s="7">
        <f>$B15 * IFERROR(VLOOKUP("industry|NOx|Work loss days", US_national_yearly!$D:$AM, 23, FALSE) / VLOOKUP("industry|NOx|Work loss days", US_national_yearly!$D:$AM, 10, FALSE), 1)</f>
        <v>3.4477047384059295E-2</v>
      </c>
      <c r="P15" s="7">
        <f>$B15 * IFERROR(VLOOKUP("industry|NOx|Work loss days", US_national_yearly!$D:$AM, 24, FALSE) / VLOOKUP("industry|NOx|Work loss days", US_national_yearly!$D:$AM, 10, FALSE), 1)</f>
        <v>3.4697279572193193E-2</v>
      </c>
      <c r="Q15" s="7">
        <f>$B15 * IFERROR(VLOOKUP("industry|NOx|Work loss days", US_national_yearly!$D:$AM, 25, FALSE) / VLOOKUP("industry|NOx|Work loss days", US_national_yearly!$D:$AM, 10, FALSE), 1)</f>
        <v>3.4917511760327098E-2</v>
      </c>
      <c r="R15" s="7">
        <f>$B15 * IFERROR(VLOOKUP("industry|NOx|Work loss days", US_national_yearly!$D:$AM, 26, FALSE) / VLOOKUP("industry|NOx|Work loss days", US_national_yearly!$D:$AM, 10, FALSE), 1)</f>
        <v>3.5137743948461003E-2</v>
      </c>
      <c r="S15" s="7">
        <f>$B15 * IFERROR(VLOOKUP("industry|NOx|Work loss days", US_national_yearly!$D:$AM, 27, FALSE) / VLOOKUP("industry|NOx|Work loss days", US_national_yearly!$D:$AM, 10, FALSE), 1)</f>
        <v>3.5383950194910911E-2</v>
      </c>
      <c r="T15" s="7">
        <f>$B15 * IFERROR(VLOOKUP("industry|NOx|Work loss days", US_national_yearly!$D:$AM, 28, FALSE) / VLOOKUP("industry|NOx|Work loss days", US_national_yearly!$D:$AM, 10, FALSE), 1)</f>
        <v>3.5630156441360819E-2</v>
      </c>
      <c r="U15" s="7">
        <f>$B15 * IFERROR(VLOOKUP("industry|NOx|Work loss days", US_national_yearly!$D:$AM, 29, FALSE) / VLOOKUP("industry|NOx|Work loss days", US_national_yearly!$D:$AM, 10, FALSE), 1)</f>
        <v>3.5876362687810727E-2</v>
      </c>
      <c r="V15" s="7">
        <f>$B15 * IFERROR(VLOOKUP("industry|NOx|Work loss days", US_national_yearly!$D:$AM, 30, FALSE) / VLOOKUP("industry|NOx|Work loss days", US_national_yearly!$D:$AM, 10, FALSE), 1)</f>
        <v>3.6122568934260628E-2</v>
      </c>
      <c r="W15" s="7">
        <f>$B15 * IFERROR(VLOOKUP("industry|NOx|Work loss days", US_national_yearly!$D:$AM, 31, FALSE) / VLOOKUP("industry|NOx|Work loss days", US_national_yearly!$D:$AM, 10, FALSE), 1)</f>
        <v>3.6368775180710543E-2</v>
      </c>
      <c r="X15" s="7">
        <f>$B15 * IFERROR(VLOOKUP("industry|NOx|Work loss days", US_national_yearly!$D:$AM, 32, FALSE) / VLOOKUP("industry|NOx|Work loss days", US_national_yearly!$D:$AM, 10, FALSE), 1)</f>
        <v>3.6582367685947803E-2</v>
      </c>
      <c r="Y15" s="7">
        <f>$B15 * IFERROR(VLOOKUP("industry|NOx|Work loss days", US_national_yearly!$D:$AM, 33, FALSE) / VLOOKUP("industry|NOx|Work loss days", US_national_yearly!$D:$AM, 10, FALSE), 1)</f>
        <v>3.6795960191185063E-2</v>
      </c>
      <c r="Z15" s="7">
        <f>$B15 * IFERROR(VLOOKUP("industry|NOx|Work loss days", US_national_yearly!$D:$AM, 34, FALSE) / VLOOKUP("industry|NOx|Work loss days", US_national_yearly!$D:$AM, 10, FALSE), 1)</f>
        <v>3.7009552696422331E-2</v>
      </c>
      <c r="AA15" s="7">
        <f>$B15 * IFERROR(VLOOKUP("industry|NOx|Work loss days", US_national_yearly!$D:$AM, 35, FALSE) / VLOOKUP("industry|NOx|Work loss days", US_national_yearly!$D:$AM, 10, FALSE), 1)</f>
        <v>3.7223145201659591E-2</v>
      </c>
      <c r="AB15" s="7">
        <f>$B15 * IFERROR(VLOOKUP("industry|NOx|Work loss days", US_national_yearly!$D:$AM, 36, FALSE) / VLOOKUP("industry|NOx|Work loss days", US_national_yearly!$D:$AM, 10, FALSE), 1)</f>
        <v>3.7436737706896858E-2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5.0788850171823697E-5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5.2280146477686088E-5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5.3771442783548485E-5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5.5262739089410875E-5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5.675403539527328E-5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5.8171399418027362E-5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5.9588763440781451E-5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6.0783703868315253E-5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6.1978644295849049E-5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6.3173584723382831E-5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6.4368525150916626E-5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6.5563465578450422E-5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6.6311547458731203E-5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6.7059629339011957E-5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6.7807711219292725E-5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6.8555793099573493E-5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6.9303874979854247E-5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6.9648979864187004E-5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6.9994084748519774E-5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7.0339189632852531E-5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7.0684294517185287E-5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7.1029399401518058E-5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7.1224381249317118E-5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7.1419363097116191E-5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7.1614344944915251E-5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7.1809326792714312E-5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7.2004308640513399E-5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1.0091194700498332E-3</v>
      </c>
      <c r="C2" s="7">
        <f>$B2 * IFERROR(VLOOKUP("industry|SO2|Premature mortality", US_national_yearly!$D:$AM, 11, FALSE) / VLOOKUP("industry|SO2|Premature mortality", US_national_yearly!$D:$AM, 10, FALSE), 1)</f>
        <v>1.0219119793803116E-3</v>
      </c>
      <c r="D2" s="7">
        <f>$B2 * IFERROR(VLOOKUP("industry|SO2|Premature mortality", US_national_yearly!$D:$AM, 12, FALSE) / VLOOKUP("industry|SO2|Premature mortality", US_national_yearly!$D:$AM, 10, FALSE), 1)</f>
        <v>1.0347044887107897E-3</v>
      </c>
      <c r="E2" s="7">
        <f>$B2 * IFERROR(VLOOKUP("industry|SO2|Premature mortality", US_national_yearly!$D:$AM, 13, FALSE) / VLOOKUP("industry|SO2|Premature mortality", US_national_yearly!$D:$AM, 10, FALSE), 1)</f>
        <v>1.0474969980412679E-3</v>
      </c>
      <c r="F2" s="7">
        <f>$B2 * IFERROR(VLOOKUP("industry|SO2|Premature mortality", US_national_yearly!$D:$AM, 14, FALSE) / VLOOKUP("industry|SO2|Premature mortality", US_national_yearly!$D:$AM, 10, FALSE), 1)</f>
        <v>1.0602895073717462E-3</v>
      </c>
      <c r="G2" s="7">
        <f>$B2 * IFERROR(VLOOKUP("industry|SO2|Premature mortality", US_national_yearly!$D:$AM, 15, FALSE) / VLOOKUP("industry|SO2|Premature mortality", US_national_yearly!$D:$AM, 10, FALSE), 1)</f>
        <v>1.0849466036579644E-3</v>
      </c>
      <c r="H2" s="7">
        <f>$B2 * IFERROR(VLOOKUP("industry|SO2|Premature mortality", US_national_yearly!$D:$AM, 16, FALSE) / VLOOKUP("industry|SO2|Premature mortality", US_national_yearly!$D:$AM, 10, FALSE), 1)</f>
        <v>1.1096036999441825E-3</v>
      </c>
      <c r="I2" s="7">
        <f>$B2 * IFERROR(VLOOKUP("industry|SO2|Premature mortality", US_national_yearly!$D:$AM, 17, FALSE) / VLOOKUP("industry|SO2|Premature mortality", US_national_yearly!$D:$AM, 10, FALSE), 1)</f>
        <v>1.1259309074174949E-3</v>
      </c>
      <c r="J2" s="7">
        <f>$B2 * IFERROR(VLOOKUP("industry|SO2|Premature mortality", US_national_yearly!$D:$AM, 18, FALSE) / VLOOKUP("industry|SO2|Premature mortality", US_national_yearly!$D:$AM, 10, FALSE), 1)</f>
        <v>1.1422581148908071E-3</v>
      </c>
      <c r="K2" s="7">
        <f>$B2 * IFERROR(VLOOKUP("industry|SO2|Premature mortality", US_national_yearly!$D:$AM, 19, FALSE) / VLOOKUP("industry|SO2|Premature mortality", US_national_yearly!$D:$AM, 10, FALSE), 1)</f>
        <v>1.1585853223641193E-3</v>
      </c>
      <c r="L2" s="7">
        <f>$B2 * IFERROR(VLOOKUP("industry|SO2|Premature mortality", US_national_yearly!$D:$AM, 20, FALSE) / VLOOKUP("industry|SO2|Premature mortality", US_national_yearly!$D:$AM, 10, FALSE), 1)</f>
        <v>1.1749125298374317E-3</v>
      </c>
      <c r="M2" s="7">
        <f>$B2 * IFERROR(VLOOKUP("industry|SO2|Premature mortality", US_national_yearly!$D:$AM, 21, FALSE) / VLOOKUP("industry|SO2|Premature mortality", US_national_yearly!$D:$AM, 10, FALSE), 1)</f>
        <v>1.1912397373107439E-3</v>
      </c>
      <c r="N2" s="7">
        <f>$B2 * IFERROR(VLOOKUP("industry|SO2|Premature mortality", US_national_yearly!$D:$AM, 22, FALSE) / VLOOKUP("industry|SO2|Premature mortality", US_national_yearly!$D:$AM, 10, FALSE), 1)</f>
        <v>1.2040114955339505E-3</v>
      </c>
      <c r="O2" s="7">
        <f>$B2 * IFERROR(VLOOKUP("industry|SO2|Premature mortality", US_national_yearly!$D:$AM, 23, FALSE) / VLOOKUP("industry|SO2|Premature mortality", US_national_yearly!$D:$AM, 10, FALSE), 1)</f>
        <v>1.2167832537571571E-3</v>
      </c>
      <c r="P2" s="7">
        <f>$B2 * IFERROR(VLOOKUP("industry|SO2|Premature mortality", US_national_yearly!$D:$AM, 24, FALSE) / VLOOKUP("industry|SO2|Premature mortality", US_national_yearly!$D:$AM, 10, FALSE), 1)</f>
        <v>1.2295550119803638E-3</v>
      </c>
      <c r="Q2" s="7">
        <f>$B2 * IFERROR(VLOOKUP("industry|SO2|Premature mortality", US_national_yearly!$D:$AM, 25, FALSE) / VLOOKUP("industry|SO2|Premature mortality", US_national_yearly!$D:$AM, 10, FALSE), 1)</f>
        <v>1.2423267702035704E-3</v>
      </c>
      <c r="R2" s="7">
        <f>$B2 * IFERROR(VLOOKUP("industry|SO2|Premature mortality", US_national_yearly!$D:$AM, 26, FALSE) / VLOOKUP("industry|SO2|Premature mortality", US_national_yearly!$D:$AM, 10, FALSE), 1)</f>
        <v>1.255098528426777E-3</v>
      </c>
      <c r="S2" s="7">
        <f>$B2 * IFERROR(VLOOKUP("industry|SO2|Premature mortality", US_national_yearly!$D:$AM, 27, FALSE) / VLOOKUP("industry|SO2|Premature mortality", US_national_yearly!$D:$AM, 10, FALSE), 1)</f>
        <v>1.2619945742624158E-3</v>
      </c>
      <c r="T2" s="7">
        <f>$B2 * IFERROR(VLOOKUP("industry|SO2|Premature mortality", US_national_yearly!$D:$AM, 28, FALSE) / VLOOKUP("industry|SO2|Premature mortality", US_national_yearly!$D:$AM, 10, FALSE), 1)</f>
        <v>1.2688906200980549E-3</v>
      </c>
      <c r="U2" s="7">
        <f>$B2 * IFERROR(VLOOKUP("industry|SO2|Premature mortality", US_national_yearly!$D:$AM, 29, FALSE) / VLOOKUP("industry|SO2|Premature mortality", US_national_yearly!$D:$AM, 10, FALSE), 1)</f>
        <v>1.2757866659336941E-3</v>
      </c>
      <c r="V2" s="7">
        <f>$B2 * IFERROR(VLOOKUP("industry|SO2|Premature mortality", US_national_yearly!$D:$AM, 30, FALSE) / VLOOKUP("industry|SO2|Premature mortality", US_national_yearly!$D:$AM, 10, FALSE), 1)</f>
        <v>1.282682711769333E-3</v>
      </c>
      <c r="W2" s="7">
        <f>$B2 * IFERROR(VLOOKUP("industry|SO2|Premature mortality", US_national_yearly!$D:$AM, 31, FALSE) / VLOOKUP("industry|SO2|Premature mortality", US_national_yearly!$D:$AM, 10, FALSE), 1)</f>
        <v>1.289578757604972E-3</v>
      </c>
      <c r="X2" s="7">
        <f>$B2 * IFERROR(VLOOKUP("industry|SO2|Premature mortality", US_national_yearly!$D:$AM, 32, FALSE) / VLOOKUP("industry|SO2|Premature mortality", US_national_yearly!$D:$AM, 10, FALSE), 1)</f>
        <v>1.2910629970941032E-3</v>
      </c>
      <c r="Y2" s="7">
        <f>$B2 * IFERROR(VLOOKUP("industry|SO2|Premature mortality", US_national_yearly!$D:$AM, 33, FALSE) / VLOOKUP("industry|SO2|Premature mortality", US_national_yearly!$D:$AM, 10, FALSE), 1)</f>
        <v>1.2925472365832344E-3</v>
      </c>
      <c r="Z2" s="7">
        <f>$B2 * IFERROR(VLOOKUP("industry|SO2|Premature mortality", US_national_yearly!$D:$AM, 34, FALSE) / VLOOKUP("industry|SO2|Premature mortality", US_national_yearly!$D:$AM, 10, FALSE), 1)</f>
        <v>1.2940314760723657E-3</v>
      </c>
      <c r="AA2" s="7">
        <f>$B2 * IFERROR(VLOOKUP("industry|SO2|Premature mortality", US_national_yearly!$D:$AM, 35, FALSE) / VLOOKUP("industry|SO2|Premature mortality", US_national_yearly!$D:$AM, 10, FALSE), 1)</f>
        <v>1.2955157155614967E-3</v>
      </c>
      <c r="AB2" s="7">
        <f>$B2 * IFERROR(VLOOKUP("industry|SO2|Premature mortality", US_national_yearly!$D:$AM, 36, FALSE) / VLOOKUP("industry|SO2|Premature mortality", US_national_yearly!$D:$AM, 10, FALSE), 1)</f>
        <v>1.2969999550506278E-3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1.7706872704613094E-6</v>
      </c>
      <c r="C3" s="7">
        <f>$B3 * IFERROR(VLOOKUP("industry|SO2|Infant mortality", US_national_yearly!$D:$AM, 11, FALSE) / VLOOKUP("industry|SO2|Infant mortality", US_national_yearly!$D:$AM, 10, FALSE), 1)</f>
        <v>1.7554539113238662E-6</v>
      </c>
      <c r="D3" s="7">
        <f>$B3 * IFERROR(VLOOKUP("industry|SO2|Infant mortality", US_national_yearly!$D:$AM, 12, FALSE) / VLOOKUP("industry|SO2|Infant mortality", US_national_yearly!$D:$AM, 10, FALSE), 1)</f>
        <v>1.7402205521864229E-6</v>
      </c>
      <c r="E3" s="7">
        <f>$B3 * IFERROR(VLOOKUP("industry|SO2|Infant mortality", US_national_yearly!$D:$AM, 13, FALSE) / VLOOKUP("industry|SO2|Infant mortality", US_national_yearly!$D:$AM, 10, FALSE), 1)</f>
        <v>1.7249871930489797E-6</v>
      </c>
      <c r="F3" s="7">
        <f>$B3 * IFERROR(VLOOKUP("industry|SO2|Infant mortality", US_national_yearly!$D:$AM, 14, FALSE) / VLOOKUP("industry|SO2|Infant mortality", US_national_yearly!$D:$AM, 10, FALSE), 1)</f>
        <v>1.7097538339115365E-6</v>
      </c>
      <c r="G3" s="7">
        <f>$B3 * IFERROR(VLOOKUP("industry|SO2|Infant mortality", US_national_yearly!$D:$AM, 15, FALSE) / VLOOKUP("industry|SO2|Infant mortality", US_national_yearly!$D:$AM, 10, FALSE), 1)</f>
        <v>1.1381802997590376E-6</v>
      </c>
      <c r="H3" s="7">
        <f>$B3 * IFERROR(VLOOKUP("industry|SO2|Infant mortality", US_national_yearly!$D:$AM, 16, FALSE) / VLOOKUP("industry|SO2|Infant mortality", US_national_yearly!$D:$AM, 10, FALSE), 1)</f>
        <v>5.6660676560653867E-7</v>
      </c>
      <c r="I3" s="7">
        <f>$B3 * IFERROR(VLOOKUP("industry|SO2|Infant mortality", US_national_yearly!$D:$AM, 17, FALSE) / VLOOKUP("industry|SO2|Infant mortality", US_national_yearly!$D:$AM, 10, FALSE), 1)</f>
        <v>5.6300886097124313E-7</v>
      </c>
      <c r="J3" s="7">
        <f>$B3 * IFERROR(VLOOKUP("industry|SO2|Infant mortality", US_national_yearly!$D:$AM, 18, FALSE) / VLOOKUP("industry|SO2|Infant mortality", US_national_yearly!$D:$AM, 10, FALSE), 1)</f>
        <v>5.5941095633594759E-7</v>
      </c>
      <c r="K3" s="7">
        <f>$B3 * IFERROR(VLOOKUP("industry|SO2|Infant mortality", US_national_yearly!$D:$AM, 19, FALSE) / VLOOKUP("industry|SO2|Infant mortality", US_national_yearly!$D:$AM, 10, FALSE), 1)</f>
        <v>5.5581305170065205E-7</v>
      </c>
      <c r="L3" s="7">
        <f>$B3 * IFERROR(VLOOKUP("industry|SO2|Infant mortality", US_national_yearly!$D:$AM, 20, FALSE) / VLOOKUP("industry|SO2|Infant mortality", US_national_yearly!$D:$AM, 10, FALSE), 1)</f>
        <v>5.5221514706535651E-7</v>
      </c>
      <c r="M3" s="7">
        <f>$B3 * IFERROR(VLOOKUP("industry|SO2|Infant mortality", US_national_yearly!$D:$AM, 21, FALSE) / VLOOKUP("industry|SO2|Infant mortality", US_national_yearly!$D:$AM, 10, FALSE), 1)</f>
        <v>5.4861724243006086E-7</v>
      </c>
      <c r="N3" s="7">
        <f>$B3 * IFERROR(VLOOKUP("industry|SO2|Infant mortality", US_national_yearly!$D:$AM, 22, FALSE) / VLOOKUP("industry|SO2|Infant mortality", US_national_yearly!$D:$AM, 10, FALSE), 1)</f>
        <v>5.4633687356944288E-7</v>
      </c>
      <c r="O3" s="7">
        <f>$B3 * IFERROR(VLOOKUP("industry|SO2|Infant mortality", US_national_yearly!$D:$AM, 23, FALSE) / VLOOKUP("industry|SO2|Infant mortality", US_national_yearly!$D:$AM, 10, FALSE), 1)</f>
        <v>5.4405650470882479E-7</v>
      </c>
      <c r="P3" s="7">
        <f>$B3 * IFERROR(VLOOKUP("industry|SO2|Infant mortality", US_national_yearly!$D:$AM, 24, FALSE) / VLOOKUP("industry|SO2|Infant mortality", US_national_yearly!$D:$AM, 10, FALSE), 1)</f>
        <v>5.417761358482067E-7</v>
      </c>
      <c r="Q3" s="7">
        <f>$B3 * IFERROR(VLOOKUP("industry|SO2|Infant mortality", US_national_yearly!$D:$AM, 25, FALSE) / VLOOKUP("industry|SO2|Infant mortality", US_national_yearly!$D:$AM, 10, FALSE), 1)</f>
        <v>5.3949576698758872E-7</v>
      </c>
      <c r="R3" s="7">
        <f>$B3 * IFERROR(VLOOKUP("industry|SO2|Infant mortality", US_national_yearly!$D:$AM, 26, FALSE) / VLOOKUP("industry|SO2|Infant mortality", US_national_yearly!$D:$AM, 10, FALSE), 1)</f>
        <v>5.3721539812697063E-7</v>
      </c>
      <c r="S3" s="7">
        <f>$B3 * IFERROR(VLOOKUP("industry|SO2|Infant mortality", US_national_yearly!$D:$AM, 27, FALSE) / VLOOKUP("industry|SO2|Infant mortality", US_national_yearly!$D:$AM, 10, FALSE), 1)</f>
        <v>5.3437750509365924E-7</v>
      </c>
      <c r="T3" s="7">
        <f>$B3 * IFERROR(VLOOKUP("industry|SO2|Infant mortality", US_national_yearly!$D:$AM, 28, FALSE) / VLOOKUP("industry|SO2|Infant mortality", US_national_yearly!$D:$AM, 10, FALSE), 1)</f>
        <v>5.3153961206034774E-7</v>
      </c>
      <c r="U3" s="7">
        <f>$B3 * IFERROR(VLOOKUP("industry|SO2|Infant mortality", US_national_yearly!$D:$AM, 29, FALSE) / VLOOKUP("industry|SO2|Infant mortality", US_national_yearly!$D:$AM, 10, FALSE), 1)</f>
        <v>5.2870171902703624E-7</v>
      </c>
      <c r="V3" s="7">
        <f>$B3 * IFERROR(VLOOKUP("industry|SO2|Infant mortality", US_national_yearly!$D:$AM, 30, FALSE) / VLOOKUP("industry|SO2|Infant mortality", US_national_yearly!$D:$AM, 10, FALSE), 1)</f>
        <v>5.2586382599372484E-7</v>
      </c>
      <c r="W3" s="7">
        <f>$B3 * IFERROR(VLOOKUP("industry|SO2|Infant mortality", US_national_yearly!$D:$AM, 31, FALSE) / VLOOKUP("industry|SO2|Infant mortality", US_national_yearly!$D:$AM, 10, FALSE), 1)</f>
        <v>5.2302593296041334E-7</v>
      </c>
      <c r="X3" s="7">
        <f>$B3 * IFERROR(VLOOKUP("industry|SO2|Infant mortality", US_national_yearly!$D:$AM, 32, FALSE) / VLOOKUP("industry|SO2|Infant mortality", US_national_yearly!$D:$AM, 10, FALSE), 1)</f>
        <v>5.1994199012034215E-7</v>
      </c>
      <c r="Y3" s="7">
        <f>$B3 * IFERROR(VLOOKUP("industry|SO2|Infant mortality", US_national_yearly!$D:$AM, 33, FALSE) / VLOOKUP("industry|SO2|Infant mortality", US_national_yearly!$D:$AM, 10, FALSE), 1)</f>
        <v>5.1685804728027086E-7</v>
      </c>
      <c r="Z3" s="7">
        <f>$B3 * IFERROR(VLOOKUP("industry|SO2|Infant mortality", US_national_yearly!$D:$AM, 34, FALSE) / VLOOKUP("industry|SO2|Infant mortality", US_national_yearly!$D:$AM, 10, FALSE), 1)</f>
        <v>5.1377410444019967E-7</v>
      </c>
      <c r="AA3" s="7">
        <f>$B3 * IFERROR(VLOOKUP("industry|SO2|Infant mortality", US_national_yearly!$D:$AM, 35, FALSE) / VLOOKUP("industry|SO2|Infant mortality", US_national_yearly!$D:$AM, 10, FALSE), 1)</f>
        <v>5.1069016160012849E-7</v>
      </c>
      <c r="AB3" s="7">
        <f>$B3 * IFERROR(VLOOKUP("industry|SO2|Infant mortality", US_national_yearly!$D:$AM, 36, FALSE) / VLOOKUP("industry|SO2|Infant mortality", US_national_yearly!$D:$AM, 10, FALSE), 1)</f>
        <v>5.0760621876005719E-7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2.3753781171727069E-3</v>
      </c>
      <c r="C6" s="7">
        <f>$B6 * IFERROR(VLOOKUP("industry|SO2|Asthma symptoms cough", US_national_yearly!$D:$AM, 11, FALSE) / VLOOKUP("industry|SO2|Asthma symptoms cough", US_national_yearly!$D:$AM, 10, FALSE), 1)</f>
        <v>2.3753781171727069E-3</v>
      </c>
      <c r="D6" s="7">
        <f>$B6 * IFERROR(VLOOKUP("industry|SO2|Asthma symptoms cough", US_national_yearly!$D:$AM, 12, FALSE) / VLOOKUP("industry|SO2|Asthma symptoms cough", US_national_yearly!$D:$AM, 10, FALSE), 1)</f>
        <v>2.3753781171727069E-3</v>
      </c>
      <c r="E6" s="7">
        <f>$B6 * IFERROR(VLOOKUP("industry|SO2|Asthma symptoms cough", US_national_yearly!$D:$AM, 13, FALSE) / VLOOKUP("industry|SO2|Asthma symptoms cough", US_national_yearly!$D:$AM, 10, FALSE), 1)</f>
        <v>2.3753781171727069E-3</v>
      </c>
      <c r="F6" s="7">
        <f>$B6 * IFERROR(VLOOKUP("industry|SO2|Asthma symptoms cough", US_national_yearly!$D:$AM, 14, FALSE) / VLOOKUP("industry|SO2|Asthma symptoms cough", US_national_yearly!$D:$AM, 10, FALSE), 1)</f>
        <v>2.3753781171727069E-3</v>
      </c>
      <c r="G6" s="7">
        <f>$B6 * IFERROR(VLOOKUP("industry|SO2|Asthma symptoms cough", US_national_yearly!$D:$AM, 15, FALSE) / VLOOKUP("industry|SO2|Asthma symptoms cough", US_national_yearly!$D:$AM, 10, FALSE), 1)</f>
        <v>2.3753781171727069E-3</v>
      </c>
      <c r="H6" s="7">
        <f>$B6 * IFERROR(VLOOKUP("industry|SO2|Asthma symptoms cough", US_national_yearly!$D:$AM, 16, FALSE) / VLOOKUP("industry|SO2|Asthma symptoms cough", US_national_yearly!$D:$AM, 10, FALSE), 1)</f>
        <v>2.3753781171727069E-3</v>
      </c>
      <c r="I6" s="7">
        <f>$B6 * IFERROR(VLOOKUP("industry|SO2|Asthma symptoms cough", US_national_yearly!$D:$AM, 17, FALSE) / VLOOKUP("industry|SO2|Asthma symptoms cough", US_national_yearly!$D:$AM, 10, FALSE), 1)</f>
        <v>2.3753781171727069E-3</v>
      </c>
      <c r="J6" s="7">
        <f>$B6 * IFERROR(VLOOKUP("industry|SO2|Asthma symptoms cough", US_national_yearly!$D:$AM, 18, FALSE) / VLOOKUP("industry|SO2|Asthma symptoms cough", US_national_yearly!$D:$AM, 10, FALSE), 1)</f>
        <v>2.3753781171727069E-3</v>
      </c>
      <c r="K6" s="7">
        <f>$B6 * IFERROR(VLOOKUP("industry|SO2|Asthma symptoms cough", US_national_yearly!$D:$AM, 19, FALSE) / VLOOKUP("industry|SO2|Asthma symptoms cough", US_national_yearly!$D:$AM, 10, FALSE), 1)</f>
        <v>2.3753781171727069E-3</v>
      </c>
      <c r="L6" s="7">
        <f>$B6 * IFERROR(VLOOKUP("industry|SO2|Asthma symptoms cough", US_national_yearly!$D:$AM, 20, FALSE) / VLOOKUP("industry|SO2|Asthma symptoms cough", US_national_yearly!$D:$AM, 10, FALSE), 1)</f>
        <v>2.3753781171727069E-3</v>
      </c>
      <c r="M6" s="7">
        <f>$B6 * IFERROR(VLOOKUP("industry|SO2|Asthma symptoms cough", US_national_yearly!$D:$AM, 21, FALSE) / VLOOKUP("industry|SO2|Asthma symptoms cough", US_national_yearly!$D:$AM, 10, FALSE), 1)</f>
        <v>2.3753781171727069E-3</v>
      </c>
      <c r="N6" s="7">
        <f>$B6 * IFERROR(VLOOKUP("industry|SO2|Asthma symptoms cough", US_national_yearly!$D:$AM, 22, FALSE) / VLOOKUP("industry|SO2|Asthma symptoms cough", US_national_yearly!$D:$AM, 10, FALSE), 1)</f>
        <v>2.3753781171727069E-3</v>
      </c>
      <c r="O6" s="7">
        <f>$B6 * IFERROR(VLOOKUP("industry|SO2|Asthma symptoms cough", US_national_yearly!$D:$AM, 23, FALSE) / VLOOKUP("industry|SO2|Asthma symptoms cough", US_national_yearly!$D:$AM, 10, FALSE), 1)</f>
        <v>2.3753781171727069E-3</v>
      </c>
      <c r="P6" s="7">
        <f>$B6 * IFERROR(VLOOKUP("industry|SO2|Asthma symptoms cough", US_national_yearly!$D:$AM, 24, FALSE) / VLOOKUP("industry|SO2|Asthma symptoms cough", US_national_yearly!$D:$AM, 10, FALSE), 1)</f>
        <v>2.3753781171727069E-3</v>
      </c>
      <c r="Q6" s="7">
        <f>$B6 * IFERROR(VLOOKUP("industry|SO2|Asthma symptoms cough", US_national_yearly!$D:$AM, 25, FALSE) / VLOOKUP("industry|SO2|Asthma symptoms cough", US_national_yearly!$D:$AM, 10, FALSE), 1)</f>
        <v>2.3753781171727069E-3</v>
      </c>
      <c r="R6" s="7">
        <f>$B6 * IFERROR(VLOOKUP("industry|SO2|Asthma symptoms cough", US_national_yearly!$D:$AM, 26, FALSE) / VLOOKUP("industry|SO2|Asthma symptoms cough", US_national_yearly!$D:$AM, 10, FALSE), 1)</f>
        <v>2.3753781171727069E-3</v>
      </c>
      <c r="S6" s="7">
        <f>$B6 * IFERROR(VLOOKUP("industry|SO2|Asthma symptoms cough", US_national_yearly!$D:$AM, 27, FALSE) / VLOOKUP("industry|SO2|Asthma symptoms cough", US_national_yearly!$D:$AM, 10, FALSE), 1)</f>
        <v>2.3753781171727069E-3</v>
      </c>
      <c r="T6" s="7">
        <f>$B6 * IFERROR(VLOOKUP("industry|SO2|Asthma symptoms cough", US_national_yearly!$D:$AM, 28, FALSE) / VLOOKUP("industry|SO2|Asthma symptoms cough", US_national_yearly!$D:$AM, 10, FALSE), 1)</f>
        <v>2.3753781171727069E-3</v>
      </c>
      <c r="U6" s="7">
        <f>$B6 * IFERROR(VLOOKUP("industry|SO2|Asthma symptoms cough", US_national_yearly!$D:$AM, 29, FALSE) / VLOOKUP("industry|SO2|Asthma symptoms cough", US_national_yearly!$D:$AM, 10, FALSE), 1)</f>
        <v>2.3753781171727069E-3</v>
      </c>
      <c r="V6" s="7">
        <f>$B6 * IFERROR(VLOOKUP("industry|SO2|Asthma symptoms cough", US_national_yearly!$D:$AM, 30, FALSE) / VLOOKUP("industry|SO2|Asthma symptoms cough", US_national_yearly!$D:$AM, 10, FALSE), 1)</f>
        <v>2.3753781171727069E-3</v>
      </c>
      <c r="W6" s="7">
        <f>$B6 * IFERROR(VLOOKUP("industry|SO2|Asthma symptoms cough", US_national_yearly!$D:$AM, 31, FALSE) / VLOOKUP("industry|SO2|Asthma symptoms cough", US_national_yearly!$D:$AM, 10, FALSE), 1)</f>
        <v>2.3753781171727069E-3</v>
      </c>
      <c r="X6" s="7">
        <f>$B6 * IFERROR(VLOOKUP("industry|SO2|Asthma symptoms cough", US_national_yearly!$D:$AM, 32, FALSE) / VLOOKUP("industry|SO2|Asthma symptoms cough", US_national_yearly!$D:$AM, 10, FALSE), 1)</f>
        <v>2.3753781171727069E-3</v>
      </c>
      <c r="Y6" s="7">
        <f>$B6 * IFERROR(VLOOKUP("industry|SO2|Asthma symptoms cough", US_national_yearly!$D:$AM, 33, FALSE) / VLOOKUP("industry|SO2|Asthma symptoms cough", US_national_yearly!$D:$AM, 10, FALSE), 1)</f>
        <v>2.3753781171727069E-3</v>
      </c>
      <c r="Z6" s="7">
        <f>$B6 * IFERROR(VLOOKUP("industry|SO2|Asthma symptoms cough", US_national_yearly!$D:$AM, 34, FALSE) / VLOOKUP("industry|SO2|Asthma symptoms cough", US_national_yearly!$D:$AM, 10, FALSE), 1)</f>
        <v>2.3753781171727069E-3</v>
      </c>
      <c r="AA6" s="7">
        <f>$B6 * IFERROR(VLOOKUP("industry|SO2|Asthma symptoms cough", US_national_yearly!$D:$AM, 35, FALSE) / VLOOKUP("industry|SO2|Asthma symptoms cough", US_national_yearly!$D:$AM, 10, FALSE), 1)</f>
        <v>2.3753781171727069E-3</v>
      </c>
      <c r="AB6" s="7">
        <f>$B6 * IFERROR(VLOOKUP("industry|SO2|Asthma symptoms cough", US_national_yearly!$D:$AM, 36, FALSE) / VLOOKUP("industry|SO2|Asthma symptoms cough", US_national_yearly!$D:$AM, 10, FALSE), 1)</f>
        <v>2.3753781171727069E-3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3.1987818896621169E-3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3.1987818896621169E-3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3.1987818896621169E-3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3.1987818896621169E-3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3.1987818896621169E-3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3.1987818896621169E-3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3.1987818896621169E-3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3.1987818896621169E-3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3.1987818896621169E-3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3.1987818896621169E-3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3.1987818896621169E-3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3.1987818896621169E-3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3.1987818896621169E-3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3.1987818896621169E-3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3.1987818896621169E-3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3.1987818896621169E-3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3.1987818896621169E-3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3.1987818896621169E-3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3.1987818896621169E-3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3.1987818896621169E-3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3.1987818896621169E-3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3.1987818896621169E-3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3.1987818896621169E-3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3.1987818896621169E-3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3.1987818896621169E-3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3.1987818896621169E-3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3.1987818896621169E-3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4.8872302220659657E-3</v>
      </c>
      <c r="C8" s="7">
        <f>$B8 * IFERROR(VLOOKUP("industry|SO2|Asthma symptoms wheeze", US_national_yearly!$D:$AM, 11, FALSE) / VLOOKUP("industry|SO2|Asthma symptoms wheeze", US_national_yearly!$D:$AM, 10, FALSE), 1)</f>
        <v>4.8872302220659657E-3</v>
      </c>
      <c r="D8" s="7">
        <f>$B8 * IFERROR(VLOOKUP("industry|SO2|Asthma symptoms wheeze", US_national_yearly!$D:$AM, 12, FALSE) / VLOOKUP("industry|SO2|Asthma symptoms wheeze", US_national_yearly!$D:$AM, 10, FALSE), 1)</f>
        <v>4.8872302220659657E-3</v>
      </c>
      <c r="E8" s="7">
        <f>$B8 * IFERROR(VLOOKUP("industry|SO2|Asthma symptoms wheeze", US_national_yearly!$D:$AM, 13, FALSE) / VLOOKUP("industry|SO2|Asthma symptoms wheeze", US_national_yearly!$D:$AM, 10, FALSE), 1)</f>
        <v>4.8872302220659657E-3</v>
      </c>
      <c r="F8" s="7">
        <f>$B8 * IFERROR(VLOOKUP("industry|SO2|Asthma symptoms wheeze", US_national_yearly!$D:$AM, 14, FALSE) / VLOOKUP("industry|SO2|Asthma symptoms wheeze", US_national_yearly!$D:$AM, 10, FALSE), 1)</f>
        <v>4.8872302220659657E-3</v>
      </c>
      <c r="G8" s="7">
        <f>$B8 * IFERROR(VLOOKUP("industry|SO2|Asthma symptoms wheeze", US_national_yearly!$D:$AM, 15, FALSE) / VLOOKUP("industry|SO2|Asthma symptoms wheeze", US_national_yearly!$D:$AM, 10, FALSE), 1)</f>
        <v>4.8872302220659657E-3</v>
      </c>
      <c r="H8" s="7">
        <f>$B8 * IFERROR(VLOOKUP("industry|SO2|Asthma symptoms wheeze", US_national_yearly!$D:$AM, 16, FALSE) / VLOOKUP("industry|SO2|Asthma symptoms wheeze", US_national_yearly!$D:$AM, 10, FALSE), 1)</f>
        <v>4.8872302220659657E-3</v>
      </c>
      <c r="I8" s="7">
        <f>$B8 * IFERROR(VLOOKUP("industry|SO2|Asthma symptoms wheeze", US_national_yearly!$D:$AM, 17, FALSE) / VLOOKUP("industry|SO2|Asthma symptoms wheeze", US_national_yearly!$D:$AM, 10, FALSE), 1)</f>
        <v>4.8872302220659657E-3</v>
      </c>
      <c r="J8" s="7">
        <f>$B8 * IFERROR(VLOOKUP("industry|SO2|Asthma symptoms wheeze", US_national_yearly!$D:$AM, 18, FALSE) / VLOOKUP("industry|SO2|Asthma symptoms wheeze", US_national_yearly!$D:$AM, 10, FALSE), 1)</f>
        <v>4.8872302220659657E-3</v>
      </c>
      <c r="K8" s="7">
        <f>$B8 * IFERROR(VLOOKUP("industry|SO2|Asthma symptoms wheeze", US_national_yearly!$D:$AM, 19, FALSE) / VLOOKUP("industry|SO2|Asthma symptoms wheeze", US_national_yearly!$D:$AM, 10, FALSE), 1)</f>
        <v>4.8872302220659657E-3</v>
      </c>
      <c r="L8" s="7">
        <f>$B8 * IFERROR(VLOOKUP("industry|SO2|Asthma symptoms wheeze", US_national_yearly!$D:$AM, 20, FALSE) / VLOOKUP("industry|SO2|Asthma symptoms wheeze", US_national_yearly!$D:$AM, 10, FALSE), 1)</f>
        <v>4.8872302220659657E-3</v>
      </c>
      <c r="M8" s="7">
        <f>$B8 * IFERROR(VLOOKUP("industry|SO2|Asthma symptoms wheeze", US_national_yearly!$D:$AM, 21, FALSE) / VLOOKUP("industry|SO2|Asthma symptoms wheeze", US_national_yearly!$D:$AM, 10, FALSE), 1)</f>
        <v>4.8872302220659657E-3</v>
      </c>
      <c r="N8" s="7">
        <f>$B8 * IFERROR(VLOOKUP("industry|SO2|Asthma symptoms wheeze", US_national_yearly!$D:$AM, 22, FALSE) / VLOOKUP("industry|SO2|Asthma symptoms wheeze", US_national_yearly!$D:$AM, 10, FALSE), 1)</f>
        <v>4.8872302220659657E-3</v>
      </c>
      <c r="O8" s="7">
        <f>$B8 * IFERROR(VLOOKUP("industry|SO2|Asthma symptoms wheeze", US_national_yearly!$D:$AM, 23, FALSE) / VLOOKUP("industry|SO2|Asthma symptoms wheeze", US_national_yearly!$D:$AM, 10, FALSE), 1)</f>
        <v>4.8872302220659657E-3</v>
      </c>
      <c r="P8" s="7">
        <f>$B8 * IFERROR(VLOOKUP("industry|SO2|Asthma symptoms wheeze", US_national_yearly!$D:$AM, 24, FALSE) / VLOOKUP("industry|SO2|Asthma symptoms wheeze", US_national_yearly!$D:$AM, 10, FALSE), 1)</f>
        <v>4.8872302220659657E-3</v>
      </c>
      <c r="Q8" s="7">
        <f>$B8 * IFERROR(VLOOKUP("industry|SO2|Asthma symptoms wheeze", US_national_yearly!$D:$AM, 25, FALSE) / VLOOKUP("industry|SO2|Asthma symptoms wheeze", US_national_yearly!$D:$AM, 10, FALSE), 1)</f>
        <v>4.8872302220659657E-3</v>
      </c>
      <c r="R8" s="7">
        <f>$B8 * IFERROR(VLOOKUP("industry|SO2|Asthma symptoms wheeze", US_national_yearly!$D:$AM, 26, FALSE) / VLOOKUP("industry|SO2|Asthma symptoms wheeze", US_national_yearly!$D:$AM, 10, FALSE), 1)</f>
        <v>4.8872302220659657E-3</v>
      </c>
      <c r="S8" s="7">
        <f>$B8 * IFERROR(VLOOKUP("industry|SO2|Asthma symptoms wheeze", US_national_yearly!$D:$AM, 27, FALSE) / VLOOKUP("industry|SO2|Asthma symptoms wheeze", US_national_yearly!$D:$AM, 10, FALSE), 1)</f>
        <v>4.8872302220659657E-3</v>
      </c>
      <c r="T8" s="7">
        <f>$B8 * IFERROR(VLOOKUP("industry|SO2|Asthma symptoms wheeze", US_national_yearly!$D:$AM, 28, FALSE) / VLOOKUP("industry|SO2|Asthma symptoms wheeze", US_national_yearly!$D:$AM, 10, FALSE), 1)</f>
        <v>4.8872302220659657E-3</v>
      </c>
      <c r="U8" s="7">
        <f>$B8 * IFERROR(VLOOKUP("industry|SO2|Asthma symptoms wheeze", US_national_yearly!$D:$AM, 29, FALSE) / VLOOKUP("industry|SO2|Asthma symptoms wheeze", US_national_yearly!$D:$AM, 10, FALSE), 1)</f>
        <v>4.8872302220659657E-3</v>
      </c>
      <c r="V8" s="7">
        <f>$B8 * IFERROR(VLOOKUP("industry|SO2|Asthma symptoms wheeze", US_national_yearly!$D:$AM, 30, FALSE) / VLOOKUP("industry|SO2|Asthma symptoms wheeze", US_national_yearly!$D:$AM, 10, FALSE), 1)</f>
        <v>4.8872302220659657E-3</v>
      </c>
      <c r="W8" s="7">
        <f>$B8 * IFERROR(VLOOKUP("industry|SO2|Asthma symptoms wheeze", US_national_yearly!$D:$AM, 31, FALSE) / VLOOKUP("industry|SO2|Asthma symptoms wheeze", US_national_yearly!$D:$AM, 10, FALSE), 1)</f>
        <v>4.8872302220659657E-3</v>
      </c>
      <c r="X8" s="7">
        <f>$B8 * IFERROR(VLOOKUP("industry|SO2|Asthma symptoms wheeze", US_national_yearly!$D:$AM, 32, FALSE) / VLOOKUP("industry|SO2|Asthma symptoms wheeze", US_national_yearly!$D:$AM, 10, FALSE), 1)</f>
        <v>4.8872302220659657E-3</v>
      </c>
      <c r="Y8" s="7">
        <f>$B8 * IFERROR(VLOOKUP("industry|SO2|Asthma symptoms wheeze", US_national_yearly!$D:$AM, 33, FALSE) / VLOOKUP("industry|SO2|Asthma symptoms wheeze", US_national_yearly!$D:$AM, 10, FALSE), 1)</f>
        <v>4.8872302220659657E-3</v>
      </c>
      <c r="Z8" s="7">
        <f>$B8 * IFERROR(VLOOKUP("industry|SO2|Asthma symptoms wheeze", US_national_yearly!$D:$AM, 34, FALSE) / VLOOKUP("industry|SO2|Asthma symptoms wheeze", US_national_yearly!$D:$AM, 10, FALSE), 1)</f>
        <v>4.8872302220659657E-3</v>
      </c>
      <c r="AA8" s="7">
        <f>$B8 * IFERROR(VLOOKUP("industry|SO2|Asthma symptoms wheeze", US_national_yearly!$D:$AM, 35, FALSE) / VLOOKUP("industry|SO2|Asthma symptoms wheeze", US_national_yearly!$D:$AM, 10, FALSE), 1)</f>
        <v>4.8872302220659657E-3</v>
      </c>
      <c r="AB8" s="7">
        <f>$B8 * IFERROR(VLOOKUP("industry|SO2|Asthma symptoms wheeze", US_national_yearly!$D:$AM, 36, FALSE) / VLOOKUP("industry|SO2|Asthma symptoms wheeze", US_national_yearly!$D:$AM, 10, FALSE), 1)</f>
        <v>4.8872302220659657E-3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5.7272437170110242E-5</v>
      </c>
      <c r="C12" s="7">
        <f>$B12 * IFERROR(VLOOKUP("industry|SO2|Respiratory hospital admissions", US_national_yearly!$D:$AM, 11, FALSE) / VLOOKUP("industry|SO2|Respiratory hospital admissions", US_national_yearly!$D:$AM, 10, FALSE), 1)</f>
        <v>5.7607944315890253E-5</v>
      </c>
      <c r="D12" s="7">
        <f>$B12 * IFERROR(VLOOKUP("industry|SO2|Respiratory hospital admissions", US_national_yearly!$D:$AM, 12, FALSE) / VLOOKUP("industry|SO2|Respiratory hospital admissions", US_national_yearly!$D:$AM, 10, FALSE), 1)</f>
        <v>5.7943451461670271E-5</v>
      </c>
      <c r="E12" s="7">
        <f>$B12 * IFERROR(VLOOKUP("industry|SO2|Respiratory hospital admissions", US_national_yearly!$D:$AM, 13, FALSE) / VLOOKUP("industry|SO2|Respiratory hospital admissions", US_national_yearly!$D:$AM, 10, FALSE), 1)</f>
        <v>5.8278958607450282E-5</v>
      </c>
      <c r="F12" s="7">
        <f>$B12 * IFERROR(VLOOKUP("industry|SO2|Respiratory hospital admissions", US_national_yearly!$D:$AM, 14, FALSE) / VLOOKUP("industry|SO2|Respiratory hospital admissions", US_national_yearly!$D:$AM, 10, FALSE), 1)</f>
        <v>5.8614465753230306E-5</v>
      </c>
      <c r="G12" s="7">
        <f>$B12 * IFERROR(VLOOKUP("industry|SO2|Respiratory hospital admissions", US_national_yearly!$D:$AM, 15, FALSE) / VLOOKUP("industry|SO2|Respiratory hospital admissions", US_national_yearly!$D:$AM, 10, FALSE), 1)</f>
        <v>5.8980233443364541E-5</v>
      </c>
      <c r="H12" s="7">
        <f>$B12 * IFERROR(VLOOKUP("industry|SO2|Respiratory hospital admissions", US_national_yearly!$D:$AM, 16, FALSE) / VLOOKUP("industry|SO2|Respiratory hospital admissions", US_national_yearly!$D:$AM, 10, FALSE), 1)</f>
        <v>5.9346001133498776E-5</v>
      </c>
      <c r="I12" s="7">
        <f>$B12 * IFERROR(VLOOKUP("industry|SO2|Respiratory hospital admissions", US_national_yearly!$D:$AM, 17, FALSE) / VLOOKUP("industry|SO2|Respiratory hospital admissions", US_national_yearly!$D:$AM, 10, FALSE), 1)</f>
        <v>5.9705244980548988E-5</v>
      </c>
      <c r="J12" s="7">
        <f>$B12 * IFERROR(VLOOKUP("industry|SO2|Respiratory hospital admissions", US_national_yearly!$D:$AM, 18, FALSE) / VLOOKUP("industry|SO2|Respiratory hospital admissions", US_national_yearly!$D:$AM, 10, FALSE), 1)</f>
        <v>6.0064488827599194E-5</v>
      </c>
      <c r="K12" s="7">
        <f>$B12 * IFERROR(VLOOKUP("industry|SO2|Respiratory hospital admissions", US_national_yearly!$D:$AM, 19, FALSE) / VLOOKUP("industry|SO2|Respiratory hospital admissions", US_national_yearly!$D:$AM, 10, FALSE), 1)</f>
        <v>6.0423732674649392E-5</v>
      </c>
      <c r="L12" s="7">
        <f>$B12 * IFERROR(VLOOKUP("industry|SO2|Respiratory hospital admissions", US_national_yearly!$D:$AM, 20, FALSE) / VLOOKUP("industry|SO2|Respiratory hospital admissions", US_national_yearly!$D:$AM, 10, FALSE), 1)</f>
        <v>6.0782976521699598E-5</v>
      </c>
      <c r="M12" s="7">
        <f>$B12 * IFERROR(VLOOKUP("industry|SO2|Respiratory hospital admissions", US_national_yearly!$D:$AM, 21, FALSE) / VLOOKUP("industry|SO2|Respiratory hospital admissions", US_national_yearly!$D:$AM, 10, FALSE), 1)</f>
        <v>6.114222036874981E-5</v>
      </c>
      <c r="N12" s="7">
        <f>$B12 * IFERROR(VLOOKUP("industry|SO2|Respiratory hospital admissions", US_national_yearly!$D:$AM, 22, FALSE) / VLOOKUP("industry|SO2|Respiratory hospital admissions", US_national_yearly!$D:$AM, 10, FALSE), 1)</f>
        <v>6.140217427287935E-5</v>
      </c>
      <c r="O12" s="7">
        <f>$B12 * IFERROR(VLOOKUP("industry|SO2|Respiratory hospital admissions", US_national_yearly!$D:$AM, 23, FALSE) / VLOOKUP("industry|SO2|Respiratory hospital admissions", US_national_yearly!$D:$AM, 10, FALSE), 1)</f>
        <v>6.166212817700889E-5</v>
      </c>
      <c r="P12" s="7">
        <f>$B12 * IFERROR(VLOOKUP("industry|SO2|Respiratory hospital admissions", US_national_yearly!$D:$AM, 24, FALSE) / VLOOKUP("industry|SO2|Respiratory hospital admissions", US_national_yearly!$D:$AM, 10, FALSE), 1)</f>
        <v>6.1922082081138416E-5</v>
      </c>
      <c r="Q12" s="7">
        <f>$B12 * IFERROR(VLOOKUP("industry|SO2|Respiratory hospital admissions", US_national_yearly!$D:$AM, 25, FALSE) / VLOOKUP("industry|SO2|Respiratory hospital admissions", US_national_yearly!$D:$AM, 10, FALSE), 1)</f>
        <v>6.2182035985267943E-5</v>
      </c>
      <c r="R12" s="7">
        <f>$B12 * IFERROR(VLOOKUP("industry|SO2|Respiratory hospital admissions", US_national_yearly!$D:$AM, 26, FALSE) / VLOOKUP("industry|SO2|Respiratory hospital admissions", US_national_yearly!$D:$AM, 10, FALSE), 1)</f>
        <v>6.2441989889397469E-5</v>
      </c>
      <c r="S12" s="7">
        <f>$B12 * IFERROR(VLOOKUP("industry|SO2|Respiratory hospital admissions", US_national_yearly!$D:$AM, 27, FALSE) / VLOOKUP("industry|SO2|Respiratory hospital admissions", US_national_yearly!$D:$AM, 10, FALSE), 1)</f>
        <v>6.2689036339362206E-5</v>
      </c>
      <c r="T12" s="7">
        <f>$B12 * IFERROR(VLOOKUP("industry|SO2|Respiratory hospital admissions", US_national_yearly!$D:$AM, 28, FALSE) / VLOOKUP("industry|SO2|Respiratory hospital admissions", US_national_yearly!$D:$AM, 10, FALSE), 1)</f>
        <v>6.293608278932693E-5</v>
      </c>
      <c r="U12" s="7">
        <f>$B12 * IFERROR(VLOOKUP("industry|SO2|Respiratory hospital admissions", US_national_yearly!$D:$AM, 29, FALSE) / VLOOKUP("industry|SO2|Respiratory hospital admissions", US_national_yearly!$D:$AM, 10, FALSE), 1)</f>
        <v>6.3183129239291654E-5</v>
      </c>
      <c r="V12" s="7">
        <f>$B12 * IFERROR(VLOOKUP("industry|SO2|Respiratory hospital admissions", US_national_yearly!$D:$AM, 30, FALSE) / VLOOKUP("industry|SO2|Respiratory hospital admissions", US_national_yearly!$D:$AM, 10, FALSE), 1)</f>
        <v>6.3430175689256391E-5</v>
      </c>
      <c r="W12" s="7">
        <f>$B12 * IFERROR(VLOOKUP("industry|SO2|Respiratory hospital admissions", US_national_yearly!$D:$AM, 31, FALSE) / VLOOKUP("industry|SO2|Respiratory hospital admissions", US_national_yearly!$D:$AM, 10, FALSE), 1)</f>
        <v>6.3677222139221114E-5</v>
      </c>
      <c r="X12" s="7">
        <f>$B12 * IFERROR(VLOOKUP("industry|SO2|Respiratory hospital admissions", US_national_yearly!$D:$AM, 32, FALSE) / VLOOKUP("industry|SO2|Respiratory hospital admissions", US_national_yearly!$D:$AM, 10, FALSE), 1)</f>
        <v>6.391182115921157E-5</v>
      </c>
      <c r="Y12" s="7">
        <f>$B12 * IFERROR(VLOOKUP("industry|SO2|Respiratory hospital admissions", US_national_yearly!$D:$AM, 33, FALSE) / VLOOKUP("industry|SO2|Respiratory hospital admissions", US_national_yearly!$D:$AM, 10, FALSE), 1)</f>
        <v>6.4146420179202025E-5</v>
      </c>
      <c r="Z12" s="7">
        <f>$B12 * IFERROR(VLOOKUP("industry|SO2|Respiratory hospital admissions", US_national_yearly!$D:$AM, 34, FALSE) / VLOOKUP("industry|SO2|Respiratory hospital admissions", US_national_yearly!$D:$AM, 10, FALSE), 1)</f>
        <v>6.4381019199192467E-5</v>
      </c>
      <c r="AA12" s="7">
        <f>$B12 * IFERROR(VLOOKUP("industry|SO2|Respiratory hospital admissions", US_national_yearly!$D:$AM, 35, FALSE) / VLOOKUP("industry|SO2|Respiratory hospital admissions", US_national_yearly!$D:$AM, 10, FALSE), 1)</f>
        <v>6.4615618219182922E-5</v>
      </c>
      <c r="AB12" s="7">
        <f>$B12 * IFERROR(VLOOKUP("industry|SO2|Respiratory hospital admissions", US_national_yearly!$D:$AM, 36, FALSE) / VLOOKUP("industry|SO2|Respiratory hospital admissions", US_national_yearly!$D:$AM, 10, FALSE), 1)</f>
        <v>6.4850217239173377E-5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3.7486908518840299E-4</v>
      </c>
      <c r="C13" s="7">
        <f>$B13 * IFERROR(VLOOKUP("industry|SO2|Non-fatal heart attacks", US_national_yearly!$D:$AM, 11, FALSE) / VLOOKUP("industry|SO2|Non-fatal heart attacks", US_national_yearly!$D:$AM, 10, FALSE), 1)</f>
        <v>3.8587383579462802E-4</v>
      </c>
      <c r="D13" s="7">
        <f>$B13 * IFERROR(VLOOKUP("industry|SO2|Non-fatal heart attacks", US_national_yearly!$D:$AM, 12, FALSE) / VLOOKUP("industry|SO2|Non-fatal heart attacks", US_national_yearly!$D:$AM, 10, FALSE), 1)</f>
        <v>3.9687858640085304E-4</v>
      </c>
      <c r="E13" s="7">
        <f>$B13 * IFERROR(VLOOKUP("industry|SO2|Non-fatal heart attacks", US_national_yearly!$D:$AM, 13, FALSE) / VLOOKUP("industry|SO2|Non-fatal heart attacks", US_national_yearly!$D:$AM, 10, FALSE), 1)</f>
        <v>4.07883337007078E-4</v>
      </c>
      <c r="F13" s="7">
        <f>$B13 * IFERROR(VLOOKUP("industry|SO2|Non-fatal heart attacks", US_national_yearly!$D:$AM, 14, FALSE) / VLOOKUP("industry|SO2|Non-fatal heart attacks", US_national_yearly!$D:$AM, 10, FALSE), 1)</f>
        <v>4.1888808761330308E-4</v>
      </c>
      <c r="G13" s="7">
        <f>$B13 * IFERROR(VLOOKUP("industry|SO2|Non-fatal heart attacks", US_national_yearly!$D:$AM, 15, FALSE) / VLOOKUP("industry|SO2|Non-fatal heart attacks", US_national_yearly!$D:$AM, 10, FALSE), 1)</f>
        <v>4.2927348933562972E-4</v>
      </c>
      <c r="H13" s="7">
        <f>$B13 * IFERROR(VLOOKUP("industry|SO2|Non-fatal heart attacks", US_national_yearly!$D:$AM, 16, FALSE) / VLOOKUP("industry|SO2|Non-fatal heart attacks", US_national_yearly!$D:$AM, 10, FALSE), 1)</f>
        <v>4.3965889105795648E-4</v>
      </c>
      <c r="I13" s="7">
        <f>$B13 * IFERROR(VLOOKUP("industry|SO2|Non-fatal heart attacks", US_national_yearly!$D:$AM, 17, FALSE) / VLOOKUP("industry|SO2|Non-fatal heart attacks", US_national_yearly!$D:$AM, 10, FALSE), 1)</f>
        <v>4.4803132249736653E-4</v>
      </c>
      <c r="J13" s="7">
        <f>$B13 * IFERROR(VLOOKUP("industry|SO2|Non-fatal heart attacks", US_national_yearly!$D:$AM, 18, FALSE) / VLOOKUP("industry|SO2|Non-fatal heart attacks", US_national_yearly!$D:$AM, 10, FALSE), 1)</f>
        <v>4.5640375393677675E-4</v>
      </c>
      <c r="K13" s="7">
        <f>$B13 * IFERROR(VLOOKUP("industry|SO2|Non-fatal heart attacks", US_national_yearly!$D:$AM, 19, FALSE) / VLOOKUP("industry|SO2|Non-fatal heart attacks", US_national_yearly!$D:$AM, 10, FALSE), 1)</f>
        <v>4.6477618537618686E-4</v>
      </c>
      <c r="L13" s="7">
        <f>$B13 * IFERROR(VLOOKUP("industry|SO2|Non-fatal heart attacks", US_national_yearly!$D:$AM, 20, FALSE) / VLOOKUP("industry|SO2|Non-fatal heart attacks", US_national_yearly!$D:$AM, 10, FALSE), 1)</f>
        <v>4.7314861681559703E-4</v>
      </c>
      <c r="M13" s="7">
        <f>$B13 * IFERROR(VLOOKUP("industry|SO2|Non-fatal heart attacks", US_national_yearly!$D:$AM, 21, FALSE) / VLOOKUP("industry|SO2|Non-fatal heart attacks", US_national_yearly!$D:$AM, 10, FALSE), 1)</f>
        <v>4.8152104825500714E-4</v>
      </c>
      <c r="N13" s="7">
        <f>$B13 * IFERROR(VLOOKUP("industry|SO2|Non-fatal heart attacks", US_national_yearly!$D:$AM, 22, FALSE) / VLOOKUP("industry|SO2|Non-fatal heart attacks", US_national_yearly!$D:$AM, 10, FALSE), 1)</f>
        <v>4.8696022576703147E-4</v>
      </c>
      <c r="O13" s="7">
        <f>$B13 * IFERROR(VLOOKUP("industry|SO2|Non-fatal heart attacks", US_national_yearly!$D:$AM, 23, FALSE) / VLOOKUP("industry|SO2|Non-fatal heart attacks", US_national_yearly!$D:$AM, 10, FALSE), 1)</f>
        <v>4.9239940327905601E-4</v>
      </c>
      <c r="P13" s="7">
        <f>$B13 * IFERROR(VLOOKUP("industry|SO2|Non-fatal heart attacks", US_national_yearly!$D:$AM, 24, FALSE) / VLOOKUP("industry|SO2|Non-fatal heart attacks", US_national_yearly!$D:$AM, 10, FALSE), 1)</f>
        <v>4.9783858079108028E-4</v>
      </c>
      <c r="Q13" s="7">
        <f>$B13 * IFERROR(VLOOKUP("industry|SO2|Non-fatal heart attacks", US_national_yearly!$D:$AM, 25, FALSE) / VLOOKUP("industry|SO2|Non-fatal heart attacks", US_national_yearly!$D:$AM, 10, FALSE), 1)</f>
        <v>5.0327775830310466E-4</v>
      </c>
      <c r="R13" s="7">
        <f>$B13 * IFERROR(VLOOKUP("industry|SO2|Non-fatal heart attacks", US_national_yearly!$D:$AM, 26, FALSE) / VLOOKUP("industry|SO2|Non-fatal heart attacks", US_national_yearly!$D:$AM, 10, FALSE), 1)</f>
        <v>5.0871693581512904E-4</v>
      </c>
      <c r="S13" s="7">
        <f>$B13 * IFERROR(VLOOKUP("industry|SO2|Non-fatal heart attacks", US_national_yearly!$D:$AM, 27, FALSE) / VLOOKUP("industry|SO2|Non-fatal heart attacks", US_national_yearly!$D:$AM, 10, FALSE), 1)</f>
        <v>5.1157367181649412E-4</v>
      </c>
      <c r="T13" s="7">
        <f>$B13 * IFERROR(VLOOKUP("industry|SO2|Non-fatal heart attacks", US_national_yearly!$D:$AM, 28, FALSE) / VLOOKUP("industry|SO2|Non-fatal heart attacks", US_national_yearly!$D:$AM, 10, FALSE), 1)</f>
        <v>5.1443040781785931E-4</v>
      </c>
      <c r="U13" s="7">
        <f>$B13 * IFERROR(VLOOKUP("industry|SO2|Non-fatal heart attacks", US_national_yearly!$D:$AM, 29, FALSE) / VLOOKUP("industry|SO2|Non-fatal heart attacks", US_national_yearly!$D:$AM, 10, FALSE), 1)</f>
        <v>5.1728714381922439E-4</v>
      </c>
      <c r="V13" s="7">
        <f>$B13 * IFERROR(VLOOKUP("industry|SO2|Non-fatal heart attacks", US_national_yearly!$D:$AM, 30, FALSE) / VLOOKUP("industry|SO2|Non-fatal heart attacks", US_national_yearly!$D:$AM, 10, FALSE), 1)</f>
        <v>5.2014387982058947E-4</v>
      </c>
      <c r="W13" s="7">
        <f>$B13 * IFERROR(VLOOKUP("industry|SO2|Non-fatal heart attacks", US_national_yearly!$D:$AM, 31, FALSE) / VLOOKUP("industry|SO2|Non-fatal heart attacks", US_national_yearly!$D:$AM, 10, FALSE), 1)</f>
        <v>5.2300061582195466E-4</v>
      </c>
      <c r="X13" s="7">
        <f>$B13 * IFERROR(VLOOKUP("industry|SO2|Non-fatal heart attacks", US_national_yearly!$D:$AM, 32, FALSE) / VLOOKUP("industry|SO2|Non-fatal heart attacks", US_national_yearly!$D:$AM, 10, FALSE), 1)</f>
        <v>5.2517022437788058E-4</v>
      </c>
      <c r="Y13" s="7">
        <f>$B13 * IFERROR(VLOOKUP("industry|SO2|Non-fatal heart attacks", US_national_yearly!$D:$AM, 33, FALSE) / VLOOKUP("industry|SO2|Non-fatal heart attacks", US_national_yearly!$D:$AM, 10, FALSE), 1)</f>
        <v>5.273398329338065E-4</v>
      </c>
      <c r="Z13" s="7">
        <f>$B13 * IFERROR(VLOOKUP("industry|SO2|Non-fatal heart attacks", US_national_yearly!$D:$AM, 34, FALSE) / VLOOKUP("industry|SO2|Non-fatal heart attacks", US_national_yearly!$D:$AM, 10, FALSE), 1)</f>
        <v>5.2950944148973242E-4</v>
      </c>
      <c r="AA13" s="7">
        <f>$B13 * IFERROR(VLOOKUP("industry|SO2|Non-fatal heart attacks", US_national_yearly!$D:$AM, 35, FALSE) / VLOOKUP("industry|SO2|Non-fatal heart attacks", US_national_yearly!$D:$AM, 10, FALSE), 1)</f>
        <v>5.3167905004565844E-4</v>
      </c>
      <c r="AB13" s="7">
        <f>$B13 * IFERROR(VLOOKUP("industry|SO2|Non-fatal heart attacks", US_national_yearly!$D:$AM, 36, FALSE) / VLOOKUP("industry|SO2|Non-fatal heart attacks", US_national_yearly!$D:$AM, 10, FALSE), 1)</f>
        <v>5.3384865860158436E-4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0.2916664269617768</v>
      </c>
      <c r="C14" s="7">
        <f>$B14 * IFERROR(VLOOKUP("industry|SO2|Minor restricted activity days", US_national_yearly!$D:$AM, 11, FALSE) / VLOOKUP("industry|SO2|Minor restricted activity days", US_national_yearly!$D:$AM, 10, FALSE), 1)</f>
        <v>0.29239599816719886</v>
      </c>
      <c r="D14" s="7">
        <f>$B14 * IFERROR(VLOOKUP("industry|SO2|Minor restricted activity days", US_national_yearly!$D:$AM, 12, FALSE) / VLOOKUP("industry|SO2|Minor restricted activity days", US_national_yearly!$D:$AM, 10, FALSE), 1)</f>
        <v>0.29312556937262091</v>
      </c>
      <c r="E14" s="7">
        <f>$B14 * IFERROR(VLOOKUP("industry|SO2|Minor restricted activity days", US_national_yearly!$D:$AM, 13, FALSE) / VLOOKUP("industry|SO2|Minor restricted activity days", US_national_yearly!$D:$AM, 10, FALSE), 1)</f>
        <v>0.29385514057804296</v>
      </c>
      <c r="F14" s="7">
        <f>$B14 * IFERROR(VLOOKUP("industry|SO2|Minor restricted activity days", US_national_yearly!$D:$AM, 14, FALSE) / VLOOKUP("industry|SO2|Minor restricted activity days", US_national_yearly!$D:$AM, 10, FALSE), 1)</f>
        <v>0.29458471178346501</v>
      </c>
      <c r="G14" s="7">
        <f>$B14 * IFERROR(VLOOKUP("industry|SO2|Minor restricted activity days", US_national_yearly!$D:$AM, 15, FALSE) / VLOOKUP("industry|SO2|Minor restricted activity days", US_national_yearly!$D:$AM, 10, FALSE), 1)</f>
        <v>0.29565798054550146</v>
      </c>
      <c r="H14" s="7">
        <f>$B14 * IFERROR(VLOOKUP("industry|SO2|Minor restricted activity days", US_national_yearly!$D:$AM, 16, FALSE) / VLOOKUP("industry|SO2|Minor restricted activity days", US_national_yearly!$D:$AM, 10, FALSE), 1)</f>
        <v>0.2967312493075378</v>
      </c>
      <c r="I14" s="7">
        <f>$B14 * IFERROR(VLOOKUP("industry|SO2|Minor restricted activity days", US_national_yearly!$D:$AM, 17, FALSE) / VLOOKUP("industry|SO2|Minor restricted activity days", US_national_yearly!$D:$AM, 10, FALSE), 1)</f>
        <v>0.29856149718613328</v>
      </c>
      <c r="J14" s="7">
        <f>$B14 * IFERROR(VLOOKUP("industry|SO2|Minor restricted activity days", US_national_yearly!$D:$AM, 18, FALSE) / VLOOKUP("industry|SO2|Minor restricted activity days", US_national_yearly!$D:$AM, 10, FALSE), 1)</f>
        <v>0.30039174506472877</v>
      </c>
      <c r="K14" s="7">
        <f>$B14 * IFERROR(VLOOKUP("industry|SO2|Minor restricted activity days", US_national_yearly!$D:$AM, 19, FALSE) / VLOOKUP("industry|SO2|Minor restricted activity days", US_national_yearly!$D:$AM, 10, FALSE), 1)</f>
        <v>0.3022219929433243</v>
      </c>
      <c r="L14" s="7">
        <f>$B14 * IFERROR(VLOOKUP("industry|SO2|Minor restricted activity days", US_national_yearly!$D:$AM, 20, FALSE) / VLOOKUP("industry|SO2|Minor restricted activity days", US_national_yearly!$D:$AM, 10, FALSE), 1)</f>
        <v>0.30405224082191978</v>
      </c>
      <c r="M14" s="7">
        <f>$B14 * IFERROR(VLOOKUP("industry|SO2|Minor restricted activity days", US_national_yearly!$D:$AM, 21, FALSE) / VLOOKUP("industry|SO2|Minor restricted activity days", US_national_yearly!$D:$AM, 10, FALSE), 1)</f>
        <v>0.30588248870051526</v>
      </c>
      <c r="N14" s="7">
        <f>$B14 * IFERROR(VLOOKUP("industry|SO2|Minor restricted activity days", US_national_yearly!$D:$AM, 22, FALSE) / VLOOKUP("industry|SO2|Minor restricted activity days", US_national_yearly!$D:$AM, 10, FALSE), 1)</f>
        <v>0.30839197866089091</v>
      </c>
      <c r="O14" s="7">
        <f>$B14 * IFERROR(VLOOKUP("industry|SO2|Minor restricted activity days", US_national_yearly!$D:$AM, 23, FALSE) / VLOOKUP("industry|SO2|Minor restricted activity days", US_national_yearly!$D:$AM, 10, FALSE), 1)</f>
        <v>0.3109014686212665</v>
      </c>
      <c r="P14" s="7">
        <f>$B14 * IFERROR(VLOOKUP("industry|SO2|Minor restricted activity days", US_national_yearly!$D:$AM, 24, FALSE) / VLOOKUP("industry|SO2|Minor restricted activity days", US_national_yearly!$D:$AM, 10, FALSE), 1)</f>
        <v>0.31341095858164209</v>
      </c>
      <c r="Q14" s="7">
        <f>$B14 * IFERROR(VLOOKUP("industry|SO2|Minor restricted activity days", US_national_yearly!$D:$AM, 25, FALSE) / VLOOKUP("industry|SO2|Minor restricted activity days", US_national_yearly!$D:$AM, 10, FALSE), 1)</f>
        <v>0.31592044854201778</v>
      </c>
      <c r="R14" s="7">
        <f>$B14 * IFERROR(VLOOKUP("industry|SO2|Minor restricted activity days", US_national_yearly!$D:$AM, 26, FALSE) / VLOOKUP("industry|SO2|Minor restricted activity days", US_national_yearly!$D:$AM, 10, FALSE), 1)</f>
        <v>0.31842993850239337</v>
      </c>
      <c r="S14" s="7">
        <f>$B14 * IFERROR(VLOOKUP("industry|SO2|Minor restricted activity days", US_national_yearly!$D:$AM, 27, FALSE) / VLOOKUP("industry|SO2|Minor restricted activity days", US_national_yearly!$D:$AM, 10, FALSE), 1)</f>
        <v>0.32099107567834489</v>
      </c>
      <c r="T14" s="7">
        <f>$B14 * IFERROR(VLOOKUP("industry|SO2|Minor restricted activity days", US_national_yearly!$D:$AM, 28, FALSE) / VLOOKUP("industry|SO2|Minor restricted activity days", US_national_yearly!$D:$AM, 10, FALSE), 1)</f>
        <v>0.32355221285429642</v>
      </c>
      <c r="U14" s="7">
        <f>$B14 * IFERROR(VLOOKUP("industry|SO2|Minor restricted activity days", US_national_yearly!$D:$AM, 29, FALSE) / VLOOKUP("industry|SO2|Minor restricted activity days", US_national_yearly!$D:$AM, 10, FALSE), 1)</f>
        <v>0.32611335003024794</v>
      </c>
      <c r="V14" s="7">
        <f>$B14 * IFERROR(VLOOKUP("industry|SO2|Minor restricted activity days", US_national_yearly!$D:$AM, 30, FALSE) / VLOOKUP("industry|SO2|Minor restricted activity days", US_national_yearly!$D:$AM, 10, FALSE), 1)</f>
        <v>0.32867448720619946</v>
      </c>
      <c r="W14" s="7">
        <f>$B14 * IFERROR(VLOOKUP("industry|SO2|Minor restricted activity days", US_national_yearly!$D:$AM, 31, FALSE) / VLOOKUP("industry|SO2|Minor restricted activity days", US_national_yearly!$D:$AM, 10, FALSE), 1)</f>
        <v>0.33123562438215098</v>
      </c>
      <c r="X14" s="7">
        <f>$B14 * IFERROR(VLOOKUP("industry|SO2|Minor restricted activity days", US_national_yearly!$D:$AM, 32, FALSE) / VLOOKUP("industry|SO2|Minor restricted activity days", US_national_yearly!$D:$AM, 10, FALSE), 1)</f>
        <v>0.33348761208700317</v>
      </c>
      <c r="Y14" s="7">
        <f>$B14 * IFERROR(VLOOKUP("industry|SO2|Minor restricted activity days", US_national_yearly!$D:$AM, 33, FALSE) / VLOOKUP("industry|SO2|Minor restricted activity days", US_national_yearly!$D:$AM, 10, FALSE), 1)</f>
        <v>0.3357395997918553</v>
      </c>
      <c r="Z14" s="7">
        <f>$B14 * IFERROR(VLOOKUP("industry|SO2|Minor restricted activity days", US_national_yearly!$D:$AM, 34, FALSE) / VLOOKUP("industry|SO2|Minor restricted activity days", US_national_yearly!$D:$AM, 10, FALSE), 1)</f>
        <v>0.33799158749670744</v>
      </c>
      <c r="AA14" s="7">
        <f>$B14 * IFERROR(VLOOKUP("industry|SO2|Minor restricted activity days", US_national_yearly!$D:$AM, 35, FALSE) / VLOOKUP("industry|SO2|Minor restricted activity days", US_national_yearly!$D:$AM, 10, FALSE), 1)</f>
        <v>0.34024357520155951</v>
      </c>
      <c r="AB14" s="7">
        <f>$B14 * IFERROR(VLOOKUP("industry|SO2|Minor restricted activity days", US_national_yearly!$D:$AM, 36, FALSE) / VLOOKUP("industry|SO2|Minor restricted activity days", US_national_yearly!$D:$AM, 10, FALSE), 1)</f>
        <v>0.34249556290641175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4.9181409338562722E-2</v>
      </c>
      <c r="C15" s="7">
        <f>$B15 * IFERROR(VLOOKUP("industry|SO2|Work loss days", US_national_yearly!$D:$AM, 11, FALSE) / VLOOKUP("industry|SO2|Work loss days", US_national_yearly!$D:$AM, 10, FALSE), 1)</f>
        <v>4.9339571194633822E-2</v>
      </c>
      <c r="D15" s="7">
        <f>$B15 * IFERROR(VLOOKUP("industry|SO2|Work loss days", US_national_yearly!$D:$AM, 12, FALSE) / VLOOKUP("industry|SO2|Work loss days", US_national_yearly!$D:$AM, 10, FALSE), 1)</f>
        <v>4.9497733050704935E-2</v>
      </c>
      <c r="E15" s="7">
        <f>$B15 * IFERROR(VLOOKUP("industry|SO2|Work loss days", US_national_yearly!$D:$AM, 13, FALSE) / VLOOKUP("industry|SO2|Work loss days", US_national_yearly!$D:$AM, 10, FALSE), 1)</f>
        <v>4.9655894906776035E-2</v>
      </c>
      <c r="F15" s="7">
        <f>$B15 * IFERROR(VLOOKUP("industry|SO2|Work loss days", US_national_yearly!$D:$AM, 14, FALSE) / VLOOKUP("industry|SO2|Work loss days", US_national_yearly!$D:$AM, 10, FALSE), 1)</f>
        <v>4.9814056762847156E-2</v>
      </c>
      <c r="G15" s="7">
        <f>$B15 * IFERROR(VLOOKUP("industry|SO2|Work loss days", US_national_yearly!$D:$AM, 15, FALSE) / VLOOKUP("industry|SO2|Work loss days", US_national_yearly!$D:$AM, 10, FALSE), 1)</f>
        <v>5.002050072639664E-2</v>
      </c>
      <c r="H15" s="7">
        <f>$B15 * IFERROR(VLOOKUP("industry|SO2|Work loss days", US_national_yearly!$D:$AM, 16, FALSE) / VLOOKUP("industry|SO2|Work loss days", US_national_yearly!$D:$AM, 10, FALSE), 1)</f>
        <v>5.0226944689946131E-2</v>
      </c>
      <c r="I15" s="7">
        <f>$B15 * IFERROR(VLOOKUP("industry|SO2|Work loss days", US_national_yearly!$D:$AM, 17, FALSE) / VLOOKUP("industry|SO2|Work loss days", US_national_yearly!$D:$AM, 10, FALSE), 1)</f>
        <v>5.0528707591663793E-2</v>
      </c>
      <c r="J15" s="7">
        <f>$B15 * IFERROR(VLOOKUP("industry|SO2|Work loss days", US_national_yearly!$D:$AM, 18, FALSE) / VLOOKUP("industry|SO2|Work loss days", US_national_yearly!$D:$AM, 10, FALSE), 1)</f>
        <v>5.0830470493381442E-2</v>
      </c>
      <c r="K15" s="7">
        <f>$B15 * IFERROR(VLOOKUP("industry|SO2|Work loss days", US_national_yearly!$D:$AM, 19, FALSE) / VLOOKUP("industry|SO2|Work loss days", US_national_yearly!$D:$AM, 10, FALSE), 1)</f>
        <v>5.1132233395099091E-2</v>
      </c>
      <c r="L15" s="7">
        <f>$B15 * IFERROR(VLOOKUP("industry|SO2|Work loss days", US_national_yearly!$D:$AM, 20, FALSE) / VLOOKUP("industry|SO2|Work loss days", US_national_yearly!$D:$AM, 10, FALSE), 1)</f>
        <v>5.1433996296816754E-2</v>
      </c>
      <c r="M15" s="7">
        <f>$B15 * IFERROR(VLOOKUP("industry|SO2|Work loss days", US_national_yearly!$D:$AM, 21, FALSE) / VLOOKUP("industry|SO2|Work loss days", US_national_yearly!$D:$AM, 10, FALSE), 1)</f>
        <v>5.1735759198534396E-2</v>
      </c>
      <c r="N15" s="7">
        <f>$B15 * IFERROR(VLOOKUP("industry|SO2|Work loss days", US_national_yearly!$D:$AM, 22, FALSE) / VLOOKUP("industry|SO2|Work loss days", US_national_yearly!$D:$AM, 10, FALSE), 1)</f>
        <v>5.2115030740660484E-2</v>
      </c>
      <c r="O15" s="7">
        <f>$B15 * IFERROR(VLOOKUP("industry|SO2|Work loss days", US_national_yearly!$D:$AM, 23, FALSE) / VLOOKUP("industry|SO2|Work loss days", US_national_yearly!$D:$AM, 10, FALSE), 1)</f>
        <v>5.2494302282786572E-2</v>
      </c>
      <c r="P15" s="7">
        <f>$B15 * IFERROR(VLOOKUP("industry|SO2|Work loss days", US_national_yearly!$D:$AM, 24, FALSE) / VLOOKUP("industry|SO2|Work loss days", US_national_yearly!$D:$AM, 10, FALSE), 1)</f>
        <v>5.2873573824912659E-2</v>
      </c>
      <c r="Q15" s="7">
        <f>$B15 * IFERROR(VLOOKUP("industry|SO2|Work loss days", US_national_yearly!$D:$AM, 25, FALSE) / VLOOKUP("industry|SO2|Work loss days", US_national_yearly!$D:$AM, 10, FALSE), 1)</f>
        <v>5.325284536703874E-2</v>
      </c>
      <c r="R15" s="7">
        <f>$B15 * IFERROR(VLOOKUP("industry|SO2|Work loss days", US_national_yearly!$D:$AM, 26, FALSE) / VLOOKUP("industry|SO2|Work loss days", US_national_yearly!$D:$AM, 10, FALSE), 1)</f>
        <v>5.3632116909164827E-2</v>
      </c>
      <c r="S15" s="7">
        <f>$B15 * IFERROR(VLOOKUP("industry|SO2|Work loss days", US_national_yearly!$D:$AM, 27, FALSE) / VLOOKUP("industry|SO2|Work loss days", US_national_yearly!$D:$AM, 10, FALSE), 1)</f>
        <v>5.4056506134030145E-2</v>
      </c>
      <c r="T15" s="7">
        <f>$B15 * IFERROR(VLOOKUP("industry|SO2|Work loss days", US_national_yearly!$D:$AM, 28, FALSE) / VLOOKUP("industry|SO2|Work loss days", US_national_yearly!$D:$AM, 10, FALSE), 1)</f>
        <v>5.4480895358895484E-2</v>
      </c>
      <c r="U15" s="7">
        <f>$B15 * IFERROR(VLOOKUP("industry|SO2|Work loss days", US_national_yearly!$D:$AM, 29, FALSE) / VLOOKUP("industry|SO2|Work loss days", US_national_yearly!$D:$AM, 10, FALSE), 1)</f>
        <v>5.4905284583760823E-2</v>
      </c>
      <c r="V15" s="7">
        <f>$B15 * IFERROR(VLOOKUP("industry|SO2|Work loss days", US_national_yearly!$D:$AM, 30, FALSE) / VLOOKUP("industry|SO2|Work loss days", US_national_yearly!$D:$AM, 10, FALSE), 1)</f>
        <v>5.5329673808626148E-2</v>
      </c>
      <c r="W15" s="7">
        <f>$B15 * IFERROR(VLOOKUP("industry|SO2|Work loss days", US_national_yearly!$D:$AM, 31, FALSE) / VLOOKUP("industry|SO2|Work loss days", US_national_yearly!$D:$AM, 10, FALSE), 1)</f>
        <v>5.575406303349148E-2</v>
      </c>
      <c r="X15" s="7">
        <f>$B15 * IFERROR(VLOOKUP("industry|SO2|Work loss days", US_national_yearly!$D:$AM, 32, FALSE) / VLOOKUP("industry|SO2|Work loss days", US_national_yearly!$D:$AM, 10, FALSE), 1)</f>
        <v>5.613523793162474E-2</v>
      </c>
      <c r="Y15" s="7">
        <f>$B15 * IFERROR(VLOOKUP("industry|SO2|Work loss days", US_national_yearly!$D:$AM, 33, FALSE) / VLOOKUP("industry|SO2|Work loss days", US_national_yearly!$D:$AM, 10, FALSE), 1)</f>
        <v>5.6516412829758014E-2</v>
      </c>
      <c r="Z15" s="7">
        <f>$B15 * IFERROR(VLOOKUP("industry|SO2|Work loss days", US_national_yearly!$D:$AM, 34, FALSE) / VLOOKUP("industry|SO2|Work loss days", US_national_yearly!$D:$AM, 10, FALSE), 1)</f>
        <v>5.6897587727891268E-2</v>
      </c>
      <c r="AA15" s="7">
        <f>$B15 * IFERROR(VLOOKUP("industry|SO2|Work loss days", US_national_yearly!$D:$AM, 35, FALSE) / VLOOKUP("industry|SO2|Work loss days", US_national_yearly!$D:$AM, 10, FALSE), 1)</f>
        <v>5.7278762626024542E-2</v>
      </c>
      <c r="AB15" s="7">
        <f>$B15 * IFERROR(VLOOKUP("industry|SO2|Work loss days", US_national_yearly!$D:$AM, 36, FALSE) / VLOOKUP("industry|SO2|Work loss days", US_national_yearly!$D:$AM, 10, FALSE), 1)</f>
        <v>5.7659937524157802E-2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7.8962061800722533E-5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8.1349653180663416E-5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8.3737244560604313E-5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8.612483594054521E-5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8.851242732048612E-5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9.0800601044943265E-5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9.308877476940041E-5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9.505210794888564E-5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9.7015441128370898E-5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9.8978774307856141E-5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1.009421074873414E-4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1.0290544066682663E-4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1.042245143227921E-4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1.0554358797875758E-4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1.0686266163472302E-4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1.081817352906885E-4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1.0950080894665397E-4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1.1019828395754173E-4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1.1089575896842954E-4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1.1159323397931731E-4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1.1229070899020511E-4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1.1298818400109288E-4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1.1345986203510566E-4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1.1393154006911842E-4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1.1440321810313121E-4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1.1487489613714398E-4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1.1534657417115675E-4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6.8314413747205057E-4</v>
      </c>
      <c r="C2" s="7">
        <f>$B2 * IFERROR(VLOOKUP("LULUCF|PM25|Premature mortality", US_national_yearly!$D:$AM, 11, FALSE) / VLOOKUP("LULUCF|PM25|Premature mortality", US_national_yearly!$D:$AM, 10, FALSE), 1)</f>
        <v>6.9161362767579924E-4</v>
      </c>
      <c r="D2" s="7">
        <f>$B2 * IFERROR(VLOOKUP("LULUCF|PM25|Premature mortality", US_national_yearly!$D:$AM, 12, FALSE) / VLOOKUP("LULUCF|PM25|Premature mortality", US_national_yearly!$D:$AM, 10, FALSE), 1)</f>
        <v>7.0008311787954781E-4</v>
      </c>
      <c r="E2" s="7">
        <f>$B2 * IFERROR(VLOOKUP("LULUCF|PM25|Premature mortality", US_national_yearly!$D:$AM, 13, FALSE) / VLOOKUP("LULUCF|PM25|Premature mortality", US_national_yearly!$D:$AM, 10, FALSE), 1)</f>
        <v>7.0855260808329627E-4</v>
      </c>
      <c r="F2" s="7">
        <f>$B2 * IFERROR(VLOOKUP("LULUCF|PM25|Premature mortality", US_national_yearly!$D:$AM, 14, FALSE) / VLOOKUP("LULUCF|PM25|Premature mortality", US_national_yearly!$D:$AM, 10, FALSE), 1)</f>
        <v>7.1702209828704484E-4</v>
      </c>
      <c r="G2" s="7">
        <f>$B2 * IFERROR(VLOOKUP("LULUCF|PM25|Premature mortality", US_national_yearly!$D:$AM, 15, FALSE) / VLOOKUP("LULUCF|PM25|Premature mortality", US_national_yearly!$D:$AM, 10, FALSE), 1)</f>
        <v>7.3351636658346207E-4</v>
      </c>
      <c r="H2" s="7">
        <f>$B2 * IFERROR(VLOOKUP("LULUCF|PM25|Premature mortality", US_national_yearly!$D:$AM, 16, FALSE) / VLOOKUP("LULUCF|PM25|Premature mortality", US_national_yearly!$D:$AM, 10, FALSE), 1)</f>
        <v>7.5001063487987942E-4</v>
      </c>
      <c r="I2" s="7">
        <f>$B2 * IFERROR(VLOOKUP("LULUCF|PM25|Premature mortality", US_national_yearly!$D:$AM, 17, FALSE) / VLOOKUP("LULUCF|PM25|Premature mortality", US_national_yearly!$D:$AM, 10, FALSE), 1)</f>
        <v>7.6084476462542406E-4</v>
      </c>
      <c r="J2" s="7">
        <f>$B2 * IFERROR(VLOOKUP("LULUCF|PM25|Premature mortality", US_national_yearly!$D:$AM, 18, FALSE) / VLOOKUP("LULUCF|PM25|Premature mortality", US_national_yearly!$D:$AM, 10, FALSE), 1)</f>
        <v>7.7167889437096903E-4</v>
      </c>
      <c r="K2" s="7">
        <f>$B2 * IFERROR(VLOOKUP("LULUCF|PM25|Premature mortality", US_national_yearly!$D:$AM, 19, FALSE) / VLOOKUP("LULUCF|PM25|Premature mortality", US_national_yearly!$D:$AM, 10, FALSE), 1)</f>
        <v>7.8251302411651378E-4</v>
      </c>
      <c r="L2" s="7">
        <f>$B2 * IFERROR(VLOOKUP("LULUCF|PM25|Premature mortality", US_national_yearly!$D:$AM, 20, FALSE) / VLOOKUP("LULUCF|PM25|Premature mortality", US_national_yearly!$D:$AM, 10, FALSE), 1)</f>
        <v>7.9334715386205875E-4</v>
      </c>
      <c r="M2" s="7">
        <f>$B2 * IFERROR(VLOOKUP("LULUCF|PM25|Premature mortality", US_national_yearly!$D:$AM, 21, FALSE) / VLOOKUP("LULUCF|PM25|Premature mortality", US_national_yearly!$D:$AM, 10, FALSE), 1)</f>
        <v>8.041812836076035E-4</v>
      </c>
      <c r="N2" s="7">
        <f>$B2 * IFERROR(VLOOKUP("LULUCF|PM25|Premature mortality", US_national_yearly!$D:$AM, 22, FALSE) / VLOOKUP("LULUCF|PM25|Premature mortality", US_national_yearly!$D:$AM, 10, FALSE), 1)</f>
        <v>8.1259329582723859E-4</v>
      </c>
      <c r="O2" s="7">
        <f>$B2 * IFERROR(VLOOKUP("LULUCF|PM25|Premature mortality", US_national_yearly!$D:$AM, 23, FALSE) / VLOOKUP("LULUCF|PM25|Premature mortality", US_national_yearly!$D:$AM, 10, FALSE), 1)</f>
        <v>8.2100530804687369E-4</v>
      </c>
      <c r="P2" s="7">
        <f>$B2 * IFERROR(VLOOKUP("LULUCF|PM25|Premature mortality", US_national_yearly!$D:$AM, 24, FALSE) / VLOOKUP("LULUCF|PM25|Premature mortality", US_national_yearly!$D:$AM, 10, FALSE), 1)</f>
        <v>8.2941732026650867E-4</v>
      </c>
      <c r="Q2" s="7">
        <f>$B2 * IFERROR(VLOOKUP("LULUCF|PM25|Premature mortality", US_national_yearly!$D:$AM, 25, FALSE) / VLOOKUP("LULUCF|PM25|Premature mortality", US_national_yearly!$D:$AM, 10, FALSE), 1)</f>
        <v>8.3782933248614376E-4</v>
      </c>
      <c r="R2" s="7">
        <f>$B2 * IFERROR(VLOOKUP("LULUCF|PM25|Premature mortality", US_national_yearly!$D:$AM, 26, FALSE) / VLOOKUP("LULUCF|PM25|Premature mortality", US_national_yearly!$D:$AM, 10, FALSE), 1)</f>
        <v>8.4624134470577897E-4</v>
      </c>
      <c r="S2" s="7">
        <f>$B2 * IFERROR(VLOOKUP("LULUCF|PM25|Premature mortality", US_national_yearly!$D:$AM, 27, FALSE) / VLOOKUP("LULUCF|PM25|Premature mortality", US_national_yearly!$D:$AM, 10, FALSE), 1)</f>
        <v>8.5069777885052832E-4</v>
      </c>
      <c r="T2" s="7">
        <f>$B2 * IFERROR(VLOOKUP("LULUCF|PM25|Premature mortality", US_national_yearly!$D:$AM, 28, FALSE) / VLOOKUP("LULUCF|PM25|Premature mortality", US_national_yearly!$D:$AM, 10, FALSE), 1)</f>
        <v>8.5515421299527745E-4</v>
      </c>
      <c r="U2" s="7">
        <f>$B2 * IFERROR(VLOOKUP("LULUCF|PM25|Premature mortality", US_national_yearly!$D:$AM, 29, FALSE) / VLOOKUP("LULUCF|PM25|Premature mortality", US_national_yearly!$D:$AM, 10, FALSE), 1)</f>
        <v>8.5961064714002659E-4</v>
      </c>
      <c r="V2" s="7">
        <f>$B2 * IFERROR(VLOOKUP("LULUCF|PM25|Premature mortality", US_national_yearly!$D:$AM, 30, FALSE) / VLOOKUP("LULUCF|PM25|Premature mortality", US_national_yearly!$D:$AM, 10, FALSE), 1)</f>
        <v>8.6406708128477583E-4</v>
      </c>
      <c r="W2" s="7">
        <f>$B2 * IFERROR(VLOOKUP("LULUCF|PM25|Premature mortality", US_national_yearly!$D:$AM, 31, FALSE) / VLOOKUP("LULUCF|PM25|Premature mortality", US_national_yearly!$D:$AM, 10, FALSE), 1)</f>
        <v>8.6852351542952497E-4</v>
      </c>
      <c r="X2" s="7">
        <f>$B2 * IFERROR(VLOOKUP("LULUCF|PM25|Premature mortality", US_national_yearly!$D:$AM, 32, FALSE) / VLOOKUP("LULUCF|PM25|Premature mortality", US_national_yearly!$D:$AM, 10, FALSE), 1)</f>
        <v>8.693027574126406E-4</v>
      </c>
      <c r="Y2" s="7">
        <f>$B2 * IFERROR(VLOOKUP("LULUCF|PM25|Premature mortality", US_national_yearly!$D:$AM, 33, FALSE) / VLOOKUP("LULUCF|PM25|Premature mortality", US_national_yearly!$D:$AM, 10, FALSE), 1)</f>
        <v>8.7008199939575634E-4</v>
      </c>
      <c r="Z2" s="7">
        <f>$B2 * IFERROR(VLOOKUP("LULUCF|PM25|Premature mortality", US_national_yearly!$D:$AM, 34, FALSE) / VLOOKUP("LULUCF|PM25|Premature mortality", US_national_yearly!$D:$AM, 10, FALSE), 1)</f>
        <v>8.7086124137887198E-4</v>
      </c>
      <c r="AA2" s="7">
        <f>$B2 * IFERROR(VLOOKUP("LULUCF|PM25|Premature mortality", US_national_yearly!$D:$AM, 35, FALSE) / VLOOKUP("LULUCF|PM25|Premature mortality", US_national_yearly!$D:$AM, 10, FALSE), 1)</f>
        <v>8.7164048336198772E-4</v>
      </c>
      <c r="AB2" s="7">
        <f>$B2 * IFERROR(VLOOKUP("LULUCF|PM25|Premature mortality", US_national_yearly!$D:$AM, 36, FALSE) / VLOOKUP("LULUCF|PM25|Premature mortality", US_national_yearly!$D:$AM, 10, FALSE), 1)</f>
        <v>8.7241972534510325E-4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1.1565792027526485E-6</v>
      </c>
      <c r="C3" s="7">
        <f>$B3 * IFERROR(VLOOKUP("LULUCF|PM25|Infant mortality", US_national_yearly!$D:$AM, 11, FALSE) / VLOOKUP("LULUCF|PM25|Infant mortality", US_national_yearly!$D:$AM, 10, FALSE), 1)</f>
        <v>1.1464948874906906E-6</v>
      </c>
      <c r="D3" s="7">
        <f>$B3 * IFERROR(VLOOKUP("LULUCF|PM25|Infant mortality", US_national_yearly!$D:$AM, 12, FALSE) / VLOOKUP("LULUCF|PM25|Infant mortality", US_national_yearly!$D:$AM, 10, FALSE), 1)</f>
        <v>1.1364105722287324E-6</v>
      </c>
      <c r="E3" s="7">
        <f>$B3 * IFERROR(VLOOKUP("LULUCF|PM25|Infant mortality", US_national_yearly!$D:$AM, 13, FALSE) / VLOOKUP("LULUCF|PM25|Infant mortality", US_national_yearly!$D:$AM, 10, FALSE), 1)</f>
        <v>1.1263262569667745E-6</v>
      </c>
      <c r="F3" s="7">
        <f>$B3 * IFERROR(VLOOKUP("LULUCF|PM25|Infant mortality", US_national_yearly!$D:$AM, 14, FALSE) / VLOOKUP("LULUCF|PM25|Infant mortality", US_national_yearly!$D:$AM, 10, FALSE), 1)</f>
        <v>1.1162419417048161E-6</v>
      </c>
      <c r="G3" s="7">
        <f>$B3 * IFERROR(VLOOKUP("LULUCF|PM25|Infant mortality", US_national_yearly!$D:$AM, 15, FALSE) / VLOOKUP("LULUCF|PM25|Infant mortality", US_national_yearly!$D:$AM, 10, FALSE), 1)</f>
        <v>7.4236060119862753E-7</v>
      </c>
      <c r="H3" s="7">
        <f>$B3 * IFERROR(VLOOKUP("LULUCF|PM25|Infant mortality", US_national_yearly!$D:$AM, 16, FALSE) / VLOOKUP("LULUCF|PM25|Infant mortality", US_national_yearly!$D:$AM, 10, FALSE), 1)</f>
        <v>3.6847926069243857E-7</v>
      </c>
      <c r="I3" s="7">
        <f>$B3 * IFERROR(VLOOKUP("LULUCF|PM25|Infant mortality", US_national_yearly!$D:$AM, 17, FALSE) / VLOOKUP("LULUCF|PM25|Infant mortality", US_national_yearly!$D:$AM, 10, FALSE), 1)</f>
        <v>3.6607064005035636E-7</v>
      </c>
      <c r="J3" s="7">
        <f>$B3 * IFERROR(VLOOKUP("LULUCF|PM25|Infant mortality", US_national_yearly!$D:$AM, 18, FALSE) / VLOOKUP("LULUCF|PM25|Infant mortality", US_national_yearly!$D:$AM, 10, FALSE), 1)</f>
        <v>3.636620194082741E-7</v>
      </c>
      <c r="K3" s="7">
        <f>$B3 * IFERROR(VLOOKUP("LULUCF|PM25|Infant mortality", US_national_yearly!$D:$AM, 19, FALSE) / VLOOKUP("LULUCF|PM25|Infant mortality", US_national_yearly!$D:$AM, 10, FALSE), 1)</f>
        <v>3.6125339876619183E-7</v>
      </c>
      <c r="L3" s="7">
        <f>$B3 * IFERROR(VLOOKUP("LULUCF|PM25|Infant mortality", US_national_yearly!$D:$AM, 20, FALSE) / VLOOKUP("LULUCF|PM25|Infant mortality", US_national_yearly!$D:$AM, 10, FALSE), 1)</f>
        <v>3.5884477812410967E-7</v>
      </c>
      <c r="M3" s="7">
        <f>$B3 * IFERROR(VLOOKUP("LULUCF|PM25|Infant mortality", US_national_yearly!$D:$AM, 21, FALSE) / VLOOKUP("LULUCF|PM25|Infant mortality", US_national_yearly!$D:$AM, 10, FALSE), 1)</f>
        <v>3.5643615748202746E-7</v>
      </c>
      <c r="N3" s="7">
        <f>$B3 * IFERROR(VLOOKUP("LULUCF|PM25|Infant mortality", US_national_yearly!$D:$AM, 22, FALSE) / VLOOKUP("LULUCF|PM25|Infant mortality", US_national_yearly!$D:$AM, 10, FALSE), 1)</f>
        <v>3.5492327705845145E-7</v>
      </c>
      <c r="O3" s="7">
        <f>$B3 * IFERROR(VLOOKUP("LULUCF|PM25|Infant mortality", US_national_yearly!$D:$AM, 23, FALSE) / VLOOKUP("LULUCF|PM25|Infant mortality", US_national_yearly!$D:$AM, 10, FALSE), 1)</f>
        <v>3.5341039663487554E-7</v>
      </c>
      <c r="P3" s="7">
        <f>$B3 * IFERROR(VLOOKUP("LULUCF|PM25|Infant mortality", US_national_yearly!$D:$AM, 24, FALSE) / VLOOKUP("LULUCF|PM25|Infant mortality", US_national_yearly!$D:$AM, 10, FALSE), 1)</f>
        <v>3.5189751621129953E-7</v>
      </c>
      <c r="Q3" s="7">
        <f>$B3 * IFERROR(VLOOKUP("LULUCF|PM25|Infant mortality", US_national_yearly!$D:$AM, 25, FALSE) / VLOOKUP("LULUCF|PM25|Infant mortality", US_national_yearly!$D:$AM, 10, FALSE), 1)</f>
        <v>3.5038463578772362E-7</v>
      </c>
      <c r="R3" s="7">
        <f>$B3 * IFERROR(VLOOKUP("LULUCF|PM25|Infant mortality", US_national_yearly!$D:$AM, 26, FALSE) / VLOOKUP("LULUCF|PM25|Infant mortality", US_national_yearly!$D:$AM, 10, FALSE), 1)</f>
        <v>3.4887175536414766E-7</v>
      </c>
      <c r="S3" s="7">
        <f>$B3 * IFERROR(VLOOKUP("LULUCF|PM25|Infant mortality", US_national_yearly!$D:$AM, 27, FALSE) / VLOOKUP("LULUCF|PM25|Infant mortality", US_national_yearly!$D:$AM, 10, FALSE), 1)</f>
        <v>3.469859189829014E-7</v>
      </c>
      <c r="T3" s="7">
        <f>$B3 * IFERROR(VLOOKUP("LULUCF|PM25|Infant mortality", US_national_yearly!$D:$AM, 28, FALSE) / VLOOKUP("LULUCF|PM25|Infant mortality", US_national_yearly!$D:$AM, 10, FALSE), 1)</f>
        <v>3.4510008260165509E-7</v>
      </c>
      <c r="U3" s="7">
        <f>$B3 * IFERROR(VLOOKUP("LULUCF|PM25|Infant mortality", US_national_yearly!$D:$AM, 29, FALSE) / VLOOKUP("LULUCF|PM25|Infant mortality", US_national_yearly!$D:$AM, 10, FALSE), 1)</f>
        <v>3.4321424622040889E-7</v>
      </c>
      <c r="V3" s="7">
        <f>$B3 * IFERROR(VLOOKUP("LULUCF|PM25|Infant mortality", US_national_yearly!$D:$AM, 30, FALSE) / VLOOKUP("LULUCF|PM25|Infant mortality", US_national_yearly!$D:$AM, 10, FALSE), 1)</f>
        <v>3.4132840983916263E-7</v>
      </c>
      <c r="W3" s="7">
        <f>$B3 * IFERROR(VLOOKUP("LULUCF|PM25|Infant mortality", US_national_yearly!$D:$AM, 31, FALSE) / VLOOKUP("LULUCF|PM25|Infant mortality", US_national_yearly!$D:$AM, 10, FALSE), 1)</f>
        <v>3.3944257345791632E-7</v>
      </c>
      <c r="X3" s="7">
        <f>$B3 * IFERROR(VLOOKUP("LULUCF|PM25|Infant mortality", US_national_yearly!$D:$AM, 32, FALSE) / VLOOKUP("LULUCF|PM25|Infant mortality", US_national_yearly!$D:$AM, 10, FALSE), 1)</f>
        <v>3.3740940481416654E-7</v>
      </c>
      <c r="Y3" s="7">
        <f>$B3 * IFERROR(VLOOKUP("LULUCF|PM25|Infant mortality", US_national_yearly!$D:$AM, 33, FALSE) / VLOOKUP("LULUCF|PM25|Infant mortality", US_national_yearly!$D:$AM, 10, FALSE), 1)</f>
        <v>3.353762361704166E-7</v>
      </c>
      <c r="Z3" s="7">
        <f>$B3 * IFERROR(VLOOKUP("LULUCF|PM25|Infant mortality", US_national_yearly!$D:$AM, 34, FALSE) / VLOOKUP("LULUCF|PM25|Infant mortality", US_national_yearly!$D:$AM, 10, FALSE), 1)</f>
        <v>3.3334306752666677E-7</v>
      </c>
      <c r="AA3" s="7">
        <f>$B3 * IFERROR(VLOOKUP("LULUCF|PM25|Infant mortality", US_national_yearly!$D:$AM, 35, FALSE) / VLOOKUP("LULUCF|PM25|Infant mortality", US_national_yearly!$D:$AM, 10, FALSE), 1)</f>
        <v>3.3130989888291694E-7</v>
      </c>
      <c r="AB3" s="7">
        <f>$B3 * IFERROR(VLOOKUP("LULUCF|PM25|Infant mortality", US_national_yearly!$D:$AM, 36, FALSE) / VLOOKUP("LULUCF|PM25|Infant mortality", US_national_yearly!$D:$AM, 10, FALSE), 1)</f>
        <v>3.292767302391671E-7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1.588613700014354E-3</v>
      </c>
      <c r="C6" s="7">
        <f>$B6 * IFERROR(VLOOKUP("LULUCF|PM25|Asthma symptoms cough", US_national_yearly!$D:$AM, 11, FALSE) / VLOOKUP("LULUCF|PM25|Asthma symptoms cough", US_national_yearly!$D:$AM, 10, FALSE), 1)</f>
        <v>1.588613700014354E-3</v>
      </c>
      <c r="D6" s="7">
        <f>$B6 * IFERROR(VLOOKUP("LULUCF|PM25|Asthma symptoms cough", US_national_yearly!$D:$AM, 12, FALSE) / VLOOKUP("LULUCF|PM25|Asthma symptoms cough", US_national_yearly!$D:$AM, 10, FALSE), 1)</f>
        <v>1.588613700014354E-3</v>
      </c>
      <c r="E6" s="7">
        <f>$B6 * IFERROR(VLOOKUP("LULUCF|PM25|Asthma symptoms cough", US_national_yearly!$D:$AM, 13, FALSE) / VLOOKUP("LULUCF|PM25|Asthma symptoms cough", US_national_yearly!$D:$AM, 10, FALSE), 1)</f>
        <v>1.588613700014354E-3</v>
      </c>
      <c r="F6" s="7">
        <f>$B6 * IFERROR(VLOOKUP("LULUCF|PM25|Asthma symptoms cough", US_national_yearly!$D:$AM, 14, FALSE) / VLOOKUP("LULUCF|PM25|Asthma symptoms cough", US_national_yearly!$D:$AM, 10, FALSE), 1)</f>
        <v>1.588613700014354E-3</v>
      </c>
      <c r="G6" s="7">
        <f>$B6 * IFERROR(VLOOKUP("LULUCF|PM25|Asthma symptoms cough", US_national_yearly!$D:$AM, 15, FALSE) / VLOOKUP("LULUCF|PM25|Asthma symptoms cough", US_national_yearly!$D:$AM, 10, FALSE), 1)</f>
        <v>1.588613700014354E-3</v>
      </c>
      <c r="H6" s="7">
        <f>$B6 * IFERROR(VLOOKUP("LULUCF|PM25|Asthma symptoms cough", US_national_yearly!$D:$AM, 16, FALSE) / VLOOKUP("LULUCF|PM25|Asthma symptoms cough", US_national_yearly!$D:$AM, 10, FALSE), 1)</f>
        <v>1.588613700014354E-3</v>
      </c>
      <c r="I6" s="7">
        <f>$B6 * IFERROR(VLOOKUP("LULUCF|PM25|Asthma symptoms cough", US_national_yearly!$D:$AM, 17, FALSE) / VLOOKUP("LULUCF|PM25|Asthma symptoms cough", US_national_yearly!$D:$AM, 10, FALSE), 1)</f>
        <v>1.588613700014354E-3</v>
      </c>
      <c r="J6" s="7">
        <f>$B6 * IFERROR(VLOOKUP("LULUCF|PM25|Asthma symptoms cough", US_national_yearly!$D:$AM, 18, FALSE) / VLOOKUP("LULUCF|PM25|Asthma symptoms cough", US_national_yearly!$D:$AM, 10, FALSE), 1)</f>
        <v>1.588613700014354E-3</v>
      </c>
      <c r="K6" s="7">
        <f>$B6 * IFERROR(VLOOKUP("LULUCF|PM25|Asthma symptoms cough", US_national_yearly!$D:$AM, 19, FALSE) / VLOOKUP("LULUCF|PM25|Asthma symptoms cough", US_national_yearly!$D:$AM, 10, FALSE), 1)</f>
        <v>1.588613700014354E-3</v>
      </c>
      <c r="L6" s="7">
        <f>$B6 * IFERROR(VLOOKUP("LULUCF|PM25|Asthma symptoms cough", US_national_yearly!$D:$AM, 20, FALSE) / VLOOKUP("LULUCF|PM25|Asthma symptoms cough", US_national_yearly!$D:$AM, 10, FALSE), 1)</f>
        <v>1.588613700014354E-3</v>
      </c>
      <c r="M6" s="7">
        <f>$B6 * IFERROR(VLOOKUP("LULUCF|PM25|Asthma symptoms cough", US_national_yearly!$D:$AM, 21, FALSE) / VLOOKUP("LULUCF|PM25|Asthma symptoms cough", US_national_yearly!$D:$AM, 10, FALSE), 1)</f>
        <v>1.588613700014354E-3</v>
      </c>
      <c r="N6" s="7">
        <f>$B6 * IFERROR(VLOOKUP("LULUCF|PM25|Asthma symptoms cough", US_national_yearly!$D:$AM, 22, FALSE) / VLOOKUP("LULUCF|PM25|Asthma symptoms cough", US_national_yearly!$D:$AM, 10, FALSE), 1)</f>
        <v>1.588613700014354E-3</v>
      </c>
      <c r="O6" s="7">
        <f>$B6 * IFERROR(VLOOKUP("LULUCF|PM25|Asthma symptoms cough", US_national_yearly!$D:$AM, 23, FALSE) / VLOOKUP("LULUCF|PM25|Asthma symptoms cough", US_national_yearly!$D:$AM, 10, FALSE), 1)</f>
        <v>1.588613700014354E-3</v>
      </c>
      <c r="P6" s="7">
        <f>$B6 * IFERROR(VLOOKUP("LULUCF|PM25|Asthma symptoms cough", US_national_yearly!$D:$AM, 24, FALSE) / VLOOKUP("LULUCF|PM25|Asthma symptoms cough", US_national_yearly!$D:$AM, 10, FALSE), 1)</f>
        <v>1.588613700014354E-3</v>
      </c>
      <c r="Q6" s="7">
        <f>$B6 * IFERROR(VLOOKUP("LULUCF|PM25|Asthma symptoms cough", US_national_yearly!$D:$AM, 25, FALSE) / VLOOKUP("LULUCF|PM25|Asthma symptoms cough", US_national_yearly!$D:$AM, 10, FALSE), 1)</f>
        <v>1.588613700014354E-3</v>
      </c>
      <c r="R6" s="7">
        <f>$B6 * IFERROR(VLOOKUP("LULUCF|PM25|Asthma symptoms cough", US_national_yearly!$D:$AM, 26, FALSE) / VLOOKUP("LULUCF|PM25|Asthma symptoms cough", US_national_yearly!$D:$AM, 10, FALSE), 1)</f>
        <v>1.588613700014354E-3</v>
      </c>
      <c r="S6" s="7">
        <f>$B6 * IFERROR(VLOOKUP("LULUCF|PM25|Asthma symptoms cough", US_national_yearly!$D:$AM, 27, FALSE) / VLOOKUP("LULUCF|PM25|Asthma symptoms cough", US_national_yearly!$D:$AM, 10, FALSE), 1)</f>
        <v>1.588613700014354E-3</v>
      </c>
      <c r="T6" s="7">
        <f>$B6 * IFERROR(VLOOKUP("LULUCF|PM25|Asthma symptoms cough", US_national_yearly!$D:$AM, 28, FALSE) / VLOOKUP("LULUCF|PM25|Asthma symptoms cough", US_national_yearly!$D:$AM, 10, FALSE), 1)</f>
        <v>1.588613700014354E-3</v>
      </c>
      <c r="U6" s="7">
        <f>$B6 * IFERROR(VLOOKUP("LULUCF|PM25|Asthma symptoms cough", US_national_yearly!$D:$AM, 29, FALSE) / VLOOKUP("LULUCF|PM25|Asthma symptoms cough", US_national_yearly!$D:$AM, 10, FALSE), 1)</f>
        <v>1.588613700014354E-3</v>
      </c>
      <c r="V6" s="7">
        <f>$B6 * IFERROR(VLOOKUP("LULUCF|PM25|Asthma symptoms cough", US_national_yearly!$D:$AM, 30, FALSE) / VLOOKUP("LULUCF|PM25|Asthma symptoms cough", US_national_yearly!$D:$AM, 10, FALSE), 1)</f>
        <v>1.588613700014354E-3</v>
      </c>
      <c r="W6" s="7">
        <f>$B6 * IFERROR(VLOOKUP("LULUCF|PM25|Asthma symptoms cough", US_national_yearly!$D:$AM, 31, FALSE) / VLOOKUP("LULUCF|PM25|Asthma symptoms cough", US_national_yearly!$D:$AM, 10, FALSE), 1)</f>
        <v>1.588613700014354E-3</v>
      </c>
      <c r="X6" s="7">
        <f>$B6 * IFERROR(VLOOKUP("LULUCF|PM25|Asthma symptoms cough", US_national_yearly!$D:$AM, 32, FALSE) / VLOOKUP("LULUCF|PM25|Asthma symptoms cough", US_national_yearly!$D:$AM, 10, FALSE), 1)</f>
        <v>1.588613700014354E-3</v>
      </c>
      <c r="Y6" s="7">
        <f>$B6 * IFERROR(VLOOKUP("LULUCF|PM25|Asthma symptoms cough", US_national_yearly!$D:$AM, 33, FALSE) / VLOOKUP("LULUCF|PM25|Asthma symptoms cough", US_national_yearly!$D:$AM, 10, FALSE), 1)</f>
        <v>1.588613700014354E-3</v>
      </c>
      <c r="Z6" s="7">
        <f>$B6 * IFERROR(VLOOKUP("LULUCF|PM25|Asthma symptoms cough", US_national_yearly!$D:$AM, 34, FALSE) / VLOOKUP("LULUCF|PM25|Asthma symptoms cough", US_national_yearly!$D:$AM, 10, FALSE), 1)</f>
        <v>1.588613700014354E-3</v>
      </c>
      <c r="AA6" s="7">
        <f>$B6 * IFERROR(VLOOKUP("LULUCF|PM25|Asthma symptoms cough", US_national_yearly!$D:$AM, 35, FALSE) / VLOOKUP("LULUCF|PM25|Asthma symptoms cough", US_national_yearly!$D:$AM, 10, FALSE), 1)</f>
        <v>1.588613700014354E-3</v>
      </c>
      <c r="AB6" s="7">
        <f>$B6 * IFERROR(VLOOKUP("LULUCF|PM25|Asthma symptoms cough", US_national_yearly!$D:$AM, 36, FALSE) / VLOOKUP("LULUCF|PM25|Asthma symptoms cough", US_national_yearly!$D:$AM, 10, FALSE), 1)</f>
        <v>1.588613700014354E-3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2.1392756440362396E-3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2.1392756440362396E-3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2.1392756440362396E-3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2.1392756440362396E-3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2.1392756440362396E-3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2.1392756440362396E-3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2.1392756440362396E-3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2.1392756440362396E-3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2.1392756440362396E-3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2.1392756440362396E-3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2.1392756440362396E-3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2.1392756440362396E-3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2.1392756440362396E-3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2.1392756440362396E-3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2.1392756440362396E-3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2.1392756440362396E-3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2.1392756440362396E-3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2.1392756440362396E-3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2.1392756440362396E-3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2.1392756440362396E-3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2.1392756440362396E-3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2.1392756440362396E-3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2.1392756440362396E-3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2.1392756440362396E-3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2.1392756440362396E-3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2.1392756440362396E-3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2.1392756440362396E-3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3.2685334255161229E-3</v>
      </c>
      <c r="C8" s="7">
        <f>$B8 * IFERROR(VLOOKUP("LULUCF|PM25|Asthma symptoms wheeze", US_national_yearly!$D:$AM, 11, FALSE) / VLOOKUP("LULUCF|PM25|Asthma symptoms wheeze", US_national_yearly!$D:$AM, 10, FALSE), 1)</f>
        <v>3.2685334255161229E-3</v>
      </c>
      <c r="D8" s="7">
        <f>$B8 * IFERROR(VLOOKUP("LULUCF|PM25|Asthma symptoms wheeze", US_national_yearly!$D:$AM, 12, FALSE) / VLOOKUP("LULUCF|PM25|Asthma symptoms wheeze", US_national_yearly!$D:$AM, 10, FALSE), 1)</f>
        <v>3.2685334255161229E-3</v>
      </c>
      <c r="E8" s="7">
        <f>$B8 * IFERROR(VLOOKUP("LULUCF|PM25|Asthma symptoms wheeze", US_national_yearly!$D:$AM, 13, FALSE) / VLOOKUP("LULUCF|PM25|Asthma symptoms wheeze", US_national_yearly!$D:$AM, 10, FALSE), 1)</f>
        <v>3.2685334255161229E-3</v>
      </c>
      <c r="F8" s="7">
        <f>$B8 * IFERROR(VLOOKUP("LULUCF|PM25|Asthma symptoms wheeze", US_national_yearly!$D:$AM, 14, FALSE) / VLOOKUP("LULUCF|PM25|Asthma symptoms wheeze", US_national_yearly!$D:$AM, 10, FALSE), 1)</f>
        <v>3.2685334255161229E-3</v>
      </c>
      <c r="G8" s="7">
        <f>$B8 * IFERROR(VLOOKUP("LULUCF|PM25|Asthma symptoms wheeze", US_national_yearly!$D:$AM, 15, FALSE) / VLOOKUP("LULUCF|PM25|Asthma symptoms wheeze", US_national_yearly!$D:$AM, 10, FALSE), 1)</f>
        <v>3.2685334255161229E-3</v>
      </c>
      <c r="H8" s="7">
        <f>$B8 * IFERROR(VLOOKUP("LULUCF|PM25|Asthma symptoms wheeze", US_national_yearly!$D:$AM, 16, FALSE) / VLOOKUP("LULUCF|PM25|Asthma symptoms wheeze", US_national_yearly!$D:$AM, 10, FALSE), 1)</f>
        <v>3.2685334255161229E-3</v>
      </c>
      <c r="I8" s="7">
        <f>$B8 * IFERROR(VLOOKUP("LULUCF|PM25|Asthma symptoms wheeze", US_national_yearly!$D:$AM, 17, FALSE) / VLOOKUP("LULUCF|PM25|Asthma symptoms wheeze", US_national_yearly!$D:$AM, 10, FALSE), 1)</f>
        <v>3.2685334255161229E-3</v>
      </c>
      <c r="J8" s="7">
        <f>$B8 * IFERROR(VLOOKUP("LULUCF|PM25|Asthma symptoms wheeze", US_national_yearly!$D:$AM, 18, FALSE) / VLOOKUP("LULUCF|PM25|Asthma symptoms wheeze", US_national_yearly!$D:$AM, 10, FALSE), 1)</f>
        <v>3.2685334255161229E-3</v>
      </c>
      <c r="K8" s="7">
        <f>$B8 * IFERROR(VLOOKUP("LULUCF|PM25|Asthma symptoms wheeze", US_national_yearly!$D:$AM, 19, FALSE) / VLOOKUP("LULUCF|PM25|Asthma symptoms wheeze", US_national_yearly!$D:$AM, 10, FALSE), 1)</f>
        <v>3.2685334255161229E-3</v>
      </c>
      <c r="L8" s="7">
        <f>$B8 * IFERROR(VLOOKUP("LULUCF|PM25|Asthma symptoms wheeze", US_national_yearly!$D:$AM, 20, FALSE) / VLOOKUP("LULUCF|PM25|Asthma symptoms wheeze", US_national_yearly!$D:$AM, 10, FALSE), 1)</f>
        <v>3.2685334255161229E-3</v>
      </c>
      <c r="M8" s="7">
        <f>$B8 * IFERROR(VLOOKUP("LULUCF|PM25|Asthma symptoms wheeze", US_national_yearly!$D:$AM, 21, FALSE) / VLOOKUP("LULUCF|PM25|Asthma symptoms wheeze", US_national_yearly!$D:$AM, 10, FALSE), 1)</f>
        <v>3.2685334255161229E-3</v>
      </c>
      <c r="N8" s="7">
        <f>$B8 * IFERROR(VLOOKUP("LULUCF|PM25|Asthma symptoms wheeze", US_national_yearly!$D:$AM, 22, FALSE) / VLOOKUP("LULUCF|PM25|Asthma symptoms wheeze", US_national_yearly!$D:$AM, 10, FALSE), 1)</f>
        <v>3.2685334255161229E-3</v>
      </c>
      <c r="O8" s="7">
        <f>$B8 * IFERROR(VLOOKUP("LULUCF|PM25|Asthma symptoms wheeze", US_national_yearly!$D:$AM, 23, FALSE) / VLOOKUP("LULUCF|PM25|Asthma symptoms wheeze", US_national_yearly!$D:$AM, 10, FALSE), 1)</f>
        <v>3.2685334255161229E-3</v>
      </c>
      <c r="P8" s="7">
        <f>$B8 * IFERROR(VLOOKUP("LULUCF|PM25|Asthma symptoms wheeze", US_national_yearly!$D:$AM, 24, FALSE) / VLOOKUP("LULUCF|PM25|Asthma symptoms wheeze", US_national_yearly!$D:$AM, 10, FALSE), 1)</f>
        <v>3.2685334255161229E-3</v>
      </c>
      <c r="Q8" s="7">
        <f>$B8 * IFERROR(VLOOKUP("LULUCF|PM25|Asthma symptoms wheeze", US_national_yearly!$D:$AM, 25, FALSE) / VLOOKUP("LULUCF|PM25|Asthma symptoms wheeze", US_national_yearly!$D:$AM, 10, FALSE), 1)</f>
        <v>3.2685334255161229E-3</v>
      </c>
      <c r="R8" s="7">
        <f>$B8 * IFERROR(VLOOKUP("LULUCF|PM25|Asthma symptoms wheeze", US_national_yearly!$D:$AM, 26, FALSE) / VLOOKUP("LULUCF|PM25|Asthma symptoms wheeze", US_national_yearly!$D:$AM, 10, FALSE), 1)</f>
        <v>3.2685334255161229E-3</v>
      </c>
      <c r="S8" s="7">
        <f>$B8 * IFERROR(VLOOKUP("LULUCF|PM25|Asthma symptoms wheeze", US_national_yearly!$D:$AM, 27, FALSE) / VLOOKUP("LULUCF|PM25|Asthma symptoms wheeze", US_national_yearly!$D:$AM, 10, FALSE), 1)</f>
        <v>3.2685334255161229E-3</v>
      </c>
      <c r="T8" s="7">
        <f>$B8 * IFERROR(VLOOKUP("LULUCF|PM25|Asthma symptoms wheeze", US_national_yearly!$D:$AM, 28, FALSE) / VLOOKUP("LULUCF|PM25|Asthma symptoms wheeze", US_national_yearly!$D:$AM, 10, FALSE), 1)</f>
        <v>3.2685334255161229E-3</v>
      </c>
      <c r="U8" s="7">
        <f>$B8 * IFERROR(VLOOKUP("LULUCF|PM25|Asthma symptoms wheeze", US_national_yearly!$D:$AM, 29, FALSE) / VLOOKUP("LULUCF|PM25|Asthma symptoms wheeze", US_national_yearly!$D:$AM, 10, FALSE), 1)</f>
        <v>3.2685334255161229E-3</v>
      </c>
      <c r="V8" s="7">
        <f>$B8 * IFERROR(VLOOKUP("LULUCF|PM25|Asthma symptoms wheeze", US_national_yearly!$D:$AM, 30, FALSE) / VLOOKUP("LULUCF|PM25|Asthma symptoms wheeze", US_national_yearly!$D:$AM, 10, FALSE), 1)</f>
        <v>3.2685334255161229E-3</v>
      </c>
      <c r="W8" s="7">
        <f>$B8 * IFERROR(VLOOKUP("LULUCF|PM25|Asthma symptoms wheeze", US_national_yearly!$D:$AM, 31, FALSE) / VLOOKUP("LULUCF|PM25|Asthma symptoms wheeze", US_national_yearly!$D:$AM, 10, FALSE), 1)</f>
        <v>3.2685334255161229E-3</v>
      </c>
      <c r="X8" s="7">
        <f>$B8 * IFERROR(VLOOKUP("LULUCF|PM25|Asthma symptoms wheeze", US_national_yearly!$D:$AM, 32, FALSE) / VLOOKUP("LULUCF|PM25|Asthma symptoms wheeze", US_national_yearly!$D:$AM, 10, FALSE), 1)</f>
        <v>3.2685334255161229E-3</v>
      </c>
      <c r="Y8" s="7">
        <f>$B8 * IFERROR(VLOOKUP("LULUCF|PM25|Asthma symptoms wheeze", US_national_yearly!$D:$AM, 33, FALSE) / VLOOKUP("LULUCF|PM25|Asthma symptoms wheeze", US_national_yearly!$D:$AM, 10, FALSE), 1)</f>
        <v>3.2685334255161229E-3</v>
      </c>
      <c r="Z8" s="7">
        <f>$B8 * IFERROR(VLOOKUP("LULUCF|PM25|Asthma symptoms wheeze", US_national_yearly!$D:$AM, 34, FALSE) / VLOOKUP("LULUCF|PM25|Asthma symptoms wheeze", US_national_yearly!$D:$AM, 10, FALSE), 1)</f>
        <v>3.2685334255161229E-3</v>
      </c>
      <c r="AA8" s="7">
        <f>$B8 * IFERROR(VLOOKUP("LULUCF|PM25|Asthma symptoms wheeze", US_national_yearly!$D:$AM, 35, FALSE) / VLOOKUP("LULUCF|PM25|Asthma symptoms wheeze", US_national_yearly!$D:$AM, 10, FALSE), 1)</f>
        <v>3.2685334255161229E-3</v>
      </c>
      <c r="AB8" s="7">
        <f>$B8 * IFERROR(VLOOKUP("LULUCF|PM25|Asthma symptoms wheeze", US_national_yearly!$D:$AM, 36, FALSE) / VLOOKUP("LULUCF|PM25|Asthma symptoms wheeze", US_national_yearly!$D:$AM, 10, FALSE), 1)</f>
        <v>3.2685334255161229E-3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3.6563995142214003E-5</v>
      </c>
      <c r="C12" s="7">
        <f>$B12 * IFERROR(VLOOKUP("LULUCF|PM25|Respiratory hospital admissions", US_national_yearly!$D:$AM, 11, FALSE) / VLOOKUP("LULUCF|PM25|Respiratory hospital admissions", US_national_yearly!$D:$AM, 10, FALSE), 1)</f>
        <v>3.6773565224996725E-5</v>
      </c>
      <c r="D12" s="7">
        <f>$B12 * IFERROR(VLOOKUP("LULUCF|PM25|Respiratory hospital admissions", US_national_yearly!$D:$AM, 12, FALSE) / VLOOKUP("LULUCF|PM25|Respiratory hospital admissions", US_national_yearly!$D:$AM, 10, FALSE), 1)</f>
        <v>3.6983135307779434E-5</v>
      </c>
      <c r="E12" s="7">
        <f>$B12 * IFERROR(VLOOKUP("LULUCF|PM25|Respiratory hospital admissions", US_national_yearly!$D:$AM, 13, FALSE) / VLOOKUP("LULUCF|PM25|Respiratory hospital admissions", US_national_yearly!$D:$AM, 10, FALSE), 1)</f>
        <v>3.7192705390562156E-5</v>
      </c>
      <c r="F12" s="7">
        <f>$B12 * IFERROR(VLOOKUP("LULUCF|PM25|Respiratory hospital admissions", US_national_yearly!$D:$AM, 14, FALSE) / VLOOKUP("LULUCF|PM25|Respiratory hospital admissions", US_national_yearly!$D:$AM, 10, FALSE), 1)</f>
        <v>3.7402275473344872E-5</v>
      </c>
      <c r="G12" s="7">
        <f>$B12 * IFERROR(VLOOKUP("LULUCF|PM25|Respiratory hospital admissions", US_national_yearly!$D:$AM, 15, FALSE) / VLOOKUP("LULUCF|PM25|Respiratory hospital admissions", US_national_yearly!$D:$AM, 10, FALSE), 1)</f>
        <v>3.7628620102019862E-5</v>
      </c>
      <c r="H12" s="7">
        <f>$B12 * IFERROR(VLOOKUP("LULUCF|PM25|Respiratory hospital admissions", US_national_yearly!$D:$AM, 16, FALSE) / VLOOKUP("LULUCF|PM25|Respiratory hospital admissions", US_national_yearly!$D:$AM, 10, FALSE), 1)</f>
        <v>3.7854964730694846E-5</v>
      </c>
      <c r="I12" s="7">
        <f>$B12 * IFERROR(VLOOKUP("LULUCF|PM25|Respiratory hospital admissions", US_national_yearly!$D:$AM, 17, FALSE) / VLOOKUP("LULUCF|PM25|Respiratory hospital admissions", US_national_yearly!$D:$AM, 10, FALSE), 1)</f>
        <v>3.8071228423766442E-5</v>
      </c>
      <c r="J12" s="7">
        <f>$B12 * IFERROR(VLOOKUP("LULUCF|PM25|Respiratory hospital admissions", US_national_yearly!$D:$AM, 18, FALSE) / VLOOKUP("LULUCF|PM25|Respiratory hospital admissions", US_national_yearly!$D:$AM, 10, FALSE), 1)</f>
        <v>3.8287492116838045E-5</v>
      </c>
      <c r="K12" s="7">
        <f>$B12 * IFERROR(VLOOKUP("LULUCF|PM25|Respiratory hospital admissions", US_national_yearly!$D:$AM, 19, FALSE) / VLOOKUP("LULUCF|PM25|Respiratory hospital admissions", US_national_yearly!$D:$AM, 10, FALSE), 1)</f>
        <v>3.8503755809909647E-5</v>
      </c>
      <c r="L12" s="7">
        <f>$B12 * IFERROR(VLOOKUP("LULUCF|PM25|Respiratory hospital admissions", US_national_yearly!$D:$AM, 20, FALSE) / VLOOKUP("LULUCF|PM25|Respiratory hospital admissions", US_national_yearly!$D:$AM, 10, FALSE), 1)</f>
        <v>3.872001950298125E-5</v>
      </c>
      <c r="M12" s="7">
        <f>$B12 * IFERROR(VLOOKUP("LULUCF|PM25|Respiratory hospital admissions", US_national_yearly!$D:$AM, 21, FALSE) / VLOOKUP("LULUCF|PM25|Respiratory hospital admissions", US_national_yearly!$D:$AM, 10, FALSE), 1)</f>
        <v>3.8936283196052845E-5</v>
      </c>
      <c r="N12" s="7">
        <f>$B12 * IFERROR(VLOOKUP("LULUCF|PM25|Respiratory hospital admissions", US_national_yearly!$D:$AM, 22, FALSE) / VLOOKUP("LULUCF|PM25|Respiratory hospital admissions", US_national_yearly!$D:$AM, 10, FALSE), 1)</f>
        <v>3.9091501959540443E-5</v>
      </c>
      <c r="O12" s="7">
        <f>$B12 * IFERROR(VLOOKUP("LULUCF|PM25|Respiratory hospital admissions", US_national_yearly!$D:$AM, 23, FALSE) / VLOOKUP("LULUCF|PM25|Respiratory hospital admissions", US_national_yearly!$D:$AM, 10, FALSE), 1)</f>
        <v>3.9246720723028042E-5</v>
      </c>
      <c r="P12" s="7">
        <f>$B12 * IFERROR(VLOOKUP("LULUCF|PM25|Respiratory hospital admissions", US_national_yearly!$D:$AM, 24, FALSE) / VLOOKUP("LULUCF|PM25|Respiratory hospital admissions", US_national_yearly!$D:$AM, 10, FALSE), 1)</f>
        <v>3.9401939486515626E-5</v>
      </c>
      <c r="Q12" s="7">
        <f>$B12 * IFERROR(VLOOKUP("LULUCF|PM25|Respiratory hospital admissions", US_national_yearly!$D:$AM, 25, FALSE) / VLOOKUP("LULUCF|PM25|Respiratory hospital admissions", US_national_yearly!$D:$AM, 10, FALSE), 1)</f>
        <v>3.9557158250003217E-5</v>
      </c>
      <c r="R12" s="7">
        <f>$B12 * IFERROR(VLOOKUP("LULUCF|PM25|Respiratory hospital admissions", US_national_yearly!$D:$AM, 26, FALSE) / VLOOKUP("LULUCF|PM25|Respiratory hospital admissions", US_national_yearly!$D:$AM, 10, FALSE), 1)</f>
        <v>3.9712377013490822E-5</v>
      </c>
      <c r="S12" s="7">
        <f>$B12 * IFERROR(VLOOKUP("LULUCF|PM25|Respiratory hospital admissions", US_national_yearly!$D:$AM, 27, FALSE) / VLOOKUP("LULUCF|PM25|Respiratory hospital admissions", US_national_yearly!$D:$AM, 10, FALSE), 1)</f>
        <v>3.9860165729176877E-5</v>
      </c>
      <c r="T12" s="7">
        <f>$B12 * IFERROR(VLOOKUP("LULUCF|PM25|Respiratory hospital admissions", US_national_yearly!$D:$AM, 28, FALSE) / VLOOKUP("LULUCF|PM25|Respiratory hospital admissions", US_national_yearly!$D:$AM, 10, FALSE), 1)</f>
        <v>4.0007954444862939E-5</v>
      </c>
      <c r="U12" s="7">
        <f>$B12 * IFERROR(VLOOKUP("LULUCF|PM25|Respiratory hospital admissions", US_national_yearly!$D:$AM, 29, FALSE) / VLOOKUP("LULUCF|PM25|Respiratory hospital admissions", US_national_yearly!$D:$AM, 10, FALSE), 1)</f>
        <v>4.0155743160548993E-5</v>
      </c>
      <c r="V12" s="7">
        <f>$B12 * IFERROR(VLOOKUP("LULUCF|PM25|Respiratory hospital admissions", US_national_yearly!$D:$AM, 30, FALSE) / VLOOKUP("LULUCF|PM25|Respiratory hospital admissions", US_national_yearly!$D:$AM, 10, FALSE), 1)</f>
        <v>4.0303531876235048E-5</v>
      </c>
      <c r="W12" s="7">
        <f>$B12 * IFERROR(VLOOKUP("LULUCF|PM25|Respiratory hospital admissions", US_national_yearly!$D:$AM, 31, FALSE) / VLOOKUP("LULUCF|PM25|Respiratory hospital admissions", US_national_yearly!$D:$AM, 10, FALSE), 1)</f>
        <v>4.0451320591921103E-5</v>
      </c>
      <c r="X12" s="7">
        <f>$B12 * IFERROR(VLOOKUP("LULUCF|PM25|Respiratory hospital admissions", US_national_yearly!$D:$AM, 32, FALSE) / VLOOKUP("LULUCF|PM25|Respiratory hospital admissions", US_national_yearly!$D:$AM, 10, FALSE), 1)</f>
        <v>4.0593495221629101E-5</v>
      </c>
      <c r="Y12" s="7">
        <f>$B12 * IFERROR(VLOOKUP("LULUCF|PM25|Respiratory hospital admissions", US_national_yearly!$D:$AM, 33, FALSE) / VLOOKUP("LULUCF|PM25|Respiratory hospital admissions", US_national_yearly!$D:$AM, 10, FALSE), 1)</f>
        <v>4.073566985133708E-5</v>
      </c>
      <c r="Z12" s="7">
        <f>$B12 * IFERROR(VLOOKUP("LULUCF|PM25|Respiratory hospital admissions", US_national_yearly!$D:$AM, 34, FALSE) / VLOOKUP("LULUCF|PM25|Respiratory hospital admissions", US_national_yearly!$D:$AM, 10, FALSE), 1)</f>
        <v>4.0877844481045065E-5</v>
      </c>
      <c r="AA12" s="7">
        <f>$B12 * IFERROR(VLOOKUP("LULUCF|PM25|Respiratory hospital admissions", US_national_yearly!$D:$AM, 35, FALSE) / VLOOKUP("LULUCF|PM25|Respiratory hospital admissions", US_national_yearly!$D:$AM, 10, FALSE), 1)</f>
        <v>4.1020019110753043E-5</v>
      </c>
      <c r="AB12" s="7">
        <f>$B12 * IFERROR(VLOOKUP("LULUCF|PM25|Respiratory hospital admissions", US_national_yearly!$D:$AM, 36, FALSE) / VLOOKUP("LULUCF|PM25|Respiratory hospital admissions", US_national_yearly!$D:$AM, 10, FALSE), 1)</f>
        <v>4.1162193740461028E-5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2.4294275850267989E-4</v>
      </c>
      <c r="C13" s="7">
        <f>$B13 * IFERROR(VLOOKUP("LULUCF|PM25|Non-fatal heart attacks", US_national_yearly!$D:$AM, 11, FALSE) / VLOOKUP("LULUCF|PM25|Non-fatal heart attacks", US_national_yearly!$D:$AM, 10, FALSE), 1)</f>
        <v>2.5000574918864843E-4</v>
      </c>
      <c r="D13" s="7">
        <f>$B13 * IFERROR(VLOOKUP("LULUCF|PM25|Non-fatal heart attacks", US_national_yearly!$D:$AM, 12, FALSE) / VLOOKUP("LULUCF|PM25|Non-fatal heart attacks", US_national_yearly!$D:$AM, 10, FALSE), 1)</f>
        <v>2.5706873987461692E-4</v>
      </c>
      <c r="E13" s="7">
        <f>$B13 * IFERROR(VLOOKUP("LULUCF|PM25|Non-fatal heart attacks", US_national_yearly!$D:$AM, 13, FALSE) / VLOOKUP("LULUCF|PM25|Non-fatal heart attacks", US_national_yearly!$D:$AM, 10, FALSE), 1)</f>
        <v>2.6413173056058541E-4</v>
      </c>
      <c r="F13" s="7">
        <f>$B13 * IFERROR(VLOOKUP("LULUCF|PM25|Non-fatal heart attacks", US_national_yearly!$D:$AM, 14, FALSE) / VLOOKUP("LULUCF|PM25|Non-fatal heart attacks", US_national_yearly!$D:$AM, 10, FALSE), 1)</f>
        <v>2.7119472124655401E-4</v>
      </c>
      <c r="G13" s="7">
        <f>$B13 * IFERROR(VLOOKUP("LULUCF|PM25|Non-fatal heart attacks", US_national_yearly!$D:$AM, 15, FALSE) / VLOOKUP("LULUCF|PM25|Non-fatal heart attacks", US_national_yearly!$D:$AM, 10, FALSE), 1)</f>
        <v>2.7785556797703685E-4</v>
      </c>
      <c r="H13" s="7">
        <f>$B13 * IFERROR(VLOOKUP("LULUCF|PM25|Non-fatal heart attacks", US_national_yearly!$D:$AM, 16, FALSE) / VLOOKUP("LULUCF|PM25|Non-fatal heart attacks", US_national_yearly!$D:$AM, 10, FALSE), 1)</f>
        <v>2.8451641470751964E-4</v>
      </c>
      <c r="I13" s="7">
        <f>$B13 * IFERROR(VLOOKUP("LULUCF|PM25|Non-fatal heart attacks", US_national_yearly!$D:$AM, 17, FALSE) / VLOOKUP("LULUCF|PM25|Non-fatal heart attacks", US_national_yearly!$D:$AM, 10, FALSE), 1)</f>
        <v>2.8986951904873682E-4</v>
      </c>
      <c r="J13" s="7">
        <f>$B13 * IFERROR(VLOOKUP("LULUCF|PM25|Non-fatal heart attacks", US_national_yearly!$D:$AM, 18, FALSE) / VLOOKUP("LULUCF|PM25|Non-fatal heart attacks", US_national_yearly!$D:$AM, 10, FALSE), 1)</f>
        <v>2.9522262338995396E-4</v>
      </c>
      <c r="K13" s="7">
        <f>$B13 * IFERROR(VLOOKUP("LULUCF|PM25|Non-fatal heart attacks", US_national_yearly!$D:$AM, 19, FALSE) / VLOOKUP("LULUCF|PM25|Non-fatal heart attacks", US_national_yearly!$D:$AM, 10, FALSE), 1)</f>
        <v>3.005757277311712E-4</v>
      </c>
      <c r="L13" s="7">
        <f>$B13 * IFERROR(VLOOKUP("LULUCF|PM25|Non-fatal heart attacks", US_national_yearly!$D:$AM, 20, FALSE) / VLOOKUP("LULUCF|PM25|Non-fatal heart attacks", US_national_yearly!$D:$AM, 10, FALSE), 1)</f>
        <v>3.0592883207238833E-4</v>
      </c>
      <c r="M13" s="7">
        <f>$B13 * IFERROR(VLOOKUP("LULUCF|PM25|Non-fatal heart attacks", US_national_yearly!$D:$AM, 21, FALSE) / VLOOKUP("LULUCF|PM25|Non-fatal heart attacks", US_national_yearly!$D:$AM, 10, FALSE), 1)</f>
        <v>3.1128193641360557E-4</v>
      </c>
      <c r="N13" s="7">
        <f>$B13 * IFERROR(VLOOKUP("LULUCF|PM25|Non-fatal heart attacks", US_national_yearly!$D:$AM, 22, FALSE) / VLOOKUP("LULUCF|PM25|Non-fatal heart attacks", US_national_yearly!$D:$AM, 10, FALSE), 1)</f>
        <v>3.1473416011883469E-4</v>
      </c>
      <c r="O13" s="7">
        <f>$B13 * IFERROR(VLOOKUP("LULUCF|PM25|Non-fatal heart attacks", US_national_yearly!$D:$AM, 23, FALSE) / VLOOKUP("LULUCF|PM25|Non-fatal heart attacks", US_national_yearly!$D:$AM, 10, FALSE), 1)</f>
        <v>3.1818638382406387E-4</v>
      </c>
      <c r="P13" s="7">
        <f>$B13 * IFERROR(VLOOKUP("LULUCF|PM25|Non-fatal heart attacks", US_national_yearly!$D:$AM, 24, FALSE) / VLOOKUP("LULUCF|PM25|Non-fatal heart attacks", US_national_yearly!$D:$AM, 10, FALSE), 1)</f>
        <v>3.2163860752929305E-4</v>
      </c>
      <c r="Q13" s="7">
        <f>$B13 * IFERROR(VLOOKUP("LULUCF|PM25|Non-fatal heart attacks", US_national_yearly!$D:$AM, 25, FALSE) / VLOOKUP("LULUCF|PM25|Non-fatal heart attacks", US_national_yearly!$D:$AM, 10, FALSE), 1)</f>
        <v>3.2509083123452223E-4</v>
      </c>
      <c r="R13" s="7">
        <f>$B13 * IFERROR(VLOOKUP("LULUCF|PM25|Non-fatal heart attacks", US_national_yearly!$D:$AM, 26, FALSE) / VLOOKUP("LULUCF|PM25|Non-fatal heart attacks", US_national_yearly!$D:$AM, 10, FALSE), 1)</f>
        <v>3.2854305493975141E-4</v>
      </c>
      <c r="S13" s="7">
        <f>$B13 * IFERROR(VLOOKUP("LULUCF|PM25|Non-fatal heart attacks", US_national_yearly!$D:$AM, 27, FALSE) / VLOOKUP("LULUCF|PM25|Non-fatal heart attacks", US_national_yearly!$D:$AM, 10, FALSE), 1)</f>
        <v>3.3036109457220363E-4</v>
      </c>
      <c r="T13" s="7">
        <f>$B13 * IFERROR(VLOOKUP("LULUCF|PM25|Non-fatal heart attacks", US_national_yearly!$D:$AM, 28, FALSE) / VLOOKUP("LULUCF|PM25|Non-fatal heart attacks", US_national_yearly!$D:$AM, 10, FALSE), 1)</f>
        <v>3.3217913420465595E-4</v>
      </c>
      <c r="U13" s="7">
        <f>$B13 * IFERROR(VLOOKUP("LULUCF|PM25|Non-fatal heart attacks", US_national_yearly!$D:$AM, 29, FALSE) / VLOOKUP("LULUCF|PM25|Non-fatal heart attacks", US_national_yearly!$D:$AM, 10, FALSE), 1)</f>
        <v>3.3399717383710828E-4</v>
      </c>
      <c r="V13" s="7">
        <f>$B13 * IFERROR(VLOOKUP("LULUCF|PM25|Non-fatal heart attacks", US_national_yearly!$D:$AM, 30, FALSE) / VLOOKUP("LULUCF|PM25|Non-fatal heart attacks", US_national_yearly!$D:$AM, 10, FALSE), 1)</f>
        <v>3.3581521346956055E-4</v>
      </c>
      <c r="W13" s="7">
        <f>$B13 * IFERROR(VLOOKUP("LULUCF|PM25|Non-fatal heart attacks", US_national_yearly!$D:$AM, 31, FALSE) / VLOOKUP("LULUCF|PM25|Non-fatal heart attacks", US_national_yearly!$D:$AM, 10, FALSE), 1)</f>
        <v>3.3763325310201276E-4</v>
      </c>
      <c r="X13" s="7">
        <f>$B13 * IFERROR(VLOOKUP("LULUCF|PM25|Non-fatal heart attacks", US_national_yearly!$D:$AM, 32, FALSE) / VLOOKUP("LULUCF|PM25|Non-fatal heart attacks", US_national_yearly!$D:$AM, 10, FALSE), 1)</f>
        <v>3.3901340806617215E-4</v>
      </c>
      <c r="Y13" s="7">
        <f>$B13 * IFERROR(VLOOKUP("LULUCF|PM25|Non-fatal heart attacks", US_national_yearly!$D:$AM, 33, FALSE) / VLOOKUP("LULUCF|PM25|Non-fatal heart attacks", US_national_yearly!$D:$AM, 10, FALSE), 1)</f>
        <v>3.4039356303033154E-4</v>
      </c>
      <c r="Z13" s="7">
        <f>$B13 * IFERROR(VLOOKUP("LULUCF|PM25|Non-fatal heart attacks", US_national_yearly!$D:$AM, 34, FALSE) / VLOOKUP("LULUCF|PM25|Non-fatal heart attacks", US_national_yearly!$D:$AM, 10, FALSE), 1)</f>
        <v>3.4177371799449087E-4</v>
      </c>
      <c r="AA13" s="7">
        <f>$B13 * IFERROR(VLOOKUP("LULUCF|PM25|Non-fatal heart attacks", US_national_yearly!$D:$AM, 35, FALSE) / VLOOKUP("LULUCF|PM25|Non-fatal heart attacks", US_national_yearly!$D:$AM, 10, FALSE), 1)</f>
        <v>3.4315387295865031E-4</v>
      </c>
      <c r="AB13" s="7">
        <f>$B13 * IFERROR(VLOOKUP("LULUCF|PM25|Non-fatal heart attacks", US_national_yearly!$D:$AM, 36, FALSE) / VLOOKUP("LULUCF|PM25|Non-fatal heart attacks", US_national_yearly!$D:$AM, 10, FALSE), 1)</f>
        <v>3.4453402792280965E-4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0.19424627467793151</v>
      </c>
      <c r="C14" s="7">
        <f>$B14 * IFERROR(VLOOKUP("LULUCF|PM25|Minor restricted activity days", US_national_yearly!$D:$AM, 11, FALSE) / VLOOKUP("LULUCF|PM25|Minor restricted activity days", US_national_yearly!$D:$AM, 10, FALSE), 1)</f>
        <v>0.19472064711653242</v>
      </c>
      <c r="D14" s="7">
        <f>$B14 * IFERROR(VLOOKUP("LULUCF|PM25|Minor restricted activity days", US_national_yearly!$D:$AM, 12, FALSE) / VLOOKUP("LULUCF|PM25|Minor restricted activity days", US_national_yearly!$D:$AM, 10, FALSE), 1)</f>
        <v>0.19519501955513333</v>
      </c>
      <c r="E14" s="7">
        <f>$B14 * IFERROR(VLOOKUP("LULUCF|PM25|Minor restricted activity days", US_national_yearly!$D:$AM, 13, FALSE) / VLOOKUP("LULUCF|PM25|Minor restricted activity days", US_national_yearly!$D:$AM, 10, FALSE), 1)</f>
        <v>0.19566939199373426</v>
      </c>
      <c r="F14" s="7">
        <f>$B14 * IFERROR(VLOOKUP("LULUCF|PM25|Minor restricted activity days", US_national_yearly!$D:$AM, 14, FALSE) / VLOOKUP("LULUCF|PM25|Minor restricted activity days", US_national_yearly!$D:$AM, 10, FALSE), 1)</f>
        <v>0.19614376443233514</v>
      </c>
      <c r="G14" s="7">
        <f>$B14 * IFERROR(VLOOKUP("LULUCF|PM25|Minor restricted activity days", US_national_yearly!$D:$AM, 15, FALSE) / VLOOKUP("LULUCF|PM25|Minor restricted activity days", US_national_yearly!$D:$AM, 10, FALSE), 1)</f>
        <v>0.19684368676875394</v>
      </c>
      <c r="H14" s="7">
        <f>$B14 * IFERROR(VLOOKUP("LULUCF|PM25|Minor restricted activity days", US_national_yearly!$D:$AM, 16, FALSE) / VLOOKUP("LULUCF|PM25|Minor restricted activity days", US_national_yearly!$D:$AM, 10, FALSE), 1)</f>
        <v>0.19754360910517274</v>
      </c>
      <c r="I14" s="7">
        <f>$B14 * IFERROR(VLOOKUP("LULUCF|PM25|Minor restricted activity days", US_national_yearly!$D:$AM, 17, FALSE) / VLOOKUP("LULUCF|PM25|Minor restricted activity days", US_national_yearly!$D:$AM, 10, FALSE), 1)</f>
        <v>0.19874015578559487</v>
      </c>
      <c r="J14" s="7">
        <f>$B14 * IFERROR(VLOOKUP("LULUCF|PM25|Minor restricted activity days", US_national_yearly!$D:$AM, 18, FALSE) / VLOOKUP("LULUCF|PM25|Minor restricted activity days", US_national_yearly!$D:$AM, 10, FALSE), 1)</f>
        <v>0.19993670246601689</v>
      </c>
      <c r="K14" s="7">
        <f>$B14 * IFERROR(VLOOKUP("LULUCF|PM25|Minor restricted activity days", US_national_yearly!$D:$AM, 19, FALSE) / VLOOKUP("LULUCF|PM25|Minor restricted activity days", US_national_yearly!$D:$AM, 10, FALSE), 1)</f>
        <v>0.20113324914643899</v>
      </c>
      <c r="L14" s="7">
        <f>$B14 * IFERROR(VLOOKUP("LULUCF|PM25|Minor restricted activity days", US_national_yearly!$D:$AM, 20, FALSE) / VLOOKUP("LULUCF|PM25|Minor restricted activity days", US_national_yearly!$D:$AM, 10, FALSE), 1)</f>
        <v>0.20232979582686106</v>
      </c>
      <c r="M14" s="7">
        <f>$B14 * IFERROR(VLOOKUP("LULUCF|PM25|Minor restricted activity days", US_national_yearly!$D:$AM, 21, FALSE) / VLOOKUP("LULUCF|PM25|Minor restricted activity days", US_national_yearly!$D:$AM, 10, FALSE), 1)</f>
        <v>0.20352634250728313</v>
      </c>
      <c r="N14" s="7">
        <f>$B14 * IFERROR(VLOOKUP("LULUCF|PM25|Minor restricted activity days", US_national_yearly!$D:$AM, 22, FALSE) / VLOOKUP("LULUCF|PM25|Minor restricted activity days", US_national_yearly!$D:$AM, 10, FALSE), 1)</f>
        <v>0.2051562773180384</v>
      </c>
      <c r="O14" s="7">
        <f>$B14 * IFERROR(VLOOKUP("LULUCF|PM25|Minor restricted activity days", US_national_yearly!$D:$AM, 23, FALSE) / VLOOKUP("LULUCF|PM25|Minor restricted activity days", US_national_yearly!$D:$AM, 10, FALSE), 1)</f>
        <v>0.20678621212879361</v>
      </c>
      <c r="P14" s="7">
        <f>$B14 * IFERROR(VLOOKUP("LULUCF|PM25|Minor restricted activity days", US_national_yearly!$D:$AM, 24, FALSE) / VLOOKUP("LULUCF|PM25|Minor restricted activity days", US_national_yearly!$D:$AM, 10, FALSE), 1)</f>
        <v>0.20841614693954888</v>
      </c>
      <c r="Q14" s="7">
        <f>$B14 * IFERROR(VLOOKUP("LULUCF|PM25|Minor restricted activity days", US_national_yearly!$D:$AM, 25, FALSE) / VLOOKUP("LULUCF|PM25|Minor restricted activity days", US_national_yearly!$D:$AM, 10, FALSE), 1)</f>
        <v>0.21004608175030412</v>
      </c>
      <c r="R14" s="7">
        <f>$B14 * IFERROR(VLOOKUP("LULUCF|PM25|Minor restricted activity days", US_national_yearly!$D:$AM, 26, FALSE) / VLOOKUP("LULUCF|PM25|Minor restricted activity days", US_national_yearly!$D:$AM, 10, FALSE), 1)</f>
        <v>0.21167601656105933</v>
      </c>
      <c r="S14" s="7">
        <f>$B14 * IFERROR(VLOOKUP("LULUCF|PM25|Minor restricted activity days", US_national_yearly!$D:$AM, 27, FALSE) / VLOOKUP("LULUCF|PM25|Minor restricted activity days", US_national_yearly!$D:$AM, 10, FALSE), 1)</f>
        <v>0.2133171761987602</v>
      </c>
      <c r="T14" s="7">
        <f>$B14 * IFERROR(VLOOKUP("LULUCF|PM25|Minor restricted activity days", US_national_yearly!$D:$AM, 28, FALSE) / VLOOKUP("LULUCF|PM25|Minor restricted activity days", US_national_yearly!$D:$AM, 10, FALSE), 1)</f>
        <v>0.21495833583646107</v>
      </c>
      <c r="U14" s="7">
        <f>$B14 * IFERROR(VLOOKUP("LULUCF|PM25|Minor restricted activity days", US_national_yearly!$D:$AM, 29, FALSE) / VLOOKUP("LULUCF|PM25|Minor restricted activity days", US_national_yearly!$D:$AM, 10, FALSE), 1)</f>
        <v>0.21659949547416193</v>
      </c>
      <c r="V14" s="7">
        <f>$B14 * IFERROR(VLOOKUP("LULUCF|PM25|Minor restricted activity days", US_national_yearly!$D:$AM, 30, FALSE) / VLOOKUP("LULUCF|PM25|Minor restricted activity days", US_national_yearly!$D:$AM, 10, FALSE), 1)</f>
        <v>0.21824065511186277</v>
      </c>
      <c r="W14" s="7">
        <f>$B14 * IFERROR(VLOOKUP("LULUCF|PM25|Minor restricted activity days", US_national_yearly!$D:$AM, 31, FALSE) / VLOOKUP("LULUCF|PM25|Minor restricted activity days", US_national_yearly!$D:$AM, 10, FALSE), 1)</f>
        <v>0.21988181474956364</v>
      </c>
      <c r="X14" s="7">
        <f>$B14 * IFERROR(VLOOKUP("LULUCF|PM25|Minor restricted activity days", US_national_yearly!$D:$AM, 32, FALSE) / VLOOKUP("LULUCF|PM25|Minor restricted activity days", US_national_yearly!$D:$AM, 10, FALSE), 1)</f>
        <v>0.22130650641888883</v>
      </c>
      <c r="Y14" s="7">
        <f>$B14 * IFERROR(VLOOKUP("LULUCF|PM25|Minor restricted activity days", US_national_yearly!$D:$AM, 33, FALSE) / VLOOKUP("LULUCF|PM25|Minor restricted activity days", US_national_yearly!$D:$AM, 10, FALSE), 1)</f>
        <v>0.22273119808821404</v>
      </c>
      <c r="Z14" s="7">
        <f>$B14 * IFERROR(VLOOKUP("LULUCF|PM25|Minor restricted activity days", US_national_yearly!$D:$AM, 34, FALSE) / VLOOKUP("LULUCF|PM25|Minor restricted activity days", US_national_yearly!$D:$AM, 10, FALSE), 1)</f>
        <v>0.22415588975753922</v>
      </c>
      <c r="AA14" s="7">
        <f>$B14 * IFERROR(VLOOKUP("LULUCF|PM25|Minor restricted activity days", US_national_yearly!$D:$AM, 35, FALSE) / VLOOKUP("LULUCF|PM25|Minor restricted activity days", US_national_yearly!$D:$AM, 10, FALSE), 1)</f>
        <v>0.22558058142686435</v>
      </c>
      <c r="AB14" s="7">
        <f>$B14 * IFERROR(VLOOKUP("LULUCF|PM25|Minor restricted activity days", US_national_yearly!$D:$AM, 36, FALSE) / VLOOKUP("LULUCF|PM25|Minor restricted activity days", US_national_yearly!$D:$AM, 10, FALSE), 1)</f>
        <v>0.22700527309618956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3.2703839375200577E-2</v>
      </c>
      <c r="C15" s="7">
        <f>$B15 * IFERROR(VLOOKUP("LULUCF|PM25|Work loss days", US_national_yearly!$D:$AM, 11, FALSE) / VLOOKUP("LULUCF|PM25|Work loss days", US_national_yearly!$D:$AM, 10, FALSE), 1)</f>
        <v>3.2805209498295865E-2</v>
      </c>
      <c r="D15" s="7">
        <f>$B15 * IFERROR(VLOOKUP("LULUCF|PM25|Work loss days", US_national_yearly!$D:$AM, 12, FALSE) / VLOOKUP("LULUCF|PM25|Work loss days", US_national_yearly!$D:$AM, 10, FALSE), 1)</f>
        <v>3.2906579621391152E-2</v>
      </c>
      <c r="E15" s="7">
        <f>$B15 * IFERROR(VLOOKUP("LULUCF|PM25|Work loss days", US_national_yearly!$D:$AM, 13, FALSE) / VLOOKUP("LULUCF|PM25|Work loss days", US_national_yearly!$D:$AM, 10, FALSE), 1)</f>
        <v>3.3007949744486439E-2</v>
      </c>
      <c r="F15" s="7">
        <f>$B15 * IFERROR(VLOOKUP("LULUCF|PM25|Work loss days", US_national_yearly!$D:$AM, 14, FALSE) / VLOOKUP("LULUCF|PM25|Work loss days", US_national_yearly!$D:$AM, 10, FALSE), 1)</f>
        <v>3.310931986758172E-2</v>
      </c>
      <c r="G15" s="7">
        <f>$B15 * IFERROR(VLOOKUP("LULUCF|PM25|Work loss days", US_national_yearly!$D:$AM, 15, FALSE) / VLOOKUP("LULUCF|PM25|Work loss days", US_national_yearly!$D:$AM, 10, FALSE), 1)</f>
        <v>3.3242222567484422E-2</v>
      </c>
      <c r="H15" s="7">
        <f>$B15 * IFERROR(VLOOKUP("LULUCF|PM25|Work loss days", US_national_yearly!$D:$AM, 16, FALSE) / VLOOKUP("LULUCF|PM25|Work loss days", US_national_yearly!$D:$AM, 10, FALSE), 1)</f>
        <v>3.3375125267387125E-2</v>
      </c>
      <c r="I15" s="7">
        <f>$B15 * IFERROR(VLOOKUP("LULUCF|PM25|Work loss days", US_national_yearly!$D:$AM, 17, FALSE) / VLOOKUP("LULUCF|PM25|Work loss days", US_national_yearly!$D:$AM, 10, FALSE), 1)</f>
        <v>3.3570839110285057E-2</v>
      </c>
      <c r="J15" s="7">
        <f>$B15 * IFERROR(VLOOKUP("LULUCF|PM25|Work loss days", US_national_yearly!$D:$AM, 18, FALSE) / VLOOKUP("LULUCF|PM25|Work loss days", US_national_yearly!$D:$AM, 10, FALSE), 1)</f>
        <v>3.3766552953182989E-2</v>
      </c>
      <c r="K15" s="7">
        <f>$B15 * IFERROR(VLOOKUP("LULUCF|PM25|Work loss days", US_national_yearly!$D:$AM, 19, FALSE) / VLOOKUP("LULUCF|PM25|Work loss days", US_national_yearly!$D:$AM, 10, FALSE), 1)</f>
        <v>3.3962266796080914E-2</v>
      </c>
      <c r="L15" s="7">
        <f>$B15 * IFERROR(VLOOKUP("LULUCF|PM25|Work loss days", US_national_yearly!$D:$AM, 20, FALSE) / VLOOKUP("LULUCF|PM25|Work loss days", US_national_yearly!$D:$AM, 10, FALSE), 1)</f>
        <v>3.4157980638978847E-2</v>
      </c>
      <c r="M15" s="7">
        <f>$B15 * IFERROR(VLOOKUP("LULUCF|PM25|Work loss days", US_national_yearly!$D:$AM, 21, FALSE) / VLOOKUP("LULUCF|PM25|Work loss days", US_national_yearly!$D:$AM, 10, FALSE), 1)</f>
        <v>3.4353694481876779E-2</v>
      </c>
      <c r="N15" s="7">
        <f>$B15 * IFERROR(VLOOKUP("LULUCF|PM25|Work loss days", US_national_yearly!$D:$AM, 22, FALSE) / VLOOKUP("LULUCF|PM25|Work loss days", US_national_yearly!$D:$AM, 10, FALSE), 1)</f>
        <v>3.460001516650995E-2</v>
      </c>
      <c r="O15" s="7">
        <f>$B15 * IFERROR(VLOOKUP("LULUCF|PM25|Work loss days", US_national_yearly!$D:$AM, 23, FALSE) / VLOOKUP("LULUCF|PM25|Work loss days", US_national_yearly!$D:$AM, 10, FALSE), 1)</f>
        <v>3.4846335851143113E-2</v>
      </c>
      <c r="P15" s="7">
        <f>$B15 * IFERROR(VLOOKUP("LULUCF|PM25|Work loss days", US_national_yearly!$D:$AM, 24, FALSE) / VLOOKUP("LULUCF|PM25|Work loss days", US_national_yearly!$D:$AM, 10, FALSE), 1)</f>
        <v>3.5092656535776284E-2</v>
      </c>
      <c r="Q15" s="7">
        <f>$B15 * IFERROR(VLOOKUP("LULUCF|PM25|Work loss days", US_national_yearly!$D:$AM, 25, FALSE) / VLOOKUP("LULUCF|PM25|Work loss days", US_national_yearly!$D:$AM, 10, FALSE), 1)</f>
        <v>3.5338977220409448E-2</v>
      </c>
      <c r="R15" s="7">
        <f>$B15 * IFERROR(VLOOKUP("LULUCF|PM25|Work loss days", US_national_yearly!$D:$AM, 26, FALSE) / VLOOKUP("LULUCF|PM25|Work loss days", US_national_yearly!$D:$AM, 10, FALSE), 1)</f>
        <v>3.5585297905042619E-2</v>
      </c>
      <c r="S15" s="7">
        <f>$B15 * IFERROR(VLOOKUP("LULUCF|PM25|Work loss days", US_national_yearly!$D:$AM, 27, FALSE) / VLOOKUP("LULUCF|PM25|Work loss days", US_national_yearly!$D:$AM, 10, FALSE), 1)</f>
        <v>3.5857739098527498E-2</v>
      </c>
      <c r="T15" s="7">
        <f>$B15 * IFERROR(VLOOKUP("LULUCF|PM25|Work loss days", US_national_yearly!$D:$AM, 28, FALSE) / VLOOKUP("LULUCF|PM25|Work loss days", US_national_yearly!$D:$AM, 10, FALSE), 1)</f>
        <v>3.6130180292012377E-2</v>
      </c>
      <c r="U15" s="7">
        <f>$B15 * IFERROR(VLOOKUP("LULUCF|PM25|Work loss days", US_national_yearly!$D:$AM, 29, FALSE) / VLOOKUP("LULUCF|PM25|Work loss days", US_national_yearly!$D:$AM, 10, FALSE), 1)</f>
        <v>3.640262148549725E-2</v>
      </c>
      <c r="V15" s="7">
        <f>$B15 * IFERROR(VLOOKUP("LULUCF|PM25|Work loss days", US_national_yearly!$D:$AM, 30, FALSE) / VLOOKUP("LULUCF|PM25|Work loss days", US_national_yearly!$D:$AM, 10, FALSE), 1)</f>
        <v>3.6675062678982136E-2</v>
      </c>
      <c r="W15" s="7">
        <f>$B15 * IFERROR(VLOOKUP("LULUCF|PM25|Work loss days", US_national_yearly!$D:$AM, 31, FALSE) / VLOOKUP("LULUCF|PM25|Work loss days", US_national_yearly!$D:$AM, 10, FALSE), 1)</f>
        <v>3.6947503872467015E-2</v>
      </c>
      <c r="X15" s="7">
        <f>$B15 * IFERROR(VLOOKUP("LULUCF|PM25|Work loss days", US_national_yearly!$D:$AM, 32, FALSE) / VLOOKUP("LULUCF|PM25|Work loss days", US_national_yearly!$D:$AM, 10, FALSE), 1)</f>
        <v>3.718923268946487E-2</v>
      </c>
      <c r="Y15" s="7">
        <f>$B15 * IFERROR(VLOOKUP("LULUCF|PM25|Work loss days", US_national_yearly!$D:$AM, 33, FALSE) / VLOOKUP("LULUCF|PM25|Work loss days", US_national_yearly!$D:$AM, 10, FALSE), 1)</f>
        <v>3.7430961506462732E-2</v>
      </c>
      <c r="Z15" s="7">
        <f>$B15 * IFERROR(VLOOKUP("LULUCF|PM25|Work loss days", US_national_yearly!$D:$AM, 34, FALSE) / VLOOKUP("LULUCF|PM25|Work loss days", US_national_yearly!$D:$AM, 10, FALSE), 1)</f>
        <v>3.7672690323460593E-2</v>
      </c>
      <c r="AA15" s="7">
        <f>$B15 * IFERROR(VLOOKUP("LULUCF|PM25|Work loss days", US_national_yearly!$D:$AM, 35, FALSE) / VLOOKUP("LULUCF|PM25|Work loss days", US_national_yearly!$D:$AM, 10, FALSE), 1)</f>
        <v>3.7914419140458462E-2</v>
      </c>
      <c r="AB15" s="7">
        <f>$B15 * IFERROR(VLOOKUP("LULUCF|PM25|Work loss days", US_national_yearly!$D:$AM, 36, FALSE) / VLOOKUP("LULUCF|PM25|Work loss days", US_national_yearly!$D:$AM, 10, FALSE), 1)</f>
        <v>3.8156147957456317E-2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5.0788850171823697E-5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5.2306456430879119E-5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5.3824062689934554E-5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5.5341668948989983E-5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5.6859275208045418E-5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5.8312870919145904E-5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5.9766466630246409E-5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6.1009661487983263E-5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6.2252856345720097E-5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6.3496051203456937E-5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6.4739246061193791E-5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6.5982440918930632E-5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6.6811307314379722E-5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6.7640173709828825E-5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6.8469040105277915E-5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6.9297906500727019E-5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7.0126772896176123E-5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7.0565320603221217E-5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7.1003868310266311E-5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7.1442416017311391E-5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7.1880963724356485E-5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7.2319511431401565E-5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7.2614747516427765E-5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7.290998360145395E-5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7.3205219686480136E-5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7.3500455771506335E-5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7.3795691856532521E-5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6.8314413747205057E-4</v>
      </c>
      <c r="C2" s="7">
        <f>$B2 * IFERROR(VLOOKUP("LULUCF|NOx|Premature mortality", US_national_yearly!$D:$AM, 11, FALSE) / VLOOKUP("LULUCF|NOx|Premature mortality", US_national_yearly!$D:$AM, 10, FALSE), 1)</f>
        <v>6.9317837016490082E-4</v>
      </c>
      <c r="D2" s="7">
        <f>$B2 * IFERROR(VLOOKUP("LULUCF|NOx|Premature mortality", US_national_yearly!$D:$AM, 12, FALSE) / VLOOKUP("LULUCF|NOx|Premature mortality", US_national_yearly!$D:$AM, 10, FALSE), 1)</f>
        <v>7.0321260285775096E-4</v>
      </c>
      <c r="E2" s="7">
        <f>$B2 * IFERROR(VLOOKUP("LULUCF|NOx|Premature mortality", US_national_yearly!$D:$AM, 13, FALSE) / VLOOKUP("LULUCF|NOx|Premature mortality", US_national_yearly!$D:$AM, 10, FALSE), 1)</f>
        <v>7.1324683555060121E-4</v>
      </c>
      <c r="F2" s="7">
        <f>$B2 * IFERROR(VLOOKUP("LULUCF|NOx|Premature mortality", US_national_yearly!$D:$AM, 14, FALSE) / VLOOKUP("LULUCF|NOx|Premature mortality", US_national_yearly!$D:$AM, 10, FALSE), 1)</f>
        <v>7.2328106824345146E-4</v>
      </c>
      <c r="G2" s="7">
        <f>$B2 * IFERROR(VLOOKUP("LULUCF|NOx|Premature mortality", US_national_yearly!$D:$AM, 15, FALSE) / VLOOKUP("LULUCF|NOx|Premature mortality", US_national_yearly!$D:$AM, 10, FALSE), 1)</f>
        <v>7.4130492249529091E-4</v>
      </c>
      <c r="H2" s="7">
        <f>$B2 * IFERROR(VLOOKUP("LULUCF|NOx|Premature mortality", US_national_yearly!$D:$AM, 16, FALSE) / VLOOKUP("LULUCF|NOx|Premature mortality", US_national_yearly!$D:$AM, 10, FALSE), 1)</f>
        <v>7.5932877674713057E-4</v>
      </c>
      <c r="I2" s="7">
        <f>$B2 * IFERROR(VLOOKUP("LULUCF|NOx|Premature mortality", US_national_yearly!$D:$AM, 17, FALSE) / VLOOKUP("LULUCF|NOx|Premature mortality", US_national_yearly!$D:$AM, 10, FALSE), 1)</f>
        <v>7.7096351655460546E-4</v>
      </c>
      <c r="J2" s="7">
        <f>$B2 * IFERROR(VLOOKUP("LULUCF|NOx|Premature mortality", US_national_yearly!$D:$AM, 18, FALSE) / VLOOKUP("LULUCF|NOx|Premature mortality", US_national_yearly!$D:$AM, 10, FALSE), 1)</f>
        <v>7.8259825636208045E-4</v>
      </c>
      <c r="K2" s="7">
        <f>$B2 * IFERROR(VLOOKUP("LULUCF|NOx|Premature mortality", US_national_yearly!$D:$AM, 19, FALSE) / VLOOKUP("LULUCF|NOx|Premature mortality", US_national_yearly!$D:$AM, 10, FALSE), 1)</f>
        <v>7.9423299616955534E-4</v>
      </c>
      <c r="L2" s="7">
        <f>$B2 * IFERROR(VLOOKUP("LULUCF|NOx|Premature mortality", US_national_yearly!$D:$AM, 20, FALSE) / VLOOKUP("LULUCF|NOx|Premature mortality", US_national_yearly!$D:$AM, 10, FALSE), 1)</f>
        <v>8.0586773597703023E-4</v>
      </c>
      <c r="M2" s="7">
        <f>$B2 * IFERROR(VLOOKUP("LULUCF|NOx|Premature mortality", US_national_yearly!$D:$AM, 21, FALSE) / VLOOKUP("LULUCF|NOx|Premature mortality", US_national_yearly!$D:$AM, 10, FALSE), 1)</f>
        <v>8.1750247578450523E-4</v>
      </c>
      <c r="N2" s="7">
        <f>$B2 * IFERROR(VLOOKUP("LULUCF|NOx|Premature mortality", US_national_yearly!$D:$AM, 22, FALSE) / VLOOKUP("LULUCF|NOx|Premature mortality", US_national_yearly!$D:$AM, 10, FALSE), 1)</f>
        <v>8.2612144580332327E-4</v>
      </c>
      <c r="O2" s="7">
        <f>$B2 * IFERROR(VLOOKUP("LULUCF|NOx|Premature mortality", US_national_yearly!$D:$AM, 23, FALSE) / VLOOKUP("LULUCF|NOx|Premature mortality", US_national_yearly!$D:$AM, 10, FALSE), 1)</f>
        <v>8.347404158221412E-4</v>
      </c>
      <c r="P2" s="7">
        <f>$B2 * IFERROR(VLOOKUP("LULUCF|NOx|Premature mortality", US_national_yearly!$D:$AM, 24, FALSE) / VLOOKUP("LULUCF|NOx|Premature mortality", US_national_yearly!$D:$AM, 10, FALSE), 1)</f>
        <v>8.4335938584095924E-4</v>
      </c>
      <c r="Q2" s="7">
        <f>$B2 * IFERROR(VLOOKUP("LULUCF|NOx|Premature mortality", US_national_yearly!$D:$AM, 25, FALSE) / VLOOKUP("LULUCF|NOx|Premature mortality", US_national_yearly!$D:$AM, 10, FALSE), 1)</f>
        <v>8.5197835585977739E-4</v>
      </c>
      <c r="R2" s="7">
        <f>$B2 * IFERROR(VLOOKUP("LULUCF|NOx|Premature mortality", US_national_yearly!$D:$AM, 26, FALSE) / VLOOKUP("LULUCF|NOx|Premature mortality", US_national_yearly!$D:$AM, 10, FALSE), 1)</f>
        <v>8.6059732587859532E-4</v>
      </c>
      <c r="S2" s="7">
        <f>$B2 * IFERROR(VLOOKUP("LULUCF|NOx|Premature mortality", US_national_yearly!$D:$AM, 27, FALSE) / VLOOKUP("LULUCF|NOx|Premature mortality", US_national_yearly!$D:$AM, 10, FALSE), 1)</f>
        <v>8.6451473454402287E-4</v>
      </c>
      <c r="T2" s="7">
        <f>$B2 * IFERROR(VLOOKUP("LULUCF|NOx|Premature mortality", US_national_yearly!$D:$AM, 28, FALSE) / VLOOKUP("LULUCF|NOx|Premature mortality", US_national_yearly!$D:$AM, 10, FALSE), 1)</f>
        <v>8.6843214320945041E-4</v>
      </c>
      <c r="U2" s="7">
        <f>$B2 * IFERROR(VLOOKUP("LULUCF|NOx|Premature mortality", US_national_yearly!$D:$AM, 29, FALSE) / VLOOKUP("LULUCF|NOx|Premature mortality", US_national_yearly!$D:$AM, 10, FALSE), 1)</f>
        <v>8.7234955187487796E-4</v>
      </c>
      <c r="V2" s="7">
        <f>$B2 * IFERROR(VLOOKUP("LULUCF|NOx|Premature mortality", US_national_yearly!$D:$AM, 30, FALSE) / VLOOKUP("LULUCF|NOx|Premature mortality", US_national_yearly!$D:$AM, 10, FALSE), 1)</f>
        <v>8.7626696054030539E-4</v>
      </c>
      <c r="W2" s="7">
        <f>$B2 * IFERROR(VLOOKUP("LULUCF|NOx|Premature mortality", US_national_yearly!$D:$AM, 31, FALSE) / VLOOKUP("LULUCF|NOx|Premature mortality", US_national_yearly!$D:$AM, 10, FALSE), 1)</f>
        <v>8.8018436920573304E-4</v>
      </c>
      <c r="X2" s="7">
        <f>$B2 * IFERROR(VLOOKUP("LULUCF|NOx|Premature mortality", US_national_yearly!$D:$AM, 32, FALSE) / VLOOKUP("LULUCF|NOx|Premature mortality", US_national_yearly!$D:$AM, 10, FALSE), 1)</f>
        <v>8.8032006599329284E-4</v>
      </c>
      <c r="Y2" s="7">
        <f>$B2 * IFERROR(VLOOKUP("LULUCF|NOx|Premature mortality", US_national_yearly!$D:$AM, 33, FALSE) / VLOOKUP("LULUCF|NOx|Premature mortality", US_national_yearly!$D:$AM, 10, FALSE), 1)</f>
        <v>8.8045576278085274E-4</v>
      </c>
      <c r="Z2" s="7">
        <f>$B2 * IFERROR(VLOOKUP("LULUCF|NOx|Premature mortality", US_national_yearly!$D:$AM, 34, FALSE) / VLOOKUP("LULUCF|NOx|Premature mortality", US_national_yearly!$D:$AM, 10, FALSE), 1)</f>
        <v>8.8059145956841242E-4</v>
      </c>
      <c r="AA2" s="7">
        <f>$B2 * IFERROR(VLOOKUP("LULUCF|NOx|Premature mortality", US_national_yearly!$D:$AM, 35, FALSE) / VLOOKUP("LULUCF|NOx|Premature mortality", US_national_yearly!$D:$AM, 10, FALSE), 1)</f>
        <v>8.8072715635597243E-4</v>
      </c>
      <c r="AB2" s="7">
        <f>$B2 * IFERROR(VLOOKUP("LULUCF|NOx|Premature mortality", US_national_yearly!$D:$AM, 36, FALSE) / VLOOKUP("LULUCF|NOx|Premature mortality", US_national_yearly!$D:$AM, 10, FALSE), 1)</f>
        <v>8.8086285314353233E-4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1.1565792027526485E-6</v>
      </c>
      <c r="C3" s="7">
        <f>$B3 * IFERROR(VLOOKUP("LULUCF|NOx|Infant mortality", US_national_yearly!$D:$AM, 11, FALSE) / VLOOKUP("LULUCF|NOx|Infant mortality", US_national_yearly!$D:$AM, 10, FALSE), 1)</f>
        <v>1.1455598386946734E-6</v>
      </c>
      <c r="D3" s="7">
        <f>$B3 * IFERROR(VLOOKUP("LULUCF|NOx|Infant mortality", US_national_yearly!$D:$AM, 12, FALSE) / VLOOKUP("LULUCF|NOx|Infant mortality", US_national_yearly!$D:$AM, 10, FALSE), 1)</f>
        <v>1.1345404746366979E-6</v>
      </c>
      <c r="E3" s="7">
        <f>$B3 * IFERROR(VLOOKUP("LULUCF|NOx|Infant mortality", US_national_yearly!$D:$AM, 13, FALSE) / VLOOKUP("LULUCF|NOx|Infant mortality", US_national_yearly!$D:$AM, 10, FALSE), 1)</f>
        <v>1.1235211105787228E-6</v>
      </c>
      <c r="F3" s="7">
        <f>$B3 * IFERROR(VLOOKUP("LULUCF|NOx|Infant mortality", US_national_yearly!$D:$AM, 14, FALSE) / VLOOKUP("LULUCF|NOx|Infant mortality", US_national_yearly!$D:$AM, 10, FALSE), 1)</f>
        <v>1.1125017465207475E-6</v>
      </c>
      <c r="G3" s="7">
        <f>$B3 * IFERROR(VLOOKUP("LULUCF|NOx|Infant mortality", US_national_yearly!$D:$AM, 15, FALSE) / VLOOKUP("LULUCF|NOx|Infant mortality", US_national_yearly!$D:$AM, 10, FALSE), 1)</f>
        <v>7.3853359576990869E-7</v>
      </c>
      <c r="H3" s="7">
        <f>$B3 * IFERROR(VLOOKUP("LULUCF|NOx|Infant mortality", US_national_yearly!$D:$AM, 16, FALSE) / VLOOKUP("LULUCF|NOx|Infant mortality", US_national_yearly!$D:$AM, 10, FALSE), 1)</f>
        <v>3.6456544501906976E-7</v>
      </c>
      <c r="I3" s="7">
        <f>$B3 * IFERROR(VLOOKUP("LULUCF|NOx|Infant mortality", US_national_yearly!$D:$AM, 17, FALSE) / VLOOKUP("LULUCF|NOx|Infant mortality", US_national_yearly!$D:$AM, 10, FALSE), 1)</f>
        <v>3.6198761923427959E-7</v>
      </c>
      <c r="J3" s="7">
        <f>$B3 * IFERROR(VLOOKUP("LULUCF|NOx|Infant mortality", US_national_yearly!$D:$AM, 18, FALSE) / VLOOKUP("LULUCF|NOx|Infant mortality", US_national_yearly!$D:$AM, 10, FALSE), 1)</f>
        <v>3.5940979344948937E-7</v>
      </c>
      <c r="K3" s="7">
        <f>$B3 * IFERROR(VLOOKUP("LULUCF|NOx|Infant mortality", US_national_yearly!$D:$AM, 19, FALSE) / VLOOKUP("LULUCF|NOx|Infant mortality", US_national_yearly!$D:$AM, 10, FALSE), 1)</f>
        <v>3.5683196766469919E-7</v>
      </c>
      <c r="L3" s="7">
        <f>$B3 * IFERROR(VLOOKUP("LULUCF|NOx|Infant mortality", US_national_yearly!$D:$AM, 20, FALSE) / VLOOKUP("LULUCF|NOx|Infant mortality", US_national_yearly!$D:$AM, 10, FALSE), 1)</f>
        <v>3.5425414187990902E-7</v>
      </c>
      <c r="M3" s="7">
        <f>$B3 * IFERROR(VLOOKUP("LULUCF|NOx|Infant mortality", US_national_yearly!$D:$AM, 21, FALSE) / VLOOKUP("LULUCF|NOx|Infant mortality", US_national_yearly!$D:$AM, 10, FALSE), 1)</f>
        <v>3.516763160951188E-7</v>
      </c>
      <c r="N3" s="7">
        <f>$B3 * IFERROR(VLOOKUP("LULUCF|NOx|Infant mortality", US_national_yearly!$D:$AM, 22, FALSE) / VLOOKUP("LULUCF|NOx|Infant mortality", US_national_yearly!$D:$AM, 10, FALSE), 1)</f>
        <v>3.4996526312447607E-7</v>
      </c>
      <c r="O3" s="7">
        <f>$B3 * IFERROR(VLOOKUP("LULUCF|NOx|Infant mortality", US_national_yearly!$D:$AM, 23, FALSE) / VLOOKUP("LULUCF|NOx|Infant mortality", US_national_yearly!$D:$AM, 10, FALSE), 1)</f>
        <v>3.4825421015383334E-7</v>
      </c>
      <c r="P3" s="7">
        <f>$B3 * IFERROR(VLOOKUP("LULUCF|NOx|Infant mortality", US_national_yearly!$D:$AM, 24, FALSE) / VLOOKUP("LULUCF|NOx|Infant mortality", US_national_yearly!$D:$AM, 10, FALSE), 1)</f>
        <v>3.4654315718319056E-7</v>
      </c>
      <c r="Q3" s="7">
        <f>$B3 * IFERROR(VLOOKUP("LULUCF|NOx|Infant mortality", US_national_yearly!$D:$AM, 25, FALSE) / VLOOKUP("LULUCF|NOx|Infant mortality", US_national_yearly!$D:$AM, 10, FALSE), 1)</f>
        <v>3.4483210421254784E-7</v>
      </c>
      <c r="R3" s="7">
        <f>$B3 * IFERROR(VLOOKUP("LULUCF|NOx|Infant mortality", US_national_yearly!$D:$AM, 26, FALSE) / VLOOKUP("LULUCF|NOx|Infant mortality", US_national_yearly!$D:$AM, 10, FALSE), 1)</f>
        <v>3.4312105124190511E-7</v>
      </c>
      <c r="S3" s="7">
        <f>$B3 * IFERROR(VLOOKUP("LULUCF|NOx|Infant mortality", US_national_yearly!$D:$AM, 27, FALSE) / VLOOKUP("LULUCF|NOx|Infant mortality", US_national_yearly!$D:$AM, 10, FALSE), 1)</f>
        <v>3.4106409347300309E-7</v>
      </c>
      <c r="T3" s="7">
        <f>$B3 * IFERROR(VLOOKUP("LULUCF|NOx|Infant mortality", US_national_yearly!$D:$AM, 28, FALSE) / VLOOKUP("LULUCF|NOx|Infant mortality", US_national_yearly!$D:$AM, 10, FALSE), 1)</f>
        <v>3.3900713570410106E-7</v>
      </c>
      <c r="U3" s="7">
        <f>$B3 * IFERROR(VLOOKUP("LULUCF|NOx|Infant mortality", US_national_yearly!$D:$AM, 29, FALSE) / VLOOKUP("LULUCF|NOx|Infant mortality", US_national_yearly!$D:$AM, 10, FALSE), 1)</f>
        <v>3.3695017793519909E-7</v>
      </c>
      <c r="V3" s="7">
        <f>$B3 * IFERROR(VLOOKUP("LULUCF|NOx|Infant mortality", US_national_yearly!$D:$AM, 30, FALSE) / VLOOKUP("LULUCF|NOx|Infant mortality", US_national_yearly!$D:$AM, 10, FALSE), 1)</f>
        <v>3.3489322016629706E-7</v>
      </c>
      <c r="W3" s="7">
        <f>$B3 * IFERROR(VLOOKUP("LULUCF|NOx|Infant mortality", US_national_yearly!$D:$AM, 31, FALSE) / VLOOKUP("LULUCF|NOx|Infant mortality", US_national_yearly!$D:$AM, 10, FALSE), 1)</f>
        <v>3.3283626239739504E-7</v>
      </c>
      <c r="X3" s="7">
        <f>$B3 * IFERROR(VLOOKUP("LULUCF|NOx|Infant mortality", US_national_yearly!$D:$AM, 32, FALSE) / VLOOKUP("LULUCF|NOx|Infant mortality", US_national_yearly!$D:$AM, 10, FALSE), 1)</f>
        <v>3.3065784464970994E-7</v>
      </c>
      <c r="Y3" s="7">
        <f>$B3 * IFERROR(VLOOKUP("LULUCF|NOx|Infant mortality", US_national_yearly!$D:$AM, 33, FALSE) / VLOOKUP("LULUCF|NOx|Infant mortality", US_national_yearly!$D:$AM, 10, FALSE), 1)</f>
        <v>3.2847942690202478E-7</v>
      </c>
      <c r="Z3" s="7">
        <f>$B3 * IFERROR(VLOOKUP("LULUCF|NOx|Infant mortality", US_national_yearly!$D:$AM, 34, FALSE) / VLOOKUP("LULUCF|NOx|Infant mortality", US_national_yearly!$D:$AM, 10, FALSE), 1)</f>
        <v>3.2630100915433963E-7</v>
      </c>
      <c r="AA3" s="7">
        <f>$B3 * IFERROR(VLOOKUP("LULUCF|NOx|Infant mortality", US_national_yearly!$D:$AM, 35, FALSE) / VLOOKUP("LULUCF|NOx|Infant mortality", US_national_yearly!$D:$AM, 10, FALSE), 1)</f>
        <v>3.2412259140665448E-7</v>
      </c>
      <c r="AB3" s="7">
        <f>$B3 * IFERROR(VLOOKUP("LULUCF|NOx|Infant mortality", US_national_yearly!$D:$AM, 36, FALSE) / VLOOKUP("LULUCF|NOx|Infant mortality", US_national_yearly!$D:$AM, 10, FALSE), 1)</f>
        <v>3.2194417365896938E-7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1.588613700014354E-3</v>
      </c>
      <c r="C6" s="7">
        <f>$B6 * IFERROR(VLOOKUP("LULUCF|NOx|Asthma symptoms cough", US_national_yearly!$D:$AM, 11, FALSE) / VLOOKUP("LULUCF|NOx|Asthma symptoms cough", US_national_yearly!$D:$AM, 10, FALSE), 1)</f>
        <v>1.6103326465741372E-3</v>
      </c>
      <c r="D6" s="7">
        <f>$B6 * IFERROR(VLOOKUP("LULUCF|NOx|Asthma symptoms cough", US_national_yearly!$D:$AM, 12, FALSE) / VLOOKUP("LULUCF|NOx|Asthma symptoms cough", US_national_yearly!$D:$AM, 10, FALSE), 1)</f>
        <v>1.6320515931339207E-3</v>
      </c>
      <c r="E6" s="7">
        <f>$B6 * IFERROR(VLOOKUP("LULUCF|NOx|Asthma symptoms cough", US_national_yearly!$D:$AM, 13, FALSE) / VLOOKUP("LULUCF|NOx|Asthma symptoms cough", US_national_yearly!$D:$AM, 10, FALSE), 1)</f>
        <v>1.6537705396937039E-3</v>
      </c>
      <c r="F6" s="7">
        <f>$B6 * IFERROR(VLOOKUP("LULUCF|NOx|Asthma symptoms cough", US_national_yearly!$D:$AM, 14, FALSE) / VLOOKUP("LULUCF|NOx|Asthma symptoms cough", US_national_yearly!$D:$AM, 10, FALSE), 1)</f>
        <v>1.6754894862534872E-3</v>
      </c>
      <c r="G6" s="7">
        <f>$B6 * IFERROR(VLOOKUP("LULUCF|NOx|Asthma symptoms cough", US_national_yearly!$D:$AM, 15, FALSE) / VLOOKUP("LULUCF|NOx|Asthma symptoms cough", US_national_yearly!$D:$AM, 10, FALSE), 1)</f>
        <v>1.692829030063737E-3</v>
      </c>
      <c r="H6" s="7">
        <f>$B6 * IFERROR(VLOOKUP("LULUCF|NOx|Asthma symptoms cough", US_national_yearly!$D:$AM, 16, FALSE) / VLOOKUP("LULUCF|NOx|Asthma symptoms cough", US_national_yearly!$D:$AM, 10, FALSE), 1)</f>
        <v>1.7101685738739872E-3</v>
      </c>
      <c r="I6" s="7">
        <f>$B6 * IFERROR(VLOOKUP("LULUCF|NOx|Asthma symptoms cough", US_national_yearly!$D:$AM, 17, FALSE) / VLOOKUP("LULUCF|NOx|Asthma symptoms cough", US_national_yearly!$D:$AM, 10, FALSE), 1)</f>
        <v>1.716136596971669E-3</v>
      </c>
      <c r="J6" s="7">
        <f>$B6 * IFERROR(VLOOKUP("LULUCF|NOx|Asthma symptoms cough", US_national_yearly!$D:$AM, 18, FALSE) / VLOOKUP("LULUCF|NOx|Asthma symptoms cough", US_national_yearly!$D:$AM, 10, FALSE), 1)</f>
        <v>1.722104620069351E-3</v>
      </c>
      <c r="K6" s="7">
        <f>$B6 * IFERROR(VLOOKUP("LULUCF|NOx|Asthma symptoms cough", US_national_yearly!$D:$AM, 19, FALSE) / VLOOKUP("LULUCF|NOx|Asthma symptoms cough", US_national_yearly!$D:$AM, 10, FALSE), 1)</f>
        <v>1.7280726431670329E-3</v>
      </c>
      <c r="L6" s="7">
        <f>$B6 * IFERROR(VLOOKUP("LULUCF|NOx|Asthma symptoms cough", US_national_yearly!$D:$AM, 20, FALSE) / VLOOKUP("LULUCF|NOx|Asthma symptoms cough", US_national_yearly!$D:$AM, 10, FALSE), 1)</f>
        <v>1.7340406662647147E-3</v>
      </c>
      <c r="M6" s="7">
        <f>$B6 * IFERROR(VLOOKUP("LULUCF|NOx|Asthma symptoms cough", US_national_yearly!$D:$AM, 21, FALSE) / VLOOKUP("LULUCF|NOx|Asthma symptoms cough", US_national_yearly!$D:$AM, 10, FALSE), 1)</f>
        <v>1.7400086893623969E-3</v>
      </c>
      <c r="N6" s="7">
        <f>$B6 * IFERROR(VLOOKUP("LULUCF|NOx|Asthma symptoms cough", US_national_yearly!$D:$AM, 22, FALSE) / VLOOKUP("LULUCF|NOx|Asthma symptoms cough", US_national_yearly!$D:$AM, 10, FALSE), 1)</f>
        <v>1.7469290565665441E-3</v>
      </c>
      <c r="O6" s="7">
        <f>$B6 * IFERROR(VLOOKUP("LULUCF|NOx|Asthma symptoms cough", US_national_yearly!$D:$AM, 23, FALSE) / VLOOKUP("LULUCF|NOx|Asthma symptoms cough", US_national_yearly!$D:$AM, 10, FALSE), 1)</f>
        <v>1.7538494237706915E-3</v>
      </c>
      <c r="P6" s="7">
        <f>$B6 * IFERROR(VLOOKUP("LULUCF|NOx|Asthma symptoms cough", US_national_yearly!$D:$AM, 24, FALSE) / VLOOKUP("LULUCF|NOx|Asthma symptoms cough", US_national_yearly!$D:$AM, 10, FALSE), 1)</f>
        <v>1.7607697909748387E-3</v>
      </c>
      <c r="Q6" s="7">
        <f>$B6 * IFERROR(VLOOKUP("LULUCF|NOx|Asthma symptoms cough", US_national_yearly!$D:$AM, 25, FALSE) / VLOOKUP("LULUCF|NOx|Asthma symptoms cough", US_national_yearly!$D:$AM, 10, FALSE), 1)</f>
        <v>1.7676901581789863E-3</v>
      </c>
      <c r="R6" s="7">
        <f>$B6 * IFERROR(VLOOKUP("LULUCF|NOx|Asthma symptoms cough", US_national_yearly!$D:$AM, 26, FALSE) / VLOOKUP("LULUCF|NOx|Asthma symptoms cough", US_national_yearly!$D:$AM, 10, FALSE), 1)</f>
        <v>1.7746105253831335E-3</v>
      </c>
      <c r="S6" s="7">
        <f>$B6 * IFERROR(VLOOKUP("LULUCF|NOx|Asthma symptoms cough", US_national_yearly!$D:$AM, 27, FALSE) / VLOOKUP("LULUCF|NOx|Asthma symptoms cough", US_national_yearly!$D:$AM, 10, FALSE), 1)</f>
        <v>1.783650729072372E-3</v>
      </c>
      <c r="T6" s="7">
        <f>$B6 * IFERROR(VLOOKUP("LULUCF|NOx|Asthma symptoms cough", US_national_yearly!$D:$AM, 28, FALSE) / VLOOKUP("LULUCF|NOx|Asthma symptoms cough", US_national_yearly!$D:$AM, 10, FALSE), 1)</f>
        <v>1.7926909327616104E-3</v>
      </c>
      <c r="U6" s="7">
        <f>$B6 * IFERROR(VLOOKUP("LULUCF|NOx|Asthma symptoms cough", US_national_yearly!$D:$AM, 29, FALSE) / VLOOKUP("LULUCF|NOx|Asthma symptoms cough", US_national_yearly!$D:$AM, 10, FALSE), 1)</f>
        <v>1.801731136450848E-3</v>
      </c>
      <c r="V6" s="7">
        <f>$B6 * IFERROR(VLOOKUP("LULUCF|NOx|Asthma symptoms cough", US_national_yearly!$D:$AM, 30, FALSE) / VLOOKUP("LULUCF|NOx|Asthma symptoms cough", US_national_yearly!$D:$AM, 10, FALSE), 1)</f>
        <v>1.8107713401400865E-3</v>
      </c>
      <c r="W6" s="7">
        <f>$B6 * IFERROR(VLOOKUP("LULUCF|NOx|Asthma symptoms cough", US_national_yearly!$D:$AM, 31, FALSE) / VLOOKUP("LULUCF|NOx|Asthma symptoms cough", US_national_yearly!$D:$AM, 10, FALSE), 1)</f>
        <v>1.8198115438293248E-3</v>
      </c>
      <c r="X6" s="7">
        <f>$B6 * IFERROR(VLOOKUP("LULUCF|NOx|Asthma symptoms cough", US_national_yearly!$D:$AM, 32, FALSE) / VLOOKUP("LULUCF|NOx|Asthma symptoms cough", US_national_yearly!$D:$AM, 10, FALSE), 1)</f>
        <v>1.8282111920032455E-3</v>
      </c>
      <c r="Y6" s="7">
        <f>$B6 * IFERROR(VLOOKUP("LULUCF|NOx|Asthma symptoms cough", US_national_yearly!$D:$AM, 33, FALSE) / VLOOKUP("LULUCF|NOx|Asthma symptoms cough", US_national_yearly!$D:$AM, 10, FALSE), 1)</f>
        <v>1.8366108401771661E-3</v>
      </c>
      <c r="Z6" s="7">
        <f>$B6 * IFERROR(VLOOKUP("LULUCF|NOx|Asthma symptoms cough", US_national_yearly!$D:$AM, 34, FALSE) / VLOOKUP("LULUCF|NOx|Asthma symptoms cough", US_national_yearly!$D:$AM, 10, FALSE), 1)</f>
        <v>1.8450104883510868E-3</v>
      </c>
      <c r="AA6" s="7">
        <f>$B6 * IFERROR(VLOOKUP("LULUCF|NOx|Asthma symptoms cough", US_national_yearly!$D:$AM, 35, FALSE) / VLOOKUP("LULUCF|NOx|Asthma symptoms cough", US_national_yearly!$D:$AM, 10, FALSE), 1)</f>
        <v>1.8534101365250074E-3</v>
      </c>
      <c r="AB6" s="7">
        <f>$B6 * IFERROR(VLOOKUP("LULUCF|NOx|Asthma symptoms cough", US_national_yearly!$D:$AM, 36, FALSE) / VLOOKUP("LULUCF|NOx|Asthma symptoms cough", US_national_yearly!$D:$AM, 10, FALSE), 1)</f>
        <v>1.8618097846989283E-3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2.1392756440362396E-3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2.1685230396445623E-3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2.1977704352528844E-3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2.2270178308612066E-3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2.2562652264695292E-3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2.2796151847950721E-3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2.3029651431206149E-3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2.3110018649310556E-3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2.3190385867414964E-3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2.3270753085519375E-3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2.3351120303623783E-3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2.343148752172819E-3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2.3524679296163019E-3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2.3617871070597844E-3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2.3711062845032669E-3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2.3804254619467493E-3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2.3897446393902322E-3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2.4019184533015585E-3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2.4140922672128847E-3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2.4262660811242109E-3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2.4384398950355367E-3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2.4506137089468625E-3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2.4619249312641507E-3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2.473236153581439E-3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2.4845473758987277E-3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2.4958585982160159E-3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2.5071698205333041E-3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3.2685334255161229E-3</v>
      </c>
      <c r="C8" s="7">
        <f>$B8 * IFERROR(VLOOKUP("LULUCF|NOx|Asthma symptoms wheeze", US_national_yearly!$D:$AM, 11, FALSE) / VLOOKUP("LULUCF|NOx|Asthma symptoms wheeze", US_national_yearly!$D:$AM, 10, FALSE), 1)</f>
        <v>3.313219621345165E-3</v>
      </c>
      <c r="D8" s="7">
        <f>$B8 * IFERROR(VLOOKUP("LULUCF|NOx|Asthma symptoms wheeze", US_national_yearly!$D:$AM, 12, FALSE) / VLOOKUP("LULUCF|NOx|Asthma symptoms wheeze", US_national_yearly!$D:$AM, 10, FALSE), 1)</f>
        <v>3.3579058171742085E-3</v>
      </c>
      <c r="E8" s="7">
        <f>$B8 * IFERROR(VLOOKUP("LULUCF|NOx|Asthma symptoms wheeze", US_national_yearly!$D:$AM, 13, FALSE) / VLOOKUP("LULUCF|NOx|Asthma symptoms wheeze", US_national_yearly!$D:$AM, 10, FALSE), 1)</f>
        <v>3.4025920130032507E-3</v>
      </c>
      <c r="F8" s="7">
        <f>$B8 * IFERROR(VLOOKUP("LULUCF|NOx|Asthma symptoms wheeze", US_national_yearly!$D:$AM, 14, FALSE) / VLOOKUP("LULUCF|NOx|Asthma symptoms wheeze", US_national_yearly!$D:$AM, 10, FALSE), 1)</f>
        <v>3.4472782088322924E-3</v>
      </c>
      <c r="G8" s="7">
        <f>$B8 * IFERROR(VLOOKUP("LULUCF|NOx|Asthma symptoms wheeze", US_national_yearly!$D:$AM, 15, FALSE) / VLOOKUP("LULUCF|NOx|Asthma symptoms wheeze", US_national_yearly!$D:$AM, 10, FALSE), 1)</f>
        <v>3.4829538917543674E-3</v>
      </c>
      <c r="H8" s="7">
        <f>$B8 * IFERROR(VLOOKUP("LULUCF|NOx|Asthma symptoms wheeze", US_national_yearly!$D:$AM, 16, FALSE) / VLOOKUP("LULUCF|NOx|Asthma symptoms wheeze", US_national_yearly!$D:$AM, 10, FALSE), 1)</f>
        <v>3.5186295746764424E-3</v>
      </c>
      <c r="I8" s="7">
        <f>$B8 * IFERROR(VLOOKUP("LULUCF|NOx|Asthma symptoms wheeze", US_national_yearly!$D:$AM, 17, FALSE) / VLOOKUP("LULUCF|NOx|Asthma symptoms wheeze", US_national_yearly!$D:$AM, 10, FALSE), 1)</f>
        <v>3.5309086347728798E-3</v>
      </c>
      <c r="J8" s="7">
        <f>$B8 * IFERROR(VLOOKUP("LULUCF|NOx|Asthma symptoms wheeze", US_national_yearly!$D:$AM, 18, FALSE) / VLOOKUP("LULUCF|NOx|Asthma symptoms wheeze", US_national_yearly!$D:$AM, 10, FALSE), 1)</f>
        <v>3.5431876948693181E-3</v>
      </c>
      <c r="K8" s="7">
        <f>$B8 * IFERROR(VLOOKUP("LULUCF|NOx|Asthma symptoms wheeze", US_national_yearly!$D:$AM, 19, FALSE) / VLOOKUP("LULUCF|NOx|Asthma symptoms wheeze", US_national_yearly!$D:$AM, 10, FALSE), 1)</f>
        <v>3.555466754965755E-3</v>
      </c>
      <c r="L8" s="7">
        <f>$B8 * IFERROR(VLOOKUP("LULUCF|NOx|Asthma symptoms wheeze", US_national_yearly!$D:$AM, 20, FALSE) / VLOOKUP("LULUCF|NOx|Asthma symptoms wheeze", US_national_yearly!$D:$AM, 10, FALSE), 1)</f>
        <v>3.5677458150621929E-3</v>
      </c>
      <c r="M8" s="7">
        <f>$B8 * IFERROR(VLOOKUP("LULUCF|NOx|Asthma symptoms wheeze", US_national_yearly!$D:$AM, 21, FALSE) / VLOOKUP("LULUCF|NOx|Asthma symptoms wheeze", US_national_yearly!$D:$AM, 10, FALSE), 1)</f>
        <v>3.5800248751586303E-3</v>
      </c>
      <c r="N8" s="7">
        <f>$B8 * IFERROR(VLOOKUP("LULUCF|NOx|Asthma symptoms wheeze", US_national_yearly!$D:$AM, 22, FALSE) / VLOOKUP("LULUCF|NOx|Asthma symptoms wheeze", US_national_yearly!$D:$AM, 10, FALSE), 1)</f>
        <v>3.5942633597342093E-3</v>
      </c>
      <c r="O8" s="7">
        <f>$B8 * IFERROR(VLOOKUP("LULUCF|NOx|Asthma symptoms wheeze", US_national_yearly!$D:$AM, 23, FALSE) / VLOOKUP("LULUCF|NOx|Asthma symptoms wheeze", US_national_yearly!$D:$AM, 10, FALSE), 1)</f>
        <v>3.6085018443097893E-3</v>
      </c>
      <c r="P8" s="7">
        <f>$B8 * IFERROR(VLOOKUP("LULUCF|NOx|Asthma symptoms wheeze", US_national_yearly!$D:$AM, 24, FALSE) / VLOOKUP("LULUCF|NOx|Asthma symptoms wheeze", US_national_yearly!$D:$AM, 10, FALSE), 1)</f>
        <v>3.6227403288853683E-3</v>
      </c>
      <c r="Q8" s="7">
        <f>$B8 * IFERROR(VLOOKUP("LULUCF|NOx|Asthma symptoms wheeze", US_national_yearly!$D:$AM, 25, FALSE) / VLOOKUP("LULUCF|NOx|Asthma symptoms wheeze", US_national_yearly!$D:$AM, 10, FALSE), 1)</f>
        <v>3.6369788134609483E-3</v>
      </c>
      <c r="R8" s="7">
        <f>$B8 * IFERROR(VLOOKUP("LULUCF|NOx|Asthma symptoms wheeze", US_national_yearly!$D:$AM, 26, FALSE) / VLOOKUP("LULUCF|NOx|Asthma symptoms wheeze", US_national_yearly!$D:$AM, 10, FALSE), 1)</f>
        <v>3.6512172980365273E-3</v>
      </c>
      <c r="S8" s="7">
        <f>$B8 * IFERROR(VLOOKUP("LULUCF|NOx|Asthma symptoms wheeze", US_national_yearly!$D:$AM, 27, FALSE) / VLOOKUP("LULUCF|NOx|Asthma symptoms wheeze", US_national_yearly!$D:$AM, 10, FALSE), 1)</f>
        <v>3.6698172938049493E-3</v>
      </c>
      <c r="T8" s="7">
        <f>$B8 * IFERROR(VLOOKUP("LULUCF|NOx|Asthma symptoms wheeze", US_national_yearly!$D:$AM, 28, FALSE) / VLOOKUP("LULUCF|NOx|Asthma symptoms wheeze", US_national_yearly!$D:$AM, 10, FALSE), 1)</f>
        <v>3.6884172895733712E-3</v>
      </c>
      <c r="U8" s="7">
        <f>$B8 * IFERROR(VLOOKUP("LULUCF|NOx|Asthma symptoms wheeze", US_national_yearly!$D:$AM, 29, FALSE) / VLOOKUP("LULUCF|NOx|Asthma symptoms wheeze", US_national_yearly!$D:$AM, 10, FALSE), 1)</f>
        <v>3.7070172853417935E-3</v>
      </c>
      <c r="V8" s="7">
        <f>$B8 * IFERROR(VLOOKUP("LULUCF|NOx|Asthma symptoms wheeze", US_national_yearly!$D:$AM, 30, FALSE) / VLOOKUP("LULUCF|NOx|Asthma symptoms wheeze", US_national_yearly!$D:$AM, 10, FALSE), 1)</f>
        <v>3.7256172811102159E-3</v>
      </c>
      <c r="W8" s="7">
        <f>$B8 * IFERROR(VLOOKUP("LULUCF|NOx|Asthma symptoms wheeze", US_national_yearly!$D:$AM, 31, FALSE) / VLOOKUP("LULUCF|NOx|Asthma symptoms wheeze", US_national_yearly!$D:$AM, 10, FALSE), 1)</f>
        <v>3.7442172768786374E-3</v>
      </c>
      <c r="X8" s="7">
        <f>$B8 * IFERROR(VLOOKUP("LULUCF|NOx|Asthma symptoms wheeze", US_national_yearly!$D:$AM, 32, FALSE) / VLOOKUP("LULUCF|NOx|Asthma symptoms wheeze", US_national_yearly!$D:$AM, 10, FALSE), 1)</f>
        <v>3.7614993454922088E-3</v>
      </c>
      <c r="Y8" s="7">
        <f>$B8 * IFERROR(VLOOKUP("LULUCF|NOx|Asthma symptoms wheeze", US_national_yearly!$D:$AM, 33, FALSE) / VLOOKUP("LULUCF|NOx|Asthma symptoms wheeze", US_national_yearly!$D:$AM, 10, FALSE), 1)</f>
        <v>3.7787814141057793E-3</v>
      </c>
      <c r="Z8" s="7">
        <f>$B8 * IFERROR(VLOOKUP("LULUCF|NOx|Asthma symptoms wheeze", US_national_yearly!$D:$AM, 34, FALSE) / VLOOKUP("LULUCF|NOx|Asthma symptoms wheeze", US_national_yearly!$D:$AM, 10, FALSE), 1)</f>
        <v>3.7960634827193512E-3</v>
      </c>
      <c r="AA8" s="7">
        <f>$B8 * IFERROR(VLOOKUP("LULUCF|NOx|Asthma symptoms wheeze", US_national_yearly!$D:$AM, 35, FALSE) / VLOOKUP("LULUCF|NOx|Asthma symptoms wheeze", US_national_yearly!$D:$AM, 10, FALSE), 1)</f>
        <v>3.8133455513329217E-3</v>
      </c>
      <c r="AB8" s="7">
        <f>$B8 * IFERROR(VLOOKUP("LULUCF|NOx|Asthma symptoms wheeze", US_national_yearly!$D:$AM, 36, FALSE) / VLOOKUP("LULUCF|NOx|Asthma symptoms wheeze", US_national_yearly!$D:$AM, 10, FALSE), 1)</f>
        <v>3.8306276199464931E-3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3.6563995142214003E-5</v>
      </c>
      <c r="C12" s="7">
        <f>$B12 * IFERROR(VLOOKUP("LULUCF|NOx|Respiratory hospital admissions", US_national_yearly!$D:$AM, 11, FALSE) / VLOOKUP("LULUCF|NOx|Respiratory hospital admissions", US_national_yearly!$D:$AM, 10, FALSE), 1)</f>
        <v>3.7476071741223746E-5</v>
      </c>
      <c r="D12" s="7">
        <f>$B12 * IFERROR(VLOOKUP("LULUCF|NOx|Respiratory hospital admissions", US_national_yearly!$D:$AM, 12, FALSE) / VLOOKUP("LULUCF|NOx|Respiratory hospital admissions", US_national_yearly!$D:$AM, 10, FALSE), 1)</f>
        <v>3.8388148340233501E-5</v>
      </c>
      <c r="E12" s="7">
        <f>$B12 * IFERROR(VLOOKUP("LULUCF|NOx|Respiratory hospital admissions", US_national_yearly!$D:$AM, 13, FALSE) / VLOOKUP("LULUCF|NOx|Respiratory hospital admissions", US_national_yearly!$D:$AM, 10, FALSE), 1)</f>
        <v>3.9300224939243257E-5</v>
      </c>
      <c r="F12" s="7">
        <f>$B12 * IFERROR(VLOOKUP("LULUCF|NOx|Respiratory hospital admissions", US_national_yearly!$D:$AM, 14, FALSE) / VLOOKUP("LULUCF|NOx|Respiratory hospital admissions", US_national_yearly!$D:$AM, 10, FALSE), 1)</f>
        <v>4.0212301538253006E-5</v>
      </c>
      <c r="G12" s="7">
        <f>$B12 * IFERROR(VLOOKUP("LULUCF|NOx|Respiratory hospital admissions", US_national_yearly!$D:$AM, 15, FALSE) / VLOOKUP("LULUCF|NOx|Respiratory hospital admissions", US_national_yearly!$D:$AM, 10, FALSE), 1)</f>
        <v>4.1084277810298497E-5</v>
      </c>
      <c r="H12" s="7">
        <f>$B12 * IFERROR(VLOOKUP("LULUCF|NOx|Respiratory hospital admissions", US_national_yearly!$D:$AM, 16, FALSE) / VLOOKUP("LULUCF|NOx|Respiratory hospital admissions", US_national_yearly!$D:$AM, 10, FALSE), 1)</f>
        <v>4.1956254082343994E-5</v>
      </c>
      <c r="I12" s="7">
        <f>$B12 * IFERROR(VLOOKUP("LULUCF|NOx|Respiratory hospital admissions", US_national_yearly!$D:$AM, 17, FALSE) / VLOOKUP("LULUCF|NOx|Respiratory hospital admissions", US_national_yearly!$D:$AM, 10, FALSE), 1)</f>
        <v>4.2696579863328638E-5</v>
      </c>
      <c r="J12" s="7">
        <f>$B12 * IFERROR(VLOOKUP("LULUCF|NOx|Respiratory hospital admissions", US_national_yearly!$D:$AM, 18, FALSE) / VLOOKUP("LULUCF|NOx|Respiratory hospital admissions", US_national_yearly!$D:$AM, 10, FALSE), 1)</f>
        <v>4.3436905644313282E-5</v>
      </c>
      <c r="K12" s="7">
        <f>$B12 * IFERROR(VLOOKUP("LULUCF|NOx|Respiratory hospital admissions", US_national_yearly!$D:$AM, 19, FALSE) / VLOOKUP("LULUCF|NOx|Respiratory hospital admissions", US_national_yearly!$D:$AM, 10, FALSE), 1)</f>
        <v>4.4177231425297932E-5</v>
      </c>
      <c r="L12" s="7">
        <f>$B12 * IFERROR(VLOOKUP("LULUCF|NOx|Respiratory hospital admissions", US_national_yearly!$D:$AM, 20, FALSE) / VLOOKUP("LULUCF|NOx|Respiratory hospital admissions", US_national_yearly!$D:$AM, 10, FALSE), 1)</f>
        <v>4.4917557206282576E-5</v>
      </c>
      <c r="M12" s="7">
        <f>$B12 * IFERROR(VLOOKUP("LULUCF|NOx|Respiratory hospital admissions", US_national_yearly!$D:$AM, 21, FALSE) / VLOOKUP("LULUCF|NOx|Respiratory hospital admissions", US_national_yearly!$D:$AM, 10, FALSE), 1)</f>
        <v>4.5657882987267227E-5</v>
      </c>
      <c r="N12" s="7">
        <f>$B12 * IFERROR(VLOOKUP("LULUCF|NOx|Respiratory hospital admissions", US_national_yearly!$D:$AM, 22, FALSE) / VLOOKUP("LULUCF|NOx|Respiratory hospital admissions", US_national_yearly!$D:$AM, 10, FALSE), 1)</f>
        <v>4.6152804101094928E-5</v>
      </c>
      <c r="O12" s="7">
        <f>$B12 * IFERROR(VLOOKUP("LULUCF|NOx|Respiratory hospital admissions", US_national_yearly!$D:$AM, 23, FALSE) / VLOOKUP("LULUCF|NOx|Respiratory hospital admissions", US_national_yearly!$D:$AM, 10, FALSE), 1)</f>
        <v>4.6647725214922636E-5</v>
      </c>
      <c r="P12" s="7">
        <f>$B12 * IFERROR(VLOOKUP("LULUCF|NOx|Respiratory hospital admissions", US_national_yearly!$D:$AM, 24, FALSE) / VLOOKUP("LULUCF|NOx|Respiratory hospital admissions", US_national_yearly!$D:$AM, 10, FALSE), 1)</f>
        <v>4.7142646328750344E-5</v>
      </c>
      <c r="Q12" s="7">
        <f>$B12 * IFERROR(VLOOKUP("LULUCF|NOx|Respiratory hospital admissions", US_national_yearly!$D:$AM, 25, FALSE) / VLOOKUP("LULUCF|NOx|Respiratory hospital admissions", US_national_yearly!$D:$AM, 10, FALSE), 1)</f>
        <v>4.7637567442578058E-5</v>
      </c>
      <c r="R12" s="7">
        <f>$B12 * IFERROR(VLOOKUP("LULUCF|NOx|Respiratory hospital admissions", US_national_yearly!$D:$AM, 26, FALSE) / VLOOKUP("LULUCF|NOx|Respiratory hospital admissions", US_national_yearly!$D:$AM, 10, FALSE), 1)</f>
        <v>4.8132488556405766E-5</v>
      </c>
      <c r="S12" s="7">
        <f>$B12 * IFERROR(VLOOKUP("LULUCF|NOx|Respiratory hospital admissions", US_national_yearly!$D:$AM, 27, FALSE) / VLOOKUP("LULUCF|NOx|Respiratory hospital admissions", US_national_yearly!$D:$AM, 10, FALSE), 1)</f>
        <v>4.8397653878385883E-5</v>
      </c>
      <c r="T12" s="7">
        <f>$B12 * IFERROR(VLOOKUP("LULUCF|NOx|Respiratory hospital admissions", US_national_yearly!$D:$AM, 28, FALSE) / VLOOKUP("LULUCF|NOx|Respiratory hospital admissions", US_national_yearly!$D:$AM, 10, FALSE), 1)</f>
        <v>4.8662819200366006E-5</v>
      </c>
      <c r="U12" s="7">
        <f>$B12 * IFERROR(VLOOKUP("LULUCF|NOx|Respiratory hospital admissions", US_national_yearly!$D:$AM, 29, FALSE) / VLOOKUP("LULUCF|NOx|Respiratory hospital admissions", US_national_yearly!$D:$AM, 10, FALSE), 1)</f>
        <v>4.8927984522346122E-5</v>
      </c>
      <c r="V12" s="7">
        <f>$B12 * IFERROR(VLOOKUP("LULUCF|NOx|Respiratory hospital admissions", US_national_yearly!$D:$AM, 30, FALSE) / VLOOKUP("LULUCF|NOx|Respiratory hospital admissions", US_national_yearly!$D:$AM, 10, FALSE), 1)</f>
        <v>4.9193149844326232E-5</v>
      </c>
      <c r="W12" s="7">
        <f>$B12 * IFERROR(VLOOKUP("LULUCF|NOx|Respiratory hospital admissions", US_national_yearly!$D:$AM, 31, FALSE) / VLOOKUP("LULUCF|NOx|Respiratory hospital admissions", US_national_yearly!$D:$AM, 10, FALSE), 1)</f>
        <v>4.9458315166306362E-5</v>
      </c>
      <c r="X12" s="7">
        <f>$B12 * IFERROR(VLOOKUP("LULUCF|NOx|Respiratory hospital admissions", US_national_yearly!$D:$AM, 32, FALSE) / VLOOKUP("LULUCF|NOx|Respiratory hospital admissions", US_national_yearly!$D:$AM, 10, FALSE), 1)</f>
        <v>4.96395212145332E-5</v>
      </c>
      <c r="Y12" s="7">
        <f>$B12 * IFERROR(VLOOKUP("LULUCF|NOx|Respiratory hospital admissions", US_national_yearly!$D:$AM, 33, FALSE) / VLOOKUP("LULUCF|NOx|Respiratory hospital admissions", US_national_yearly!$D:$AM, 10, FALSE), 1)</f>
        <v>4.9820727262760052E-5</v>
      </c>
      <c r="Z12" s="7">
        <f>$B12 * IFERROR(VLOOKUP("LULUCF|NOx|Respiratory hospital admissions", US_national_yearly!$D:$AM, 34, FALSE) / VLOOKUP("LULUCF|NOx|Respiratory hospital admissions", US_national_yearly!$D:$AM, 10, FALSE), 1)</f>
        <v>5.0001933310986896E-5</v>
      </c>
      <c r="AA12" s="7">
        <f>$B12 * IFERROR(VLOOKUP("LULUCF|NOx|Respiratory hospital admissions", US_national_yearly!$D:$AM, 35, FALSE) / VLOOKUP("LULUCF|NOx|Respiratory hospital admissions", US_national_yearly!$D:$AM, 10, FALSE), 1)</f>
        <v>5.0183139359213748E-5</v>
      </c>
      <c r="AB12" s="7">
        <f>$B12 * IFERROR(VLOOKUP("LULUCF|NOx|Respiratory hospital admissions", US_national_yearly!$D:$AM, 36, FALSE) / VLOOKUP("LULUCF|NOx|Respiratory hospital admissions", US_national_yearly!$D:$AM, 10, FALSE), 1)</f>
        <v>5.0364345407440586E-5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2.4294275850267989E-4</v>
      </c>
      <c r="C13" s="7">
        <f>$B13 * IFERROR(VLOOKUP("LULUCF|NOx|Non-fatal heart attacks", US_national_yearly!$D:$AM, 11, FALSE) / VLOOKUP("LULUCF|NOx|Non-fatal heart attacks", US_national_yearly!$D:$AM, 10, FALSE), 1)</f>
        <v>2.4988827792204462E-4</v>
      </c>
      <c r="D13" s="7">
        <f>$B13 * IFERROR(VLOOKUP("LULUCF|NOx|Non-fatal heart attacks", US_national_yearly!$D:$AM, 12, FALSE) / VLOOKUP("LULUCF|NOx|Non-fatal heart attacks", US_national_yearly!$D:$AM, 10, FALSE), 1)</f>
        <v>2.5683379734140935E-4</v>
      </c>
      <c r="E13" s="7">
        <f>$B13 * IFERROR(VLOOKUP("LULUCF|NOx|Non-fatal heart attacks", US_national_yearly!$D:$AM, 13, FALSE) / VLOOKUP("LULUCF|NOx|Non-fatal heart attacks", US_national_yearly!$D:$AM, 10, FALSE), 1)</f>
        <v>2.6377931676077403E-4</v>
      </c>
      <c r="F13" s="7">
        <f>$B13 * IFERROR(VLOOKUP("LULUCF|NOx|Non-fatal heart attacks", US_national_yearly!$D:$AM, 14, FALSE) / VLOOKUP("LULUCF|NOx|Non-fatal heart attacks", US_national_yearly!$D:$AM, 10, FALSE), 1)</f>
        <v>2.7072483618013877E-4</v>
      </c>
      <c r="G13" s="7">
        <f>$B13 * IFERROR(VLOOKUP("LULUCF|NOx|Non-fatal heart attacks", US_national_yearly!$D:$AM, 15, FALSE) / VLOOKUP("LULUCF|NOx|Non-fatal heart attacks", US_national_yearly!$D:$AM, 10, FALSE), 1)</f>
        <v>2.7721540964233485E-4</v>
      </c>
      <c r="H13" s="7">
        <f>$B13 * IFERROR(VLOOKUP("LULUCF|NOx|Non-fatal heart attacks", US_national_yearly!$D:$AM, 16, FALSE) / VLOOKUP("LULUCF|NOx|Non-fatal heart attacks", US_national_yearly!$D:$AM, 10, FALSE), 1)</f>
        <v>2.8370598310453092E-4</v>
      </c>
      <c r="I13" s="7">
        <f>$B13 * IFERROR(VLOOKUP("LULUCF|NOx|Non-fatal heart attacks", US_national_yearly!$D:$AM, 17, FALSE) / VLOOKUP("LULUCF|NOx|Non-fatal heart attacks", US_national_yearly!$D:$AM, 10, FALSE), 1)</f>
        <v>2.8882305833608407E-4</v>
      </c>
      <c r="J13" s="7">
        <f>$B13 * IFERROR(VLOOKUP("LULUCF|NOx|Non-fatal heart attacks", US_national_yearly!$D:$AM, 18, FALSE) / VLOOKUP("LULUCF|NOx|Non-fatal heart attacks", US_national_yearly!$D:$AM, 10, FALSE), 1)</f>
        <v>2.9394013356763722E-4</v>
      </c>
      <c r="K13" s="7">
        <f>$B13 * IFERROR(VLOOKUP("LULUCF|NOx|Non-fatal heart attacks", US_national_yearly!$D:$AM, 19, FALSE) / VLOOKUP("LULUCF|NOx|Non-fatal heart attacks", US_national_yearly!$D:$AM, 10, FALSE), 1)</f>
        <v>2.9905720879919021E-4</v>
      </c>
      <c r="L13" s="7">
        <f>$B13 * IFERROR(VLOOKUP("LULUCF|NOx|Non-fatal heart attacks", US_national_yearly!$D:$AM, 20, FALSE) / VLOOKUP("LULUCF|NOx|Non-fatal heart attacks", US_national_yearly!$D:$AM, 10, FALSE), 1)</f>
        <v>3.0417428403074352E-4</v>
      </c>
      <c r="M13" s="7">
        <f>$B13 * IFERROR(VLOOKUP("LULUCF|NOx|Non-fatal heart attacks", US_national_yearly!$D:$AM, 21, FALSE) / VLOOKUP("LULUCF|NOx|Non-fatal heart attacks", US_national_yearly!$D:$AM, 10, FALSE), 1)</f>
        <v>3.0929135926229662E-4</v>
      </c>
      <c r="N13" s="7">
        <f>$B13 * IFERROR(VLOOKUP("LULUCF|NOx|Non-fatal heart attacks", US_national_yearly!$D:$AM, 22, FALSE) / VLOOKUP("LULUCF|NOx|Non-fatal heart attacks", US_national_yearly!$D:$AM, 10, FALSE), 1)</f>
        <v>3.123699469049788E-4</v>
      </c>
      <c r="O13" s="7">
        <f>$B13 * IFERROR(VLOOKUP("LULUCF|NOx|Non-fatal heart attacks", US_national_yearly!$D:$AM, 23, FALSE) / VLOOKUP("LULUCF|NOx|Non-fatal heart attacks", US_national_yearly!$D:$AM, 10, FALSE), 1)</f>
        <v>3.1544853454766098E-4</v>
      </c>
      <c r="P13" s="7">
        <f>$B13 * IFERROR(VLOOKUP("LULUCF|NOx|Non-fatal heart attacks", US_national_yearly!$D:$AM, 24, FALSE) / VLOOKUP("LULUCF|NOx|Non-fatal heart attacks", US_national_yearly!$D:$AM, 10, FALSE), 1)</f>
        <v>3.1852712219034306E-4</v>
      </c>
      <c r="Q13" s="7">
        <f>$B13 * IFERROR(VLOOKUP("LULUCF|NOx|Non-fatal heart attacks", US_national_yearly!$D:$AM, 25, FALSE) / VLOOKUP("LULUCF|NOx|Non-fatal heart attacks", US_national_yearly!$D:$AM, 10, FALSE), 1)</f>
        <v>3.2160570983302529E-4</v>
      </c>
      <c r="R13" s="7">
        <f>$B13 * IFERROR(VLOOKUP("LULUCF|NOx|Non-fatal heart attacks", US_national_yearly!$D:$AM, 26, FALSE) / VLOOKUP("LULUCF|NOx|Non-fatal heart attacks", US_national_yearly!$D:$AM, 10, FALSE), 1)</f>
        <v>3.2468429747570748E-4</v>
      </c>
      <c r="S13" s="7">
        <f>$B13 * IFERROR(VLOOKUP("LULUCF|NOx|Non-fatal heart attacks", US_national_yearly!$D:$AM, 27, FALSE) / VLOOKUP("LULUCF|NOx|Non-fatal heart attacks", US_national_yearly!$D:$AM, 10, FALSE), 1)</f>
        <v>3.2608076612308551E-4</v>
      </c>
      <c r="T13" s="7">
        <f>$B13 * IFERROR(VLOOKUP("LULUCF|NOx|Non-fatal heart attacks", US_national_yearly!$D:$AM, 28, FALSE) / VLOOKUP("LULUCF|NOx|Non-fatal heart attacks", US_national_yearly!$D:$AM, 10, FALSE), 1)</f>
        <v>3.2747723477046355E-4</v>
      </c>
      <c r="U13" s="7">
        <f>$B13 * IFERROR(VLOOKUP("LULUCF|NOx|Non-fatal heart attacks", US_national_yearly!$D:$AM, 29, FALSE) / VLOOKUP("LULUCF|NOx|Non-fatal heart attacks", US_national_yearly!$D:$AM, 10, FALSE), 1)</f>
        <v>3.2887370341784159E-4</v>
      </c>
      <c r="V13" s="7">
        <f>$B13 * IFERROR(VLOOKUP("LULUCF|NOx|Non-fatal heart attacks", US_national_yearly!$D:$AM, 30, FALSE) / VLOOKUP("LULUCF|NOx|Non-fatal heart attacks", US_national_yearly!$D:$AM, 10, FALSE), 1)</f>
        <v>3.3027017206521962E-4</v>
      </c>
      <c r="W13" s="7">
        <f>$B13 * IFERROR(VLOOKUP("LULUCF|NOx|Non-fatal heart attacks", US_national_yearly!$D:$AM, 31, FALSE) / VLOOKUP("LULUCF|NOx|Non-fatal heart attacks", US_national_yearly!$D:$AM, 10, FALSE), 1)</f>
        <v>3.3166664071259766E-4</v>
      </c>
      <c r="X13" s="7">
        <f>$B13 * IFERROR(VLOOKUP("LULUCF|NOx|Non-fatal heart attacks", US_national_yearly!$D:$AM, 32, FALSE) / VLOOKUP("LULUCF|NOx|Non-fatal heart attacks", US_national_yearly!$D:$AM, 10, FALSE), 1)</f>
        <v>3.3259983454245694E-4</v>
      </c>
      <c r="Y13" s="7">
        <f>$B13 * IFERROR(VLOOKUP("LULUCF|NOx|Non-fatal heart attacks", US_national_yearly!$D:$AM, 33, FALSE) / VLOOKUP("LULUCF|NOx|Non-fatal heart attacks", US_national_yearly!$D:$AM, 10, FALSE), 1)</f>
        <v>3.3353302837231622E-4</v>
      </c>
      <c r="Z13" s="7">
        <f>$B13 * IFERROR(VLOOKUP("LULUCF|NOx|Non-fatal heart attacks", US_national_yearly!$D:$AM, 34, FALSE) / VLOOKUP("LULUCF|NOx|Non-fatal heart attacks", US_national_yearly!$D:$AM, 10, FALSE), 1)</f>
        <v>3.3446622220217545E-4</v>
      </c>
      <c r="AA13" s="7">
        <f>$B13 * IFERROR(VLOOKUP("LULUCF|NOx|Non-fatal heart attacks", US_national_yearly!$D:$AM, 35, FALSE) / VLOOKUP("LULUCF|NOx|Non-fatal heart attacks", US_national_yearly!$D:$AM, 10, FALSE), 1)</f>
        <v>3.3539941603203467E-4</v>
      </c>
      <c r="AB13" s="7">
        <f>$B13 * IFERROR(VLOOKUP("LULUCF|NOx|Non-fatal heart attacks", US_national_yearly!$D:$AM, 36, FALSE) / VLOOKUP("LULUCF|NOx|Non-fatal heart attacks", US_national_yearly!$D:$AM, 10, FALSE), 1)</f>
        <v>3.3633260986189401E-4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0.19424627467793151</v>
      </c>
      <c r="C14" s="7">
        <f>$B14 * IFERROR(VLOOKUP("LULUCF|NOx|Minor restricted activity days", US_national_yearly!$D:$AM, 11, FALSE) / VLOOKUP("LULUCF|NOx|Minor restricted activity days", US_national_yearly!$D:$AM, 10, FALSE), 1)</f>
        <v>0.194544086815155</v>
      </c>
      <c r="D14" s="7">
        <f>$B14 * IFERROR(VLOOKUP("LULUCF|NOx|Minor restricted activity days", US_national_yearly!$D:$AM, 12, FALSE) / VLOOKUP("LULUCF|NOx|Minor restricted activity days", US_national_yearly!$D:$AM, 10, FALSE), 1)</f>
        <v>0.19484189895237852</v>
      </c>
      <c r="E14" s="7">
        <f>$B14 * IFERROR(VLOOKUP("LULUCF|NOx|Minor restricted activity days", US_national_yearly!$D:$AM, 13, FALSE) / VLOOKUP("LULUCF|NOx|Minor restricted activity days", US_national_yearly!$D:$AM, 10, FALSE), 1)</f>
        <v>0.19513971108960204</v>
      </c>
      <c r="F14" s="7">
        <f>$B14 * IFERROR(VLOOKUP("LULUCF|NOx|Minor restricted activity days", US_national_yearly!$D:$AM, 14, FALSE) / VLOOKUP("LULUCF|NOx|Minor restricted activity days", US_national_yearly!$D:$AM, 10, FALSE), 1)</f>
        <v>0.19543752322682553</v>
      </c>
      <c r="G14" s="7">
        <f>$B14 * IFERROR(VLOOKUP("LULUCF|NOx|Minor restricted activity days", US_national_yearly!$D:$AM, 15, FALSE) / VLOOKUP("LULUCF|NOx|Minor restricted activity days", US_national_yearly!$D:$AM, 10, FALSE), 1)</f>
        <v>0.1959753010612714</v>
      </c>
      <c r="H14" s="7">
        <f>$B14 * IFERROR(VLOOKUP("LULUCF|NOx|Minor restricted activity days", US_national_yearly!$D:$AM, 16, FALSE) / VLOOKUP("LULUCF|NOx|Minor restricted activity days", US_national_yearly!$D:$AM, 10, FALSE), 1)</f>
        <v>0.19651307889571726</v>
      </c>
      <c r="I14" s="7">
        <f>$B14 * IFERROR(VLOOKUP("LULUCF|NOx|Minor restricted activity days", US_national_yearly!$D:$AM, 17, FALSE) / VLOOKUP("LULUCF|NOx|Minor restricted activity days", US_national_yearly!$D:$AM, 10, FALSE), 1)</f>
        <v>0.19756495107395733</v>
      </c>
      <c r="J14" s="7">
        <f>$B14 * IFERROR(VLOOKUP("LULUCF|NOx|Minor restricted activity days", US_national_yearly!$D:$AM, 18, FALSE) / VLOOKUP("LULUCF|NOx|Minor restricted activity days", US_national_yearly!$D:$AM, 10, FALSE), 1)</f>
        <v>0.19861682325219737</v>
      </c>
      <c r="K14" s="7">
        <f>$B14 * IFERROR(VLOOKUP("LULUCF|NOx|Minor restricted activity days", US_national_yearly!$D:$AM, 19, FALSE) / VLOOKUP("LULUCF|NOx|Minor restricted activity days", US_national_yearly!$D:$AM, 10, FALSE), 1)</f>
        <v>0.19966869543043744</v>
      </c>
      <c r="L14" s="7">
        <f>$B14 * IFERROR(VLOOKUP("LULUCF|NOx|Minor restricted activity days", US_national_yearly!$D:$AM, 20, FALSE) / VLOOKUP("LULUCF|NOx|Minor restricted activity days", US_national_yearly!$D:$AM, 10, FALSE), 1)</f>
        <v>0.20072056760867749</v>
      </c>
      <c r="M14" s="7">
        <f>$B14 * IFERROR(VLOOKUP("LULUCF|NOx|Minor restricted activity days", US_national_yearly!$D:$AM, 21, FALSE) / VLOOKUP("LULUCF|NOx|Minor restricted activity days", US_national_yearly!$D:$AM, 10, FALSE), 1)</f>
        <v>0.20177243978691756</v>
      </c>
      <c r="N14" s="7">
        <f>$B14 * IFERROR(VLOOKUP("LULUCF|NOx|Minor restricted activity days", US_national_yearly!$D:$AM, 22, FALSE) / VLOOKUP("LULUCF|NOx|Minor restricted activity days", US_national_yearly!$D:$AM, 10, FALSE), 1)</f>
        <v>0.20327848223930683</v>
      </c>
      <c r="O14" s="7">
        <f>$B14 * IFERROR(VLOOKUP("LULUCF|NOx|Minor restricted activity days", US_national_yearly!$D:$AM, 23, FALSE) / VLOOKUP("LULUCF|NOx|Minor restricted activity days", US_national_yearly!$D:$AM, 10, FALSE), 1)</f>
        <v>0.20478452469169611</v>
      </c>
      <c r="P14" s="7">
        <f>$B14 * IFERROR(VLOOKUP("LULUCF|NOx|Minor restricted activity days", US_national_yearly!$D:$AM, 24, FALSE) / VLOOKUP("LULUCF|NOx|Minor restricted activity days", US_national_yearly!$D:$AM, 10, FALSE), 1)</f>
        <v>0.20629056714408542</v>
      </c>
      <c r="Q14" s="7">
        <f>$B14 * IFERROR(VLOOKUP("LULUCF|NOx|Minor restricted activity days", US_national_yearly!$D:$AM, 25, FALSE) / VLOOKUP("LULUCF|NOx|Minor restricted activity days", US_national_yearly!$D:$AM, 10, FALSE), 1)</f>
        <v>0.2077966095964747</v>
      </c>
      <c r="R14" s="7">
        <f>$B14 * IFERROR(VLOOKUP("LULUCF|NOx|Minor restricted activity days", US_national_yearly!$D:$AM, 26, FALSE) / VLOOKUP("LULUCF|NOx|Minor restricted activity days", US_national_yearly!$D:$AM, 10, FALSE), 1)</f>
        <v>0.20930265204886397</v>
      </c>
      <c r="S14" s="7">
        <f>$B14 * IFERROR(VLOOKUP("LULUCF|NOx|Minor restricted activity days", US_national_yearly!$D:$AM, 27, FALSE) / VLOOKUP("LULUCF|NOx|Minor restricted activity days", US_national_yearly!$D:$AM, 10, FALSE), 1)</f>
        <v>0.2108083778590511</v>
      </c>
      <c r="T14" s="7">
        <f>$B14 * IFERROR(VLOOKUP("LULUCF|NOx|Minor restricted activity days", US_national_yearly!$D:$AM, 28, FALSE) / VLOOKUP("LULUCF|NOx|Minor restricted activity days", US_national_yearly!$D:$AM, 10, FALSE), 1)</f>
        <v>0.21231410366923817</v>
      </c>
      <c r="U14" s="7">
        <f>$B14 * IFERROR(VLOOKUP("LULUCF|NOx|Minor restricted activity days", US_national_yearly!$D:$AM, 29, FALSE) / VLOOKUP("LULUCF|NOx|Minor restricted activity days", US_national_yearly!$D:$AM, 10, FALSE), 1)</f>
        <v>0.21381982947942529</v>
      </c>
      <c r="V14" s="7">
        <f>$B14 * IFERROR(VLOOKUP("LULUCF|NOx|Minor restricted activity days", US_national_yearly!$D:$AM, 30, FALSE) / VLOOKUP("LULUCF|NOx|Minor restricted activity days", US_national_yearly!$D:$AM, 10, FALSE), 1)</f>
        <v>0.21532555528961242</v>
      </c>
      <c r="W14" s="7">
        <f>$B14 * IFERROR(VLOOKUP("LULUCF|NOx|Minor restricted activity days", US_national_yearly!$D:$AM, 31, FALSE) / VLOOKUP("LULUCF|NOx|Minor restricted activity days", US_national_yearly!$D:$AM, 10, FALSE), 1)</f>
        <v>0.21683128109979949</v>
      </c>
      <c r="X14" s="7">
        <f>$B14 * IFERROR(VLOOKUP("LULUCF|NOx|Minor restricted activity days", US_national_yearly!$D:$AM, 32, FALSE) / VLOOKUP("LULUCF|NOx|Minor restricted activity days", US_national_yearly!$D:$AM, 10, FALSE), 1)</f>
        <v>0.21810431491043838</v>
      </c>
      <c r="Y14" s="7">
        <f>$B14 * IFERROR(VLOOKUP("LULUCF|NOx|Minor restricted activity days", US_national_yearly!$D:$AM, 33, FALSE) / VLOOKUP("LULUCF|NOx|Minor restricted activity days", US_national_yearly!$D:$AM, 10, FALSE), 1)</f>
        <v>0.21937734872107731</v>
      </c>
      <c r="Z14" s="7">
        <f>$B14 * IFERROR(VLOOKUP("LULUCF|NOx|Minor restricted activity days", US_national_yearly!$D:$AM, 34, FALSE) / VLOOKUP("LULUCF|NOx|Minor restricted activity days", US_national_yearly!$D:$AM, 10, FALSE), 1)</f>
        <v>0.2206503825317162</v>
      </c>
      <c r="AA14" s="7">
        <f>$B14 * IFERROR(VLOOKUP("LULUCF|NOx|Minor restricted activity days", US_national_yearly!$D:$AM, 35, FALSE) / VLOOKUP("LULUCF|NOx|Minor restricted activity days", US_national_yearly!$D:$AM, 10, FALSE), 1)</f>
        <v>0.2219234163423551</v>
      </c>
      <c r="AB14" s="7">
        <f>$B14 * IFERROR(VLOOKUP("LULUCF|NOx|Minor restricted activity days", US_national_yearly!$D:$AM, 36, FALSE) / VLOOKUP("LULUCF|NOx|Minor restricted activity days", US_national_yearly!$D:$AM, 10, FALSE), 1)</f>
        <v>0.22319645015299402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3.2703839375200577E-2</v>
      </c>
      <c r="C15" s="7">
        <f>$B15 * IFERROR(VLOOKUP("LULUCF|NOx|Work loss days", US_national_yearly!$D:$AM, 11, FALSE) / VLOOKUP("LULUCF|NOx|Work loss days", US_national_yearly!$D:$AM, 10, FALSE), 1)</f>
        <v>3.2776587306535286E-2</v>
      </c>
      <c r="D15" s="7">
        <f>$B15 * IFERROR(VLOOKUP("LULUCF|NOx|Work loss days", US_national_yearly!$D:$AM, 12, FALSE) / VLOOKUP("LULUCF|NOx|Work loss days", US_national_yearly!$D:$AM, 10, FALSE), 1)</f>
        <v>3.2849335237870009E-2</v>
      </c>
      <c r="E15" s="7">
        <f>$B15 * IFERROR(VLOOKUP("LULUCF|NOx|Work loss days", US_national_yearly!$D:$AM, 13, FALSE) / VLOOKUP("LULUCF|NOx|Work loss days", US_national_yearly!$D:$AM, 10, FALSE), 1)</f>
        <v>3.2922083169204718E-2</v>
      </c>
      <c r="F15" s="7">
        <f>$B15 * IFERROR(VLOOKUP("LULUCF|NOx|Work loss days", US_national_yearly!$D:$AM, 14, FALSE) / VLOOKUP("LULUCF|NOx|Work loss days", US_national_yearly!$D:$AM, 10, FALSE), 1)</f>
        <v>3.2994831100539433E-2</v>
      </c>
      <c r="G15" s="7">
        <f>$B15 * IFERROR(VLOOKUP("LULUCF|NOx|Work loss days", US_national_yearly!$D:$AM, 15, FALSE) / VLOOKUP("LULUCF|NOx|Work loss days", US_national_yearly!$D:$AM, 10, FALSE), 1)</f>
        <v>3.3101043700860269E-2</v>
      </c>
      <c r="H15" s="7">
        <f>$B15 * IFERROR(VLOOKUP("LULUCF|NOx|Work loss days", US_national_yearly!$D:$AM, 16, FALSE) / VLOOKUP("LULUCF|NOx|Work loss days", US_national_yearly!$D:$AM, 10, FALSE), 1)</f>
        <v>3.3207256301181112E-2</v>
      </c>
      <c r="I15" s="7">
        <f>$B15 * IFERROR(VLOOKUP("LULUCF|NOx|Work loss days", US_national_yearly!$D:$AM, 17, FALSE) / VLOOKUP("LULUCF|NOx|Work loss days", US_national_yearly!$D:$AM, 10, FALSE), 1)</f>
        <v>3.3379314957379766E-2</v>
      </c>
      <c r="J15" s="7">
        <f>$B15 * IFERROR(VLOOKUP("LULUCF|NOx|Work loss days", US_national_yearly!$D:$AM, 18, FALSE) / VLOOKUP("LULUCF|NOx|Work loss days", US_national_yearly!$D:$AM, 10, FALSE), 1)</f>
        <v>3.355137361357842E-2</v>
      </c>
      <c r="K15" s="7">
        <f>$B15 * IFERROR(VLOOKUP("LULUCF|NOx|Work loss days", US_national_yearly!$D:$AM, 19, FALSE) / VLOOKUP("LULUCF|NOx|Work loss days", US_national_yearly!$D:$AM, 10, FALSE), 1)</f>
        <v>3.3723432269777073E-2</v>
      </c>
      <c r="L15" s="7">
        <f>$B15 * IFERROR(VLOOKUP("LULUCF|NOx|Work loss days", US_national_yearly!$D:$AM, 20, FALSE) / VLOOKUP("LULUCF|NOx|Work loss days", US_national_yearly!$D:$AM, 10, FALSE), 1)</f>
        <v>3.3895490925975727E-2</v>
      </c>
      <c r="M15" s="7">
        <f>$B15 * IFERROR(VLOOKUP("LULUCF|NOx|Work loss days", US_national_yearly!$D:$AM, 21, FALSE) / VLOOKUP("LULUCF|NOx|Work loss days", US_national_yearly!$D:$AM, 10, FALSE), 1)</f>
        <v>3.4067549582174388E-2</v>
      </c>
      <c r="N15" s="7">
        <f>$B15 * IFERROR(VLOOKUP("LULUCF|NOx|Work loss days", US_national_yearly!$D:$AM, 22, FALSE) / VLOOKUP("LULUCF|NOx|Work loss days", US_national_yearly!$D:$AM, 10, FALSE), 1)</f>
        <v>3.4291473365227504E-2</v>
      </c>
      <c r="O15" s="7">
        <f>$B15 * IFERROR(VLOOKUP("LULUCF|NOx|Work loss days", US_national_yearly!$D:$AM, 23, FALSE) / VLOOKUP("LULUCF|NOx|Work loss days", US_national_yearly!$D:$AM, 10, FALSE), 1)</f>
        <v>3.451539714828062E-2</v>
      </c>
      <c r="P15" s="7">
        <f>$B15 * IFERROR(VLOOKUP("LULUCF|NOx|Work loss days", US_national_yearly!$D:$AM, 24, FALSE) / VLOOKUP("LULUCF|NOx|Work loss days", US_national_yearly!$D:$AM, 10, FALSE), 1)</f>
        <v>3.4739320931333736E-2</v>
      </c>
      <c r="Q15" s="7">
        <f>$B15 * IFERROR(VLOOKUP("LULUCF|NOx|Work loss days", US_national_yearly!$D:$AM, 25, FALSE) / VLOOKUP("LULUCF|NOx|Work loss days", US_national_yearly!$D:$AM, 10, FALSE), 1)</f>
        <v>3.4963244714386846E-2</v>
      </c>
      <c r="R15" s="7">
        <f>$B15 * IFERROR(VLOOKUP("LULUCF|NOx|Work loss days", US_national_yearly!$D:$AM, 26, FALSE) / VLOOKUP("LULUCF|NOx|Work loss days", US_national_yearly!$D:$AM, 10, FALSE), 1)</f>
        <v>3.5187168497439969E-2</v>
      </c>
      <c r="S15" s="7">
        <f>$B15 * IFERROR(VLOOKUP("LULUCF|NOx|Work loss days", US_national_yearly!$D:$AM, 27, FALSE) / VLOOKUP("LULUCF|NOx|Work loss days", US_national_yearly!$D:$AM, 10, FALSE), 1)</f>
        <v>3.5436814884200397E-2</v>
      </c>
      <c r="T15" s="7">
        <f>$B15 * IFERROR(VLOOKUP("LULUCF|NOx|Work loss days", US_national_yearly!$D:$AM, 28, FALSE) / VLOOKUP("LULUCF|NOx|Work loss days", US_national_yearly!$D:$AM, 10, FALSE), 1)</f>
        <v>3.5686461270960826E-2</v>
      </c>
      <c r="U15" s="7">
        <f>$B15 * IFERROR(VLOOKUP("LULUCF|NOx|Work loss days", US_national_yearly!$D:$AM, 29, FALSE) / VLOOKUP("LULUCF|NOx|Work loss days", US_national_yearly!$D:$AM, 10, FALSE), 1)</f>
        <v>3.5936107657721247E-2</v>
      </c>
      <c r="V15" s="7">
        <f>$B15 * IFERROR(VLOOKUP("LULUCF|NOx|Work loss days", US_national_yearly!$D:$AM, 30, FALSE) / VLOOKUP("LULUCF|NOx|Work loss days", US_national_yearly!$D:$AM, 10, FALSE), 1)</f>
        <v>3.6185754044481676E-2</v>
      </c>
      <c r="W15" s="7">
        <f>$B15 * IFERROR(VLOOKUP("LULUCF|NOx|Work loss days", US_national_yearly!$D:$AM, 31, FALSE) / VLOOKUP("LULUCF|NOx|Work loss days", US_national_yearly!$D:$AM, 10, FALSE), 1)</f>
        <v>3.6435400431242104E-2</v>
      </c>
      <c r="X15" s="7">
        <f>$B15 * IFERROR(VLOOKUP("LULUCF|NOx|Work loss days", US_national_yearly!$D:$AM, 32, FALSE) / VLOOKUP("LULUCF|NOx|Work loss days", US_national_yearly!$D:$AM, 10, FALSE), 1)</f>
        <v>3.6652080184618518E-2</v>
      </c>
      <c r="Y15" s="7">
        <f>$B15 * IFERROR(VLOOKUP("LULUCF|NOx|Work loss days", US_national_yearly!$D:$AM, 33, FALSE) / VLOOKUP("LULUCF|NOx|Work loss days", US_national_yearly!$D:$AM, 10, FALSE), 1)</f>
        <v>3.6868759937994926E-2</v>
      </c>
      <c r="Z15" s="7">
        <f>$B15 * IFERROR(VLOOKUP("LULUCF|NOx|Work loss days", US_national_yearly!$D:$AM, 34, FALSE) / VLOOKUP("LULUCF|NOx|Work loss days", US_national_yearly!$D:$AM, 10, FALSE), 1)</f>
        <v>3.708543969137134E-2</v>
      </c>
      <c r="AA15" s="7">
        <f>$B15 * IFERROR(VLOOKUP("LULUCF|NOx|Work loss days", US_national_yearly!$D:$AM, 35, FALSE) / VLOOKUP("LULUCF|NOx|Work loss days", US_national_yearly!$D:$AM, 10, FALSE), 1)</f>
        <v>3.7302119444747754E-2</v>
      </c>
      <c r="AB15" s="7">
        <f>$B15 * IFERROR(VLOOKUP("LULUCF|NOx|Work loss days", US_national_yearly!$D:$AM, 36, FALSE) / VLOOKUP("LULUCF|NOx|Work loss days", US_national_yearly!$D:$AM, 10, FALSE), 1)</f>
        <v>3.7518799198124161E-2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5.0788850171823697E-5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5.228126182942771E-5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5.3773673487031716E-5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5.5266085144635716E-5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5.6758496802239735E-5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5.8176041069984856E-5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5.9593585337729997E-5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6.0785630709535869E-5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6.1977676081341742E-5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6.3169721453147607E-5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6.4361766824953486E-5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6.5553812196759366E-5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6.6299237665917664E-5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6.7044663135075962E-5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6.779008860423426E-5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6.8535514073392572E-5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6.928093954255087E-5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6.9621056714386093E-5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6.9961173886221316E-5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7.0301291058056525E-5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7.0641408229891762E-5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7.0981525401726984E-5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7.1170812399584628E-5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7.1360099397442284E-5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7.1549386395299941E-5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7.1738673393157584E-5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7.192796039101524E-5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6.8314413747205057E-4</v>
      </c>
      <c r="C2" s="7">
        <f>$B2 * IFERROR(VLOOKUP("LULUCF|SO2|Premature mortality", US_national_yearly!$D:$AM, 11, FALSE) / VLOOKUP("LULUCF|SO2|Premature mortality", US_national_yearly!$D:$AM, 10, FALSE), 1)</f>
        <v>6.9179578834814017E-4</v>
      </c>
      <c r="D2" s="7">
        <f>$B2 * IFERROR(VLOOKUP("LULUCF|SO2|Premature mortality", US_national_yearly!$D:$AM, 12, FALSE) / VLOOKUP("LULUCF|SO2|Premature mortality", US_national_yearly!$D:$AM, 10, FALSE), 1)</f>
        <v>7.0044743922422989E-4</v>
      </c>
      <c r="E2" s="7">
        <f>$B2 * IFERROR(VLOOKUP("LULUCF|SO2|Premature mortality", US_national_yearly!$D:$AM, 13, FALSE) / VLOOKUP("LULUCF|SO2|Premature mortality", US_national_yearly!$D:$AM, 10, FALSE), 1)</f>
        <v>7.0909909010031939E-4</v>
      </c>
      <c r="F2" s="7">
        <f>$B2 * IFERROR(VLOOKUP("LULUCF|SO2|Premature mortality", US_national_yearly!$D:$AM, 14, FALSE) / VLOOKUP("LULUCF|SO2|Premature mortality", US_national_yearly!$D:$AM, 10, FALSE), 1)</f>
        <v>7.1775074097640899E-4</v>
      </c>
      <c r="G2" s="7">
        <f>$B2 * IFERROR(VLOOKUP("LULUCF|SO2|Premature mortality", US_national_yearly!$D:$AM, 15, FALSE) / VLOOKUP("LULUCF|SO2|Premature mortality", US_national_yearly!$D:$AM, 10, FALSE), 1)</f>
        <v>7.3442198189225443E-4</v>
      </c>
      <c r="H2" s="7">
        <f>$B2 * IFERROR(VLOOKUP("LULUCF|SO2|Premature mortality", US_national_yearly!$D:$AM, 16, FALSE) / VLOOKUP("LULUCF|SO2|Premature mortality", US_national_yearly!$D:$AM, 10, FALSE), 1)</f>
        <v>7.5109322280809986E-4</v>
      </c>
      <c r="I2" s="7">
        <f>$B2 * IFERROR(VLOOKUP("LULUCF|SO2|Premature mortality", US_national_yearly!$D:$AM, 17, FALSE) / VLOOKUP("LULUCF|SO2|Premature mortality", US_national_yearly!$D:$AM, 10, FALSE), 1)</f>
        <v>7.6211060031923029E-4</v>
      </c>
      <c r="J2" s="7">
        <f>$B2 * IFERROR(VLOOKUP("LULUCF|SO2|Premature mortality", US_national_yearly!$D:$AM, 18, FALSE) / VLOOKUP("LULUCF|SO2|Premature mortality", US_national_yearly!$D:$AM, 10, FALSE), 1)</f>
        <v>7.7312797783036071E-4</v>
      </c>
      <c r="K2" s="7">
        <f>$B2 * IFERROR(VLOOKUP("LULUCF|SO2|Premature mortality", US_national_yearly!$D:$AM, 19, FALSE) / VLOOKUP("LULUCF|SO2|Premature mortality", US_national_yearly!$D:$AM, 10, FALSE), 1)</f>
        <v>7.8414535534149102E-4</v>
      </c>
      <c r="L2" s="7">
        <f>$B2 * IFERROR(VLOOKUP("LULUCF|SO2|Premature mortality", US_national_yearly!$D:$AM, 20, FALSE) / VLOOKUP("LULUCF|SO2|Premature mortality", US_national_yearly!$D:$AM, 10, FALSE), 1)</f>
        <v>7.9516273285262144E-4</v>
      </c>
      <c r="M2" s="7">
        <f>$B2 * IFERROR(VLOOKUP("LULUCF|SO2|Premature mortality", US_national_yearly!$D:$AM, 21, FALSE) / VLOOKUP("LULUCF|SO2|Premature mortality", US_national_yearly!$D:$AM, 10, FALSE), 1)</f>
        <v>8.0618011036375187E-4</v>
      </c>
      <c r="N2" s="7">
        <f>$B2 * IFERROR(VLOOKUP("LULUCF|SO2|Premature mortality", US_national_yearly!$D:$AM, 22, FALSE) / VLOOKUP("LULUCF|SO2|Premature mortality", US_national_yearly!$D:$AM, 10, FALSE), 1)</f>
        <v>8.1478849153835157E-4</v>
      </c>
      <c r="O2" s="7">
        <f>$B2 * IFERROR(VLOOKUP("LULUCF|SO2|Premature mortality", US_national_yearly!$D:$AM, 23, FALSE) / VLOOKUP("LULUCF|SO2|Premature mortality", US_national_yearly!$D:$AM, 10, FALSE), 1)</f>
        <v>8.2339687271295139E-4</v>
      </c>
      <c r="P2" s="7">
        <f>$B2 * IFERROR(VLOOKUP("LULUCF|SO2|Premature mortality", US_national_yearly!$D:$AM, 24, FALSE) / VLOOKUP("LULUCF|SO2|Premature mortality", US_national_yearly!$D:$AM, 10, FALSE), 1)</f>
        <v>8.3200525388755109E-4</v>
      </c>
      <c r="Q2" s="7">
        <f>$B2 * IFERROR(VLOOKUP("LULUCF|SO2|Premature mortality", US_national_yearly!$D:$AM, 25, FALSE) / VLOOKUP("LULUCF|SO2|Premature mortality", US_national_yearly!$D:$AM, 10, FALSE), 1)</f>
        <v>8.4061363506215091E-4</v>
      </c>
      <c r="R2" s="7">
        <f>$B2 * IFERROR(VLOOKUP("LULUCF|SO2|Premature mortality", US_national_yearly!$D:$AM, 26, FALSE) / VLOOKUP("LULUCF|SO2|Premature mortality", US_national_yearly!$D:$AM, 10, FALSE), 1)</f>
        <v>8.4922201623675051E-4</v>
      </c>
      <c r="S2" s="7">
        <f>$B2 * IFERROR(VLOOKUP("LULUCF|SO2|Premature mortality", US_national_yearly!$D:$AM, 27, FALSE) / VLOOKUP("LULUCF|SO2|Premature mortality", US_national_yearly!$D:$AM, 10, FALSE), 1)</f>
        <v>8.5383191897805922E-4</v>
      </c>
      <c r="T2" s="7">
        <f>$B2 * IFERROR(VLOOKUP("LULUCF|SO2|Premature mortality", US_national_yearly!$D:$AM, 28, FALSE) / VLOOKUP("LULUCF|SO2|Premature mortality", US_national_yearly!$D:$AM, 10, FALSE), 1)</f>
        <v>8.5844182171936783E-4</v>
      </c>
      <c r="U2" s="7">
        <f>$B2 * IFERROR(VLOOKUP("LULUCF|SO2|Premature mortality", US_national_yearly!$D:$AM, 29, FALSE) / VLOOKUP("LULUCF|SO2|Premature mortality", US_national_yearly!$D:$AM, 10, FALSE), 1)</f>
        <v>8.6305172446067644E-4</v>
      </c>
      <c r="V2" s="7">
        <f>$B2 * IFERROR(VLOOKUP("LULUCF|SO2|Premature mortality", US_national_yearly!$D:$AM, 30, FALSE) / VLOOKUP("LULUCF|SO2|Premature mortality", US_national_yearly!$D:$AM, 10, FALSE), 1)</f>
        <v>8.6766162720198505E-4</v>
      </c>
      <c r="W2" s="7">
        <f>$B2 * IFERROR(VLOOKUP("LULUCF|SO2|Premature mortality", US_national_yearly!$D:$AM, 31, FALSE) / VLOOKUP("LULUCF|SO2|Premature mortality", US_national_yearly!$D:$AM, 10, FALSE), 1)</f>
        <v>8.7227152994329377E-4</v>
      </c>
      <c r="X2" s="7">
        <f>$B2 * IFERROR(VLOOKUP("LULUCF|SO2|Premature mortality", US_national_yearly!$D:$AM, 32, FALSE) / VLOOKUP("LULUCF|SO2|Premature mortality", US_national_yearly!$D:$AM, 10, FALSE), 1)</f>
        <v>8.7320804578582261E-4</v>
      </c>
      <c r="Y2" s="7">
        <f>$B2 * IFERROR(VLOOKUP("LULUCF|SO2|Premature mortality", US_national_yearly!$D:$AM, 33, FALSE) / VLOOKUP("LULUCF|SO2|Premature mortality", US_national_yearly!$D:$AM, 10, FALSE), 1)</f>
        <v>8.7414456162835167E-4</v>
      </c>
      <c r="Z2" s="7">
        <f>$B2 * IFERROR(VLOOKUP("LULUCF|SO2|Premature mortality", US_national_yearly!$D:$AM, 34, FALSE) / VLOOKUP("LULUCF|SO2|Premature mortality", US_national_yearly!$D:$AM, 10, FALSE), 1)</f>
        <v>8.7508107747088072E-4</v>
      </c>
      <c r="AA2" s="7">
        <f>$B2 * IFERROR(VLOOKUP("LULUCF|SO2|Premature mortality", US_national_yearly!$D:$AM, 35, FALSE) / VLOOKUP("LULUCF|SO2|Premature mortality", US_national_yearly!$D:$AM, 10, FALSE), 1)</f>
        <v>8.7601759331340978E-4</v>
      </c>
      <c r="AB2" s="7">
        <f>$B2 * IFERROR(VLOOKUP("LULUCF|SO2|Premature mortality", US_national_yearly!$D:$AM, 36, FALSE) / VLOOKUP("LULUCF|SO2|Premature mortality", US_national_yearly!$D:$AM, 10, FALSE), 1)</f>
        <v>8.7695410915593862E-4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1.1565792027526485E-6</v>
      </c>
      <c r="C3" s="7">
        <f>$B3 * IFERROR(VLOOKUP("LULUCF|SO2|Infant mortality", US_national_yearly!$D:$AM, 11, FALSE) / VLOOKUP("LULUCF|SO2|Infant mortality", US_national_yearly!$D:$AM, 10, FALSE), 1)</f>
        <v>1.1466439764345133E-6</v>
      </c>
      <c r="D3" s="7">
        <f>$B3 * IFERROR(VLOOKUP("LULUCF|SO2|Infant mortality", US_national_yearly!$D:$AM, 12, FALSE) / VLOOKUP("LULUCF|SO2|Infant mortality", US_national_yearly!$D:$AM, 10, FALSE), 1)</f>
        <v>1.1367087501163783E-6</v>
      </c>
      <c r="E3" s="7">
        <f>$B3 * IFERROR(VLOOKUP("LULUCF|SO2|Infant mortality", US_national_yearly!$D:$AM, 13, FALSE) / VLOOKUP("LULUCF|SO2|Infant mortality", US_national_yearly!$D:$AM, 10, FALSE), 1)</f>
        <v>1.1267735237982432E-6</v>
      </c>
      <c r="F3" s="7">
        <f>$B3 * IFERROR(VLOOKUP("LULUCF|SO2|Infant mortality", US_national_yearly!$D:$AM, 14, FALSE) / VLOOKUP("LULUCF|SO2|Infant mortality", US_national_yearly!$D:$AM, 10, FALSE), 1)</f>
        <v>1.1168382974801082E-6</v>
      </c>
      <c r="G3" s="7">
        <f>$B3 * IFERROR(VLOOKUP("LULUCF|SO2|Infant mortality", US_national_yearly!$D:$AM, 15, FALSE) / VLOOKUP("LULUCF|SO2|Infant mortality", US_national_yearly!$D:$AM, 10, FALSE), 1)</f>
        <v>7.4390425804360735E-7</v>
      </c>
      <c r="H3" s="7">
        <f>$B3 * IFERROR(VLOOKUP("LULUCF|SO2|Infant mortality", US_national_yearly!$D:$AM, 16, FALSE) / VLOOKUP("LULUCF|SO2|Infant mortality", US_national_yearly!$D:$AM, 10, FALSE), 1)</f>
        <v>3.7097021860710699E-7</v>
      </c>
      <c r="I3" s="7">
        <f>$B3 * IFERROR(VLOOKUP("LULUCF|SO2|Infant mortality", US_national_yearly!$D:$AM, 17, FALSE) / VLOOKUP("LULUCF|SO2|Infant mortality", US_national_yearly!$D:$AM, 10, FALSE), 1)</f>
        <v>3.6864301040239662E-7</v>
      </c>
      <c r="J3" s="7">
        <f>$B3 * IFERROR(VLOOKUP("LULUCF|SO2|Infant mortality", US_national_yearly!$D:$AM, 18, FALSE) / VLOOKUP("LULUCF|SO2|Infant mortality", US_national_yearly!$D:$AM, 10, FALSE), 1)</f>
        <v>3.6631580219768625E-7</v>
      </c>
      <c r="K3" s="7">
        <f>$B3 * IFERROR(VLOOKUP("LULUCF|SO2|Infant mortality", US_national_yearly!$D:$AM, 19, FALSE) / VLOOKUP("LULUCF|SO2|Infant mortality", US_national_yearly!$D:$AM, 10, FALSE), 1)</f>
        <v>3.6398859399297587E-7</v>
      </c>
      <c r="L3" s="7">
        <f>$B3 * IFERROR(VLOOKUP("LULUCF|SO2|Infant mortality", US_national_yearly!$D:$AM, 20, FALSE) / VLOOKUP("LULUCF|SO2|Infant mortality", US_national_yearly!$D:$AM, 10, FALSE), 1)</f>
        <v>3.6166138578826561E-7</v>
      </c>
      <c r="M3" s="7">
        <f>$B3 * IFERROR(VLOOKUP("LULUCF|SO2|Infant mortality", US_national_yearly!$D:$AM, 21, FALSE) / VLOOKUP("LULUCF|SO2|Infant mortality", US_national_yearly!$D:$AM, 10, FALSE), 1)</f>
        <v>3.5933417758355524E-7</v>
      </c>
      <c r="N3" s="7">
        <f>$B3 * IFERROR(VLOOKUP("LULUCF|SO2|Infant mortality", US_national_yearly!$D:$AM, 22, FALSE) / VLOOKUP("LULUCF|SO2|Infant mortality", US_national_yearly!$D:$AM, 10, FALSE), 1)</f>
        <v>3.5787340641648031E-7</v>
      </c>
      <c r="O3" s="7">
        <f>$B3 * IFERROR(VLOOKUP("LULUCF|SO2|Infant mortality", US_national_yearly!$D:$AM, 23, FALSE) / VLOOKUP("LULUCF|SO2|Infant mortality", US_national_yearly!$D:$AM, 10, FALSE), 1)</f>
        <v>3.5641263524940539E-7</v>
      </c>
      <c r="P3" s="7">
        <f>$B3 * IFERROR(VLOOKUP("LULUCF|SO2|Infant mortality", US_national_yearly!$D:$AM, 24, FALSE) / VLOOKUP("LULUCF|SO2|Infant mortality", US_national_yearly!$D:$AM, 10, FALSE), 1)</f>
        <v>3.5495186408233036E-7</v>
      </c>
      <c r="Q3" s="7">
        <f>$B3 * IFERROR(VLOOKUP("LULUCF|SO2|Infant mortality", US_national_yearly!$D:$AM, 25, FALSE) / VLOOKUP("LULUCF|SO2|Infant mortality", US_national_yearly!$D:$AM, 10, FALSE), 1)</f>
        <v>3.5349109291525543E-7</v>
      </c>
      <c r="R3" s="7">
        <f>$B3 * IFERROR(VLOOKUP("LULUCF|SO2|Infant mortality", US_national_yearly!$D:$AM, 26, FALSE) / VLOOKUP("LULUCF|SO2|Infant mortality", US_national_yearly!$D:$AM, 10, FALSE), 1)</f>
        <v>3.5203032174818045E-7</v>
      </c>
      <c r="S3" s="7">
        <f>$B3 * IFERROR(VLOOKUP("LULUCF|SO2|Infant mortality", US_national_yearly!$D:$AM, 27, FALSE) / VLOOKUP("LULUCF|SO2|Infant mortality", US_national_yearly!$D:$AM, 10, FALSE), 1)</f>
        <v>3.5019623455583345E-7</v>
      </c>
      <c r="T3" s="7">
        <f>$B3 * IFERROR(VLOOKUP("LULUCF|SO2|Infant mortality", US_national_yearly!$D:$AM, 28, FALSE) / VLOOKUP("LULUCF|SO2|Infant mortality", US_national_yearly!$D:$AM, 10, FALSE), 1)</f>
        <v>3.4836214736348639E-7</v>
      </c>
      <c r="U3" s="7">
        <f>$B3 * IFERROR(VLOOKUP("LULUCF|SO2|Infant mortality", US_national_yearly!$D:$AM, 29, FALSE) / VLOOKUP("LULUCF|SO2|Infant mortality", US_national_yearly!$D:$AM, 10, FALSE), 1)</f>
        <v>3.4652806017113922E-7</v>
      </c>
      <c r="V3" s="7">
        <f>$B3 * IFERROR(VLOOKUP("LULUCF|SO2|Infant mortality", US_national_yearly!$D:$AM, 30, FALSE) / VLOOKUP("LULUCF|SO2|Infant mortality", US_national_yearly!$D:$AM, 10, FALSE), 1)</f>
        <v>3.4469397297879226E-7</v>
      </c>
      <c r="W3" s="7">
        <f>$B3 * IFERROR(VLOOKUP("LULUCF|SO2|Infant mortality", US_national_yearly!$D:$AM, 31, FALSE) / VLOOKUP("LULUCF|SO2|Infant mortality", US_national_yearly!$D:$AM, 10, FALSE), 1)</f>
        <v>3.4285988578644515E-7</v>
      </c>
      <c r="X3" s="7">
        <f>$B3 * IFERROR(VLOOKUP("LULUCF|SO2|Infant mortality", US_national_yearly!$D:$AM, 32, FALSE) / VLOOKUP("LULUCF|SO2|Infant mortality", US_national_yearly!$D:$AM, 10, FALSE), 1)</f>
        <v>3.4085466235371636E-7</v>
      </c>
      <c r="Y3" s="7">
        <f>$B3 * IFERROR(VLOOKUP("LULUCF|SO2|Infant mortality", US_national_yearly!$D:$AM, 33, FALSE) / VLOOKUP("LULUCF|SO2|Infant mortality", US_national_yearly!$D:$AM, 10, FALSE), 1)</f>
        <v>3.3884943892098741E-7</v>
      </c>
      <c r="Z3" s="7">
        <f>$B3 * IFERROR(VLOOKUP("LULUCF|SO2|Infant mortality", US_national_yearly!$D:$AM, 34, FALSE) / VLOOKUP("LULUCF|SO2|Infant mortality", US_national_yearly!$D:$AM, 10, FALSE), 1)</f>
        <v>3.3684421548825857E-7</v>
      </c>
      <c r="AA3" s="7">
        <f>$B3 * IFERROR(VLOOKUP("LULUCF|SO2|Infant mortality", US_national_yearly!$D:$AM, 35, FALSE) / VLOOKUP("LULUCF|SO2|Infant mortality", US_national_yearly!$D:$AM, 10, FALSE), 1)</f>
        <v>3.3483899205552962E-7</v>
      </c>
      <c r="AB3" s="7">
        <f>$B3 * IFERROR(VLOOKUP("LULUCF|SO2|Infant mortality", US_national_yearly!$D:$AM, 36, FALSE) / VLOOKUP("LULUCF|SO2|Infant mortality", US_national_yearly!$D:$AM, 10, FALSE), 1)</f>
        <v>3.3283376862280078E-7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1.588613700014354E-3</v>
      </c>
      <c r="C6" s="7">
        <f>$B6 * IFERROR(VLOOKUP("LULUCF|SO2|Asthma symptoms cough", US_national_yearly!$D:$AM, 11, FALSE) / VLOOKUP("LULUCF|SO2|Asthma symptoms cough", US_national_yearly!$D:$AM, 10, FALSE), 1)</f>
        <v>1.588613700014354E-3</v>
      </c>
      <c r="D6" s="7">
        <f>$B6 * IFERROR(VLOOKUP("LULUCF|SO2|Asthma symptoms cough", US_national_yearly!$D:$AM, 12, FALSE) / VLOOKUP("LULUCF|SO2|Asthma symptoms cough", US_national_yearly!$D:$AM, 10, FALSE), 1)</f>
        <v>1.588613700014354E-3</v>
      </c>
      <c r="E6" s="7">
        <f>$B6 * IFERROR(VLOOKUP("LULUCF|SO2|Asthma symptoms cough", US_national_yearly!$D:$AM, 13, FALSE) / VLOOKUP("LULUCF|SO2|Asthma symptoms cough", US_national_yearly!$D:$AM, 10, FALSE), 1)</f>
        <v>1.588613700014354E-3</v>
      </c>
      <c r="F6" s="7">
        <f>$B6 * IFERROR(VLOOKUP("LULUCF|SO2|Asthma symptoms cough", US_national_yearly!$D:$AM, 14, FALSE) / VLOOKUP("LULUCF|SO2|Asthma symptoms cough", US_national_yearly!$D:$AM, 10, FALSE), 1)</f>
        <v>1.588613700014354E-3</v>
      </c>
      <c r="G6" s="7">
        <f>$B6 * IFERROR(VLOOKUP("LULUCF|SO2|Asthma symptoms cough", US_national_yearly!$D:$AM, 15, FALSE) / VLOOKUP("LULUCF|SO2|Asthma symptoms cough", US_national_yearly!$D:$AM, 10, FALSE), 1)</f>
        <v>1.588613700014354E-3</v>
      </c>
      <c r="H6" s="7">
        <f>$B6 * IFERROR(VLOOKUP("LULUCF|SO2|Asthma symptoms cough", US_national_yearly!$D:$AM, 16, FALSE) / VLOOKUP("LULUCF|SO2|Asthma symptoms cough", US_national_yearly!$D:$AM, 10, FALSE), 1)</f>
        <v>1.588613700014354E-3</v>
      </c>
      <c r="I6" s="7">
        <f>$B6 * IFERROR(VLOOKUP("LULUCF|SO2|Asthma symptoms cough", US_national_yearly!$D:$AM, 17, FALSE) / VLOOKUP("LULUCF|SO2|Asthma symptoms cough", US_national_yearly!$D:$AM, 10, FALSE), 1)</f>
        <v>1.588613700014354E-3</v>
      </c>
      <c r="J6" s="7">
        <f>$B6 * IFERROR(VLOOKUP("LULUCF|SO2|Asthma symptoms cough", US_national_yearly!$D:$AM, 18, FALSE) / VLOOKUP("LULUCF|SO2|Asthma symptoms cough", US_national_yearly!$D:$AM, 10, FALSE), 1)</f>
        <v>1.588613700014354E-3</v>
      </c>
      <c r="K6" s="7">
        <f>$B6 * IFERROR(VLOOKUP("LULUCF|SO2|Asthma symptoms cough", US_national_yearly!$D:$AM, 19, FALSE) / VLOOKUP("LULUCF|SO2|Asthma symptoms cough", US_national_yearly!$D:$AM, 10, FALSE), 1)</f>
        <v>1.588613700014354E-3</v>
      </c>
      <c r="L6" s="7">
        <f>$B6 * IFERROR(VLOOKUP("LULUCF|SO2|Asthma symptoms cough", US_national_yearly!$D:$AM, 20, FALSE) / VLOOKUP("LULUCF|SO2|Asthma symptoms cough", US_national_yearly!$D:$AM, 10, FALSE), 1)</f>
        <v>1.588613700014354E-3</v>
      </c>
      <c r="M6" s="7">
        <f>$B6 * IFERROR(VLOOKUP("LULUCF|SO2|Asthma symptoms cough", US_national_yearly!$D:$AM, 21, FALSE) / VLOOKUP("LULUCF|SO2|Asthma symptoms cough", US_national_yearly!$D:$AM, 10, FALSE), 1)</f>
        <v>1.588613700014354E-3</v>
      </c>
      <c r="N6" s="7">
        <f>$B6 * IFERROR(VLOOKUP("LULUCF|SO2|Asthma symptoms cough", US_national_yearly!$D:$AM, 22, FALSE) / VLOOKUP("LULUCF|SO2|Asthma symptoms cough", US_national_yearly!$D:$AM, 10, FALSE), 1)</f>
        <v>1.588613700014354E-3</v>
      </c>
      <c r="O6" s="7">
        <f>$B6 * IFERROR(VLOOKUP("LULUCF|SO2|Asthma symptoms cough", US_national_yearly!$D:$AM, 23, FALSE) / VLOOKUP("LULUCF|SO2|Asthma symptoms cough", US_national_yearly!$D:$AM, 10, FALSE), 1)</f>
        <v>1.588613700014354E-3</v>
      </c>
      <c r="P6" s="7">
        <f>$B6 * IFERROR(VLOOKUP("LULUCF|SO2|Asthma symptoms cough", US_national_yearly!$D:$AM, 24, FALSE) / VLOOKUP("LULUCF|SO2|Asthma symptoms cough", US_national_yearly!$D:$AM, 10, FALSE), 1)</f>
        <v>1.588613700014354E-3</v>
      </c>
      <c r="Q6" s="7">
        <f>$B6 * IFERROR(VLOOKUP("LULUCF|SO2|Asthma symptoms cough", US_national_yearly!$D:$AM, 25, FALSE) / VLOOKUP("LULUCF|SO2|Asthma symptoms cough", US_national_yearly!$D:$AM, 10, FALSE), 1)</f>
        <v>1.588613700014354E-3</v>
      </c>
      <c r="R6" s="7">
        <f>$B6 * IFERROR(VLOOKUP("LULUCF|SO2|Asthma symptoms cough", US_national_yearly!$D:$AM, 26, FALSE) / VLOOKUP("LULUCF|SO2|Asthma symptoms cough", US_national_yearly!$D:$AM, 10, FALSE), 1)</f>
        <v>1.588613700014354E-3</v>
      </c>
      <c r="S6" s="7">
        <f>$B6 * IFERROR(VLOOKUP("LULUCF|SO2|Asthma symptoms cough", US_national_yearly!$D:$AM, 27, FALSE) / VLOOKUP("LULUCF|SO2|Asthma symptoms cough", US_national_yearly!$D:$AM, 10, FALSE), 1)</f>
        <v>1.588613700014354E-3</v>
      </c>
      <c r="T6" s="7">
        <f>$B6 * IFERROR(VLOOKUP("LULUCF|SO2|Asthma symptoms cough", US_national_yearly!$D:$AM, 28, FALSE) / VLOOKUP("LULUCF|SO2|Asthma symptoms cough", US_national_yearly!$D:$AM, 10, FALSE), 1)</f>
        <v>1.588613700014354E-3</v>
      </c>
      <c r="U6" s="7">
        <f>$B6 * IFERROR(VLOOKUP("LULUCF|SO2|Asthma symptoms cough", US_national_yearly!$D:$AM, 29, FALSE) / VLOOKUP("LULUCF|SO2|Asthma symptoms cough", US_national_yearly!$D:$AM, 10, FALSE), 1)</f>
        <v>1.588613700014354E-3</v>
      </c>
      <c r="V6" s="7">
        <f>$B6 * IFERROR(VLOOKUP("LULUCF|SO2|Asthma symptoms cough", US_national_yearly!$D:$AM, 30, FALSE) / VLOOKUP("LULUCF|SO2|Asthma symptoms cough", US_national_yearly!$D:$AM, 10, FALSE), 1)</f>
        <v>1.588613700014354E-3</v>
      </c>
      <c r="W6" s="7">
        <f>$B6 * IFERROR(VLOOKUP("LULUCF|SO2|Asthma symptoms cough", US_national_yearly!$D:$AM, 31, FALSE) / VLOOKUP("LULUCF|SO2|Asthma symptoms cough", US_national_yearly!$D:$AM, 10, FALSE), 1)</f>
        <v>1.588613700014354E-3</v>
      </c>
      <c r="X6" s="7">
        <f>$B6 * IFERROR(VLOOKUP("LULUCF|SO2|Asthma symptoms cough", US_national_yearly!$D:$AM, 32, FALSE) / VLOOKUP("LULUCF|SO2|Asthma symptoms cough", US_national_yearly!$D:$AM, 10, FALSE), 1)</f>
        <v>1.588613700014354E-3</v>
      </c>
      <c r="Y6" s="7">
        <f>$B6 * IFERROR(VLOOKUP("LULUCF|SO2|Asthma symptoms cough", US_national_yearly!$D:$AM, 33, FALSE) / VLOOKUP("LULUCF|SO2|Asthma symptoms cough", US_national_yearly!$D:$AM, 10, FALSE), 1)</f>
        <v>1.588613700014354E-3</v>
      </c>
      <c r="Z6" s="7">
        <f>$B6 * IFERROR(VLOOKUP("LULUCF|SO2|Asthma symptoms cough", US_national_yearly!$D:$AM, 34, FALSE) / VLOOKUP("LULUCF|SO2|Asthma symptoms cough", US_national_yearly!$D:$AM, 10, FALSE), 1)</f>
        <v>1.588613700014354E-3</v>
      </c>
      <c r="AA6" s="7">
        <f>$B6 * IFERROR(VLOOKUP("LULUCF|SO2|Asthma symptoms cough", US_national_yearly!$D:$AM, 35, FALSE) / VLOOKUP("LULUCF|SO2|Asthma symptoms cough", US_national_yearly!$D:$AM, 10, FALSE), 1)</f>
        <v>1.588613700014354E-3</v>
      </c>
      <c r="AB6" s="7">
        <f>$B6 * IFERROR(VLOOKUP("LULUCF|SO2|Asthma symptoms cough", US_national_yearly!$D:$AM, 36, FALSE) / VLOOKUP("LULUCF|SO2|Asthma symptoms cough", US_national_yearly!$D:$AM, 10, FALSE), 1)</f>
        <v>1.588613700014354E-3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2.1392756440362396E-3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2.1392756440362396E-3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2.1392756440362396E-3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2.1392756440362396E-3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2.1392756440362396E-3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2.1392756440362396E-3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2.1392756440362396E-3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2.1392756440362396E-3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2.1392756440362396E-3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2.1392756440362396E-3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2.1392756440362396E-3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2.1392756440362396E-3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2.1392756440362396E-3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2.1392756440362396E-3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2.1392756440362396E-3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2.1392756440362396E-3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2.1392756440362396E-3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2.1392756440362396E-3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2.1392756440362396E-3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2.1392756440362396E-3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2.1392756440362396E-3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2.1392756440362396E-3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2.1392756440362396E-3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2.1392756440362396E-3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2.1392756440362396E-3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2.1392756440362396E-3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2.1392756440362396E-3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3.2685334255161229E-3</v>
      </c>
      <c r="C8" s="7">
        <f>$B8 * IFERROR(VLOOKUP("LULUCF|SO2|Asthma symptoms wheeze", US_national_yearly!$D:$AM, 11, FALSE) / VLOOKUP("LULUCF|SO2|Asthma symptoms wheeze", US_national_yearly!$D:$AM, 10, FALSE), 1)</f>
        <v>3.2685334255161229E-3</v>
      </c>
      <c r="D8" s="7">
        <f>$B8 * IFERROR(VLOOKUP("LULUCF|SO2|Asthma symptoms wheeze", US_national_yearly!$D:$AM, 12, FALSE) / VLOOKUP("LULUCF|SO2|Asthma symptoms wheeze", US_national_yearly!$D:$AM, 10, FALSE), 1)</f>
        <v>3.2685334255161229E-3</v>
      </c>
      <c r="E8" s="7">
        <f>$B8 * IFERROR(VLOOKUP("LULUCF|SO2|Asthma symptoms wheeze", US_national_yearly!$D:$AM, 13, FALSE) / VLOOKUP("LULUCF|SO2|Asthma symptoms wheeze", US_national_yearly!$D:$AM, 10, FALSE), 1)</f>
        <v>3.2685334255161229E-3</v>
      </c>
      <c r="F8" s="7">
        <f>$B8 * IFERROR(VLOOKUP("LULUCF|SO2|Asthma symptoms wheeze", US_national_yearly!$D:$AM, 14, FALSE) / VLOOKUP("LULUCF|SO2|Asthma symptoms wheeze", US_national_yearly!$D:$AM, 10, FALSE), 1)</f>
        <v>3.2685334255161229E-3</v>
      </c>
      <c r="G8" s="7">
        <f>$B8 * IFERROR(VLOOKUP("LULUCF|SO2|Asthma symptoms wheeze", US_national_yearly!$D:$AM, 15, FALSE) / VLOOKUP("LULUCF|SO2|Asthma symptoms wheeze", US_national_yearly!$D:$AM, 10, FALSE), 1)</f>
        <v>3.2685334255161229E-3</v>
      </c>
      <c r="H8" s="7">
        <f>$B8 * IFERROR(VLOOKUP("LULUCF|SO2|Asthma symptoms wheeze", US_national_yearly!$D:$AM, 16, FALSE) / VLOOKUP("LULUCF|SO2|Asthma symptoms wheeze", US_national_yearly!$D:$AM, 10, FALSE), 1)</f>
        <v>3.2685334255161229E-3</v>
      </c>
      <c r="I8" s="7">
        <f>$B8 * IFERROR(VLOOKUP("LULUCF|SO2|Asthma symptoms wheeze", US_national_yearly!$D:$AM, 17, FALSE) / VLOOKUP("LULUCF|SO2|Asthma symptoms wheeze", US_national_yearly!$D:$AM, 10, FALSE), 1)</f>
        <v>3.2685334255161229E-3</v>
      </c>
      <c r="J8" s="7">
        <f>$B8 * IFERROR(VLOOKUP("LULUCF|SO2|Asthma symptoms wheeze", US_national_yearly!$D:$AM, 18, FALSE) / VLOOKUP("LULUCF|SO2|Asthma symptoms wheeze", US_national_yearly!$D:$AM, 10, FALSE), 1)</f>
        <v>3.2685334255161229E-3</v>
      </c>
      <c r="K8" s="7">
        <f>$B8 * IFERROR(VLOOKUP("LULUCF|SO2|Asthma symptoms wheeze", US_national_yearly!$D:$AM, 19, FALSE) / VLOOKUP("LULUCF|SO2|Asthma symptoms wheeze", US_national_yearly!$D:$AM, 10, FALSE), 1)</f>
        <v>3.2685334255161229E-3</v>
      </c>
      <c r="L8" s="7">
        <f>$B8 * IFERROR(VLOOKUP("LULUCF|SO2|Asthma symptoms wheeze", US_national_yearly!$D:$AM, 20, FALSE) / VLOOKUP("LULUCF|SO2|Asthma symptoms wheeze", US_national_yearly!$D:$AM, 10, FALSE), 1)</f>
        <v>3.2685334255161229E-3</v>
      </c>
      <c r="M8" s="7">
        <f>$B8 * IFERROR(VLOOKUP("LULUCF|SO2|Asthma symptoms wheeze", US_national_yearly!$D:$AM, 21, FALSE) / VLOOKUP("LULUCF|SO2|Asthma symptoms wheeze", US_national_yearly!$D:$AM, 10, FALSE), 1)</f>
        <v>3.2685334255161229E-3</v>
      </c>
      <c r="N8" s="7">
        <f>$B8 * IFERROR(VLOOKUP("LULUCF|SO2|Asthma symptoms wheeze", US_national_yearly!$D:$AM, 22, FALSE) / VLOOKUP("LULUCF|SO2|Asthma symptoms wheeze", US_national_yearly!$D:$AM, 10, FALSE), 1)</f>
        <v>3.2685334255161229E-3</v>
      </c>
      <c r="O8" s="7">
        <f>$B8 * IFERROR(VLOOKUP("LULUCF|SO2|Asthma symptoms wheeze", US_national_yearly!$D:$AM, 23, FALSE) / VLOOKUP("LULUCF|SO2|Asthma symptoms wheeze", US_national_yearly!$D:$AM, 10, FALSE), 1)</f>
        <v>3.2685334255161229E-3</v>
      </c>
      <c r="P8" s="7">
        <f>$B8 * IFERROR(VLOOKUP("LULUCF|SO2|Asthma symptoms wheeze", US_national_yearly!$D:$AM, 24, FALSE) / VLOOKUP("LULUCF|SO2|Asthma symptoms wheeze", US_national_yearly!$D:$AM, 10, FALSE), 1)</f>
        <v>3.2685334255161229E-3</v>
      </c>
      <c r="Q8" s="7">
        <f>$B8 * IFERROR(VLOOKUP("LULUCF|SO2|Asthma symptoms wheeze", US_national_yearly!$D:$AM, 25, FALSE) / VLOOKUP("LULUCF|SO2|Asthma symptoms wheeze", US_national_yearly!$D:$AM, 10, FALSE), 1)</f>
        <v>3.2685334255161229E-3</v>
      </c>
      <c r="R8" s="7">
        <f>$B8 * IFERROR(VLOOKUP("LULUCF|SO2|Asthma symptoms wheeze", US_national_yearly!$D:$AM, 26, FALSE) / VLOOKUP("LULUCF|SO2|Asthma symptoms wheeze", US_national_yearly!$D:$AM, 10, FALSE), 1)</f>
        <v>3.2685334255161229E-3</v>
      </c>
      <c r="S8" s="7">
        <f>$B8 * IFERROR(VLOOKUP("LULUCF|SO2|Asthma symptoms wheeze", US_national_yearly!$D:$AM, 27, FALSE) / VLOOKUP("LULUCF|SO2|Asthma symptoms wheeze", US_national_yearly!$D:$AM, 10, FALSE), 1)</f>
        <v>3.2685334255161229E-3</v>
      </c>
      <c r="T8" s="7">
        <f>$B8 * IFERROR(VLOOKUP("LULUCF|SO2|Asthma symptoms wheeze", US_national_yearly!$D:$AM, 28, FALSE) / VLOOKUP("LULUCF|SO2|Asthma symptoms wheeze", US_national_yearly!$D:$AM, 10, FALSE), 1)</f>
        <v>3.2685334255161229E-3</v>
      </c>
      <c r="U8" s="7">
        <f>$B8 * IFERROR(VLOOKUP("LULUCF|SO2|Asthma symptoms wheeze", US_national_yearly!$D:$AM, 29, FALSE) / VLOOKUP("LULUCF|SO2|Asthma symptoms wheeze", US_national_yearly!$D:$AM, 10, FALSE), 1)</f>
        <v>3.2685334255161229E-3</v>
      </c>
      <c r="V8" s="7">
        <f>$B8 * IFERROR(VLOOKUP("LULUCF|SO2|Asthma symptoms wheeze", US_national_yearly!$D:$AM, 30, FALSE) / VLOOKUP("LULUCF|SO2|Asthma symptoms wheeze", US_national_yearly!$D:$AM, 10, FALSE), 1)</f>
        <v>3.2685334255161229E-3</v>
      </c>
      <c r="W8" s="7">
        <f>$B8 * IFERROR(VLOOKUP("LULUCF|SO2|Asthma symptoms wheeze", US_national_yearly!$D:$AM, 31, FALSE) / VLOOKUP("LULUCF|SO2|Asthma symptoms wheeze", US_national_yearly!$D:$AM, 10, FALSE), 1)</f>
        <v>3.2685334255161229E-3</v>
      </c>
      <c r="X8" s="7">
        <f>$B8 * IFERROR(VLOOKUP("LULUCF|SO2|Asthma symptoms wheeze", US_national_yearly!$D:$AM, 32, FALSE) / VLOOKUP("LULUCF|SO2|Asthma symptoms wheeze", US_national_yearly!$D:$AM, 10, FALSE), 1)</f>
        <v>3.2685334255161229E-3</v>
      </c>
      <c r="Y8" s="7">
        <f>$B8 * IFERROR(VLOOKUP("LULUCF|SO2|Asthma symptoms wheeze", US_national_yearly!$D:$AM, 33, FALSE) / VLOOKUP("LULUCF|SO2|Asthma symptoms wheeze", US_national_yearly!$D:$AM, 10, FALSE), 1)</f>
        <v>3.2685334255161229E-3</v>
      </c>
      <c r="Z8" s="7">
        <f>$B8 * IFERROR(VLOOKUP("LULUCF|SO2|Asthma symptoms wheeze", US_national_yearly!$D:$AM, 34, FALSE) / VLOOKUP("LULUCF|SO2|Asthma symptoms wheeze", US_national_yearly!$D:$AM, 10, FALSE), 1)</f>
        <v>3.2685334255161229E-3</v>
      </c>
      <c r="AA8" s="7">
        <f>$B8 * IFERROR(VLOOKUP("LULUCF|SO2|Asthma symptoms wheeze", US_national_yearly!$D:$AM, 35, FALSE) / VLOOKUP("LULUCF|SO2|Asthma symptoms wheeze", US_national_yearly!$D:$AM, 10, FALSE), 1)</f>
        <v>3.2685334255161229E-3</v>
      </c>
      <c r="AB8" s="7">
        <f>$B8 * IFERROR(VLOOKUP("LULUCF|SO2|Asthma symptoms wheeze", US_national_yearly!$D:$AM, 36, FALSE) / VLOOKUP("LULUCF|SO2|Asthma symptoms wheeze", US_national_yearly!$D:$AM, 10, FALSE), 1)</f>
        <v>3.2685334255161229E-3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3.6563995142214003E-5</v>
      </c>
      <c r="C12" s="7">
        <f>$B12 * IFERROR(VLOOKUP("LULUCF|SO2|Respiratory hospital admissions", US_national_yearly!$D:$AM, 11, FALSE) / VLOOKUP("LULUCF|SO2|Respiratory hospital admissions", US_national_yearly!$D:$AM, 10, FALSE), 1)</f>
        <v>3.6779651402606844E-5</v>
      </c>
      <c r="D12" s="7">
        <f>$B12 * IFERROR(VLOOKUP("LULUCF|SO2|Respiratory hospital admissions", US_national_yearly!$D:$AM, 12, FALSE) / VLOOKUP("LULUCF|SO2|Respiratory hospital admissions", US_national_yearly!$D:$AM, 10, FALSE), 1)</f>
        <v>3.6995307662999685E-5</v>
      </c>
      <c r="E12" s="7">
        <f>$B12 * IFERROR(VLOOKUP("LULUCF|SO2|Respiratory hospital admissions", US_national_yearly!$D:$AM, 13, FALSE) / VLOOKUP("LULUCF|SO2|Respiratory hospital admissions", US_national_yearly!$D:$AM, 10, FALSE), 1)</f>
        <v>3.7210963923392526E-5</v>
      </c>
      <c r="F12" s="7">
        <f>$B12 * IFERROR(VLOOKUP("LULUCF|SO2|Respiratory hospital admissions", US_national_yearly!$D:$AM, 14, FALSE) / VLOOKUP("LULUCF|SO2|Respiratory hospital admissions", US_national_yearly!$D:$AM, 10, FALSE), 1)</f>
        <v>3.7426620183785367E-5</v>
      </c>
      <c r="G12" s="7">
        <f>$B12 * IFERROR(VLOOKUP("LULUCF|SO2|Respiratory hospital admissions", US_national_yearly!$D:$AM, 15, FALSE) / VLOOKUP("LULUCF|SO2|Respiratory hospital admissions", US_national_yearly!$D:$AM, 10, FALSE), 1)</f>
        <v>3.7661721882569526E-5</v>
      </c>
      <c r="H12" s="7">
        <f>$B12 * IFERROR(VLOOKUP("LULUCF|SO2|Respiratory hospital admissions", US_national_yearly!$D:$AM, 16, FALSE) / VLOOKUP("LULUCF|SO2|Respiratory hospital admissions", US_national_yearly!$D:$AM, 10, FALSE), 1)</f>
        <v>3.7896823581353686E-5</v>
      </c>
      <c r="I12" s="7">
        <f>$B12 * IFERROR(VLOOKUP("LULUCF|SO2|Respiratory hospital admissions", US_national_yearly!$D:$AM, 17, FALSE) / VLOOKUP("LULUCF|SO2|Respiratory hospital admissions", US_national_yearly!$D:$AM, 10, FALSE), 1)</f>
        <v>3.8128661848534208E-5</v>
      </c>
      <c r="J12" s="7">
        <f>$B12 * IFERROR(VLOOKUP("LULUCF|SO2|Respiratory hospital admissions", US_national_yearly!$D:$AM, 18, FALSE) / VLOOKUP("LULUCF|SO2|Respiratory hospital admissions", US_national_yearly!$D:$AM, 10, FALSE), 1)</f>
        <v>3.8360500115714736E-5</v>
      </c>
      <c r="K12" s="7">
        <f>$B12 * IFERROR(VLOOKUP("LULUCF|SO2|Respiratory hospital admissions", US_national_yearly!$D:$AM, 19, FALSE) / VLOOKUP("LULUCF|SO2|Respiratory hospital admissions", US_national_yearly!$D:$AM, 10, FALSE), 1)</f>
        <v>3.8592338382895251E-5</v>
      </c>
      <c r="L12" s="7">
        <f>$B12 * IFERROR(VLOOKUP("LULUCF|SO2|Respiratory hospital admissions", US_national_yearly!$D:$AM, 20, FALSE) / VLOOKUP("LULUCF|SO2|Respiratory hospital admissions", US_national_yearly!$D:$AM, 10, FALSE), 1)</f>
        <v>3.8824176650075779E-5</v>
      </c>
      <c r="M12" s="7">
        <f>$B12 * IFERROR(VLOOKUP("LULUCF|SO2|Respiratory hospital admissions", US_national_yearly!$D:$AM, 21, FALSE) / VLOOKUP("LULUCF|SO2|Respiratory hospital admissions", US_national_yearly!$D:$AM, 10, FALSE), 1)</f>
        <v>3.9056014917256287E-5</v>
      </c>
      <c r="N12" s="7">
        <f>$B12 * IFERROR(VLOOKUP("LULUCF|SO2|Respiratory hospital admissions", US_national_yearly!$D:$AM, 22, FALSE) / VLOOKUP("LULUCF|SO2|Respiratory hospital admissions", US_national_yearly!$D:$AM, 10, FALSE), 1)</f>
        <v>3.9225249695775881E-5</v>
      </c>
      <c r="O12" s="7">
        <f>$B12 * IFERROR(VLOOKUP("LULUCF|SO2|Respiratory hospital admissions", US_national_yearly!$D:$AM, 23, FALSE) / VLOOKUP("LULUCF|SO2|Respiratory hospital admissions", US_national_yearly!$D:$AM, 10, FALSE), 1)</f>
        <v>3.9394484474295462E-5</v>
      </c>
      <c r="P12" s="7">
        <f>$B12 * IFERROR(VLOOKUP("LULUCF|SO2|Respiratory hospital admissions", US_national_yearly!$D:$AM, 24, FALSE) / VLOOKUP("LULUCF|SO2|Respiratory hospital admissions", US_national_yearly!$D:$AM, 10, FALSE), 1)</f>
        <v>3.9563719252815043E-5</v>
      </c>
      <c r="Q12" s="7">
        <f>$B12 * IFERROR(VLOOKUP("LULUCF|SO2|Respiratory hospital admissions", US_national_yearly!$D:$AM, 25, FALSE) / VLOOKUP("LULUCF|SO2|Respiratory hospital admissions", US_national_yearly!$D:$AM, 10, FALSE), 1)</f>
        <v>3.9732954031334637E-5</v>
      </c>
      <c r="R12" s="7">
        <f>$B12 * IFERROR(VLOOKUP("LULUCF|SO2|Respiratory hospital admissions", US_national_yearly!$D:$AM, 26, FALSE) / VLOOKUP("LULUCF|SO2|Respiratory hospital admissions", US_national_yearly!$D:$AM, 10, FALSE), 1)</f>
        <v>3.9902188809854218E-5</v>
      </c>
      <c r="S12" s="7">
        <f>$B12 * IFERROR(VLOOKUP("LULUCF|SO2|Respiratory hospital admissions", US_national_yearly!$D:$AM, 27, FALSE) / VLOOKUP("LULUCF|SO2|Respiratory hospital admissions", US_national_yearly!$D:$AM, 10, FALSE), 1)</f>
        <v>4.0063625875583923E-5</v>
      </c>
      <c r="T12" s="7">
        <f>$B12 * IFERROR(VLOOKUP("LULUCF|SO2|Respiratory hospital admissions", US_national_yearly!$D:$AM, 28, FALSE) / VLOOKUP("LULUCF|SO2|Respiratory hospital admissions", US_national_yearly!$D:$AM, 10, FALSE), 1)</f>
        <v>4.0225062941313621E-5</v>
      </c>
      <c r="U12" s="7">
        <f>$B12 * IFERROR(VLOOKUP("LULUCF|SO2|Respiratory hospital admissions", US_national_yearly!$D:$AM, 29, FALSE) / VLOOKUP("LULUCF|SO2|Respiratory hospital admissions", US_national_yearly!$D:$AM, 10, FALSE), 1)</f>
        <v>4.0386500007043333E-5</v>
      </c>
      <c r="V12" s="7">
        <f>$B12 * IFERROR(VLOOKUP("LULUCF|SO2|Respiratory hospital admissions", US_national_yearly!$D:$AM, 30, FALSE) / VLOOKUP("LULUCF|SO2|Respiratory hospital admissions", US_national_yearly!$D:$AM, 10, FALSE), 1)</f>
        <v>4.0547937072773039E-5</v>
      </c>
      <c r="W12" s="7">
        <f>$B12 * IFERROR(VLOOKUP("LULUCF|SO2|Respiratory hospital admissions", US_national_yearly!$D:$AM, 31, FALSE) / VLOOKUP("LULUCF|SO2|Respiratory hospital admissions", US_national_yearly!$D:$AM, 10, FALSE), 1)</f>
        <v>4.0709374138502751E-5</v>
      </c>
      <c r="X12" s="7">
        <f>$B12 * IFERROR(VLOOKUP("LULUCF|SO2|Respiratory hospital admissions", US_national_yearly!$D:$AM, 32, FALSE) / VLOOKUP("LULUCF|SO2|Respiratory hospital admissions", US_national_yearly!$D:$AM, 10, FALSE), 1)</f>
        <v>4.0862551409063866E-5</v>
      </c>
      <c r="Y12" s="7">
        <f>$B12 * IFERROR(VLOOKUP("LULUCF|SO2|Respiratory hospital admissions", US_national_yearly!$D:$AM, 33, FALSE) / VLOOKUP("LULUCF|SO2|Respiratory hospital admissions", US_national_yearly!$D:$AM, 10, FALSE), 1)</f>
        <v>4.1015728679624987E-5</v>
      </c>
      <c r="Z12" s="7">
        <f>$B12 * IFERROR(VLOOKUP("LULUCF|SO2|Respiratory hospital admissions", US_national_yearly!$D:$AM, 34, FALSE) / VLOOKUP("LULUCF|SO2|Respiratory hospital admissions", US_national_yearly!$D:$AM, 10, FALSE), 1)</f>
        <v>4.1168905950186102E-5</v>
      </c>
      <c r="AA12" s="7">
        <f>$B12 * IFERROR(VLOOKUP("LULUCF|SO2|Respiratory hospital admissions", US_national_yearly!$D:$AM, 35, FALSE) / VLOOKUP("LULUCF|SO2|Respiratory hospital admissions", US_national_yearly!$D:$AM, 10, FALSE), 1)</f>
        <v>4.1322083220747217E-5</v>
      </c>
      <c r="AB12" s="7">
        <f>$B12 * IFERROR(VLOOKUP("LULUCF|SO2|Respiratory hospital admissions", US_national_yearly!$D:$AM, 36, FALSE) / VLOOKUP("LULUCF|SO2|Respiratory hospital admissions", US_national_yearly!$D:$AM, 10, FALSE), 1)</f>
        <v>4.1475260491308345E-5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2.4294275850267989E-4</v>
      </c>
      <c r="C13" s="7">
        <f>$B13 * IFERROR(VLOOKUP("LULUCF|SO2|Non-fatal heart attacks", US_national_yearly!$D:$AM, 11, FALSE) / VLOOKUP("LULUCF|SO2|Non-fatal heart attacks", US_national_yearly!$D:$AM, 10, FALSE), 1)</f>
        <v>2.500746754758361E-4</v>
      </c>
      <c r="D13" s="7">
        <f>$B13 * IFERROR(VLOOKUP("LULUCF|SO2|Non-fatal heart attacks", US_national_yearly!$D:$AM, 12, FALSE) / VLOOKUP("LULUCF|SO2|Non-fatal heart attacks", US_national_yearly!$D:$AM, 10, FALSE), 1)</f>
        <v>2.5720659244899232E-4</v>
      </c>
      <c r="E13" s="7">
        <f>$B13 * IFERROR(VLOOKUP("LULUCF|SO2|Non-fatal heart attacks", US_national_yearly!$D:$AM, 13, FALSE) / VLOOKUP("LULUCF|SO2|Non-fatal heart attacks", US_national_yearly!$D:$AM, 10, FALSE), 1)</f>
        <v>2.6433850942214854E-4</v>
      </c>
      <c r="F13" s="7">
        <f>$B13 * IFERROR(VLOOKUP("LULUCF|SO2|Non-fatal heart attacks", US_national_yearly!$D:$AM, 14, FALSE) / VLOOKUP("LULUCF|SO2|Non-fatal heart attacks", US_national_yearly!$D:$AM, 10, FALSE), 1)</f>
        <v>2.7147042639530475E-4</v>
      </c>
      <c r="G13" s="7">
        <f>$B13 * IFERROR(VLOOKUP("LULUCF|SO2|Non-fatal heart attacks", US_national_yearly!$D:$AM, 15, FALSE) / VLOOKUP("LULUCF|SO2|Non-fatal heart attacks", US_national_yearly!$D:$AM, 10, FALSE), 1)</f>
        <v>2.7819648562670284E-4</v>
      </c>
      <c r="H13" s="7">
        <f>$B13 * IFERROR(VLOOKUP("LULUCF|SO2|Non-fatal heart attacks", US_national_yearly!$D:$AM, 16, FALSE) / VLOOKUP("LULUCF|SO2|Non-fatal heart attacks", US_national_yearly!$D:$AM, 10, FALSE), 1)</f>
        <v>2.8492254485810092E-4</v>
      </c>
      <c r="I13" s="7">
        <f>$B13 * IFERROR(VLOOKUP("LULUCF|SO2|Non-fatal heart attacks", US_national_yearly!$D:$AM, 17, FALSE) / VLOOKUP("LULUCF|SO2|Non-fatal heart attacks", US_national_yearly!$D:$AM, 10, FALSE), 1)</f>
        <v>2.9033491401732445E-4</v>
      </c>
      <c r="J13" s="7">
        <f>$B13 * IFERROR(VLOOKUP("LULUCF|SO2|Non-fatal heart attacks", US_national_yearly!$D:$AM, 18, FALSE) / VLOOKUP("LULUCF|SO2|Non-fatal heart attacks", US_national_yearly!$D:$AM, 10, FALSE), 1)</f>
        <v>2.9574728317654803E-4</v>
      </c>
      <c r="K13" s="7">
        <f>$B13 * IFERROR(VLOOKUP("LULUCF|SO2|Non-fatal heart attacks", US_national_yearly!$D:$AM, 19, FALSE) / VLOOKUP("LULUCF|SO2|Non-fatal heart attacks", US_national_yearly!$D:$AM, 10, FALSE), 1)</f>
        <v>3.0115965233577156E-4</v>
      </c>
      <c r="L13" s="7">
        <f>$B13 * IFERROR(VLOOKUP("LULUCF|SO2|Non-fatal heart attacks", US_national_yearly!$D:$AM, 20, FALSE) / VLOOKUP("LULUCF|SO2|Non-fatal heart attacks", US_national_yearly!$D:$AM, 10, FALSE), 1)</f>
        <v>3.065720214949952E-4</v>
      </c>
      <c r="M13" s="7">
        <f>$B13 * IFERROR(VLOOKUP("LULUCF|SO2|Non-fatal heart attacks", US_national_yearly!$D:$AM, 21, FALSE) / VLOOKUP("LULUCF|SO2|Non-fatal heart attacks", US_national_yearly!$D:$AM, 10, FALSE), 1)</f>
        <v>3.1198439065421879E-4</v>
      </c>
      <c r="N13" s="7">
        <f>$B13 * IFERROR(VLOOKUP("LULUCF|SO2|Non-fatal heart attacks", US_national_yearly!$D:$AM, 22, FALSE) / VLOOKUP("LULUCF|SO2|Non-fatal heart attacks", US_national_yearly!$D:$AM, 10, FALSE), 1)</f>
        <v>3.1549870733939766E-4</v>
      </c>
      <c r="O13" s="7">
        <f>$B13 * IFERROR(VLOOKUP("LULUCF|SO2|Non-fatal heart attacks", US_national_yearly!$D:$AM, 23, FALSE) / VLOOKUP("LULUCF|SO2|Non-fatal heart attacks", US_national_yearly!$D:$AM, 10, FALSE), 1)</f>
        <v>3.1901302402457664E-4</v>
      </c>
      <c r="P13" s="7">
        <f>$B13 * IFERROR(VLOOKUP("LULUCF|SO2|Non-fatal heart attacks", US_national_yearly!$D:$AM, 24, FALSE) / VLOOKUP("LULUCF|SO2|Non-fatal heart attacks", US_national_yearly!$D:$AM, 10, FALSE), 1)</f>
        <v>3.2252734070975563E-4</v>
      </c>
      <c r="Q13" s="7">
        <f>$B13 * IFERROR(VLOOKUP("LULUCF|SO2|Non-fatal heart attacks", US_national_yearly!$D:$AM, 25, FALSE) / VLOOKUP("LULUCF|SO2|Non-fatal heart attacks", US_national_yearly!$D:$AM, 10, FALSE), 1)</f>
        <v>3.2604165739493455E-4</v>
      </c>
      <c r="R13" s="7">
        <f>$B13 * IFERROR(VLOOKUP("LULUCF|SO2|Non-fatal heart attacks", US_national_yearly!$D:$AM, 26, FALSE) / VLOOKUP("LULUCF|SO2|Non-fatal heart attacks", US_national_yearly!$D:$AM, 10, FALSE), 1)</f>
        <v>3.2955597408011348E-4</v>
      </c>
      <c r="S13" s="7">
        <f>$B13 * IFERROR(VLOOKUP("LULUCF|SO2|Non-fatal heart attacks", US_national_yearly!$D:$AM, 27, FALSE) / VLOOKUP("LULUCF|SO2|Non-fatal heart attacks", US_national_yearly!$D:$AM, 10, FALSE), 1)</f>
        <v>3.3139077905415548E-4</v>
      </c>
      <c r="T13" s="7">
        <f>$B13 * IFERROR(VLOOKUP("LULUCF|SO2|Non-fatal heart attacks", US_national_yearly!$D:$AM, 28, FALSE) / VLOOKUP("LULUCF|SO2|Non-fatal heart attacks", US_national_yearly!$D:$AM, 10, FALSE), 1)</f>
        <v>3.3322558402819742E-4</v>
      </c>
      <c r="U13" s="7">
        <f>$B13 * IFERROR(VLOOKUP("LULUCF|SO2|Non-fatal heart attacks", US_national_yearly!$D:$AM, 29, FALSE) / VLOOKUP("LULUCF|SO2|Non-fatal heart attacks", US_national_yearly!$D:$AM, 10, FALSE), 1)</f>
        <v>3.3506038900223931E-4</v>
      </c>
      <c r="V13" s="7">
        <f>$B13 * IFERROR(VLOOKUP("LULUCF|SO2|Non-fatal heart attacks", US_national_yearly!$D:$AM, 30, FALSE) / VLOOKUP("LULUCF|SO2|Non-fatal heart attacks", US_national_yearly!$D:$AM, 10, FALSE), 1)</f>
        <v>3.368951939762812E-4</v>
      </c>
      <c r="W13" s="7">
        <f>$B13 * IFERROR(VLOOKUP("LULUCF|SO2|Non-fatal heart attacks", US_national_yearly!$D:$AM, 31, FALSE) / VLOOKUP("LULUCF|SO2|Non-fatal heart attacks", US_national_yearly!$D:$AM, 10, FALSE), 1)</f>
        <v>3.3872999895032319E-4</v>
      </c>
      <c r="X13" s="7">
        <f>$B13 * IFERROR(VLOOKUP("LULUCF|SO2|Non-fatal heart attacks", US_national_yearly!$D:$AM, 32, FALSE) / VLOOKUP("LULUCF|SO2|Non-fatal heart attacks", US_national_yearly!$D:$AM, 10, FALSE), 1)</f>
        <v>3.4011511620826761E-4</v>
      </c>
      <c r="Y13" s="7">
        <f>$B13 * IFERROR(VLOOKUP("LULUCF|SO2|Non-fatal heart attacks", US_national_yearly!$D:$AM, 33, FALSE) / VLOOKUP("LULUCF|SO2|Non-fatal heart attacks", US_national_yearly!$D:$AM, 10, FALSE), 1)</f>
        <v>3.4150023346621203E-4</v>
      </c>
      <c r="Z13" s="7">
        <f>$B13 * IFERROR(VLOOKUP("LULUCF|SO2|Non-fatal heart attacks", US_national_yearly!$D:$AM, 34, FALSE) / VLOOKUP("LULUCF|SO2|Non-fatal heart attacks", US_national_yearly!$D:$AM, 10, FALSE), 1)</f>
        <v>3.4288535072415639E-4</v>
      </c>
      <c r="AA13" s="7">
        <f>$B13 * IFERROR(VLOOKUP("LULUCF|SO2|Non-fatal heart attacks", US_national_yearly!$D:$AM, 35, FALSE) / VLOOKUP("LULUCF|SO2|Non-fatal heart attacks", US_national_yearly!$D:$AM, 10, FALSE), 1)</f>
        <v>3.4427046798210081E-4</v>
      </c>
      <c r="AB13" s="7">
        <f>$B13 * IFERROR(VLOOKUP("LULUCF|SO2|Non-fatal heart attacks", US_national_yearly!$D:$AM, 36, FALSE) / VLOOKUP("LULUCF|SO2|Non-fatal heart attacks", US_national_yearly!$D:$AM, 10, FALSE), 1)</f>
        <v>3.4565558524004522E-4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0.19424627467793151</v>
      </c>
      <c r="C14" s="7">
        <f>$B14 * IFERROR(VLOOKUP("LULUCF|SO2|Minor restricted activity days", US_national_yearly!$D:$AM, 11, FALSE) / VLOOKUP("LULUCF|SO2|Minor restricted activity days", US_national_yearly!$D:$AM, 10, FALSE), 1)</f>
        <v>0.1947359048150272</v>
      </c>
      <c r="D14" s="7">
        <f>$B14 * IFERROR(VLOOKUP("LULUCF|SO2|Minor restricted activity days", US_national_yearly!$D:$AM, 12, FALSE) / VLOOKUP("LULUCF|SO2|Minor restricted activity days", US_national_yearly!$D:$AM, 10, FALSE), 1)</f>
        <v>0.19522553495212283</v>
      </c>
      <c r="E14" s="7">
        <f>$B14 * IFERROR(VLOOKUP("LULUCF|SO2|Minor restricted activity days", US_national_yearly!$D:$AM, 13, FALSE) / VLOOKUP("LULUCF|SO2|Minor restricted activity days", US_national_yearly!$D:$AM, 10, FALSE), 1)</f>
        <v>0.19571516508921852</v>
      </c>
      <c r="F14" s="7">
        <f>$B14 * IFERROR(VLOOKUP("LULUCF|SO2|Minor restricted activity days", US_national_yearly!$D:$AM, 14, FALSE) / VLOOKUP("LULUCF|SO2|Minor restricted activity days", US_national_yearly!$D:$AM, 10, FALSE), 1)</f>
        <v>0.19620479522631418</v>
      </c>
      <c r="G14" s="7">
        <f>$B14 * IFERROR(VLOOKUP("LULUCF|SO2|Minor restricted activity days", US_national_yearly!$D:$AM, 15, FALSE) / VLOOKUP("LULUCF|SO2|Minor restricted activity days", US_national_yearly!$D:$AM, 10, FALSE), 1)</f>
        <v>0.19692548268658575</v>
      </c>
      <c r="H14" s="7">
        <f>$B14 * IFERROR(VLOOKUP("LULUCF|SO2|Minor restricted activity days", US_national_yearly!$D:$AM, 16, FALSE) / VLOOKUP("LULUCF|SO2|Minor restricted activity days", US_national_yearly!$D:$AM, 10, FALSE), 1)</f>
        <v>0.19764617014685731</v>
      </c>
      <c r="I14" s="7">
        <f>$B14 * IFERROR(VLOOKUP("LULUCF|SO2|Minor restricted activity days", US_national_yearly!$D:$AM, 17, FALSE) / VLOOKUP("LULUCF|SO2|Minor restricted activity days", US_national_yearly!$D:$AM, 10, FALSE), 1)</f>
        <v>0.1988752354344086</v>
      </c>
      <c r="J14" s="7">
        <f>$B14 * IFERROR(VLOOKUP("LULUCF|SO2|Minor restricted activity days", US_national_yearly!$D:$AM, 18, FALSE) / VLOOKUP("LULUCF|SO2|Minor restricted activity days", US_national_yearly!$D:$AM, 10, FALSE), 1)</f>
        <v>0.20010430072195987</v>
      </c>
      <c r="K14" s="7">
        <f>$B14 * IFERROR(VLOOKUP("LULUCF|SO2|Minor restricted activity days", US_national_yearly!$D:$AM, 19, FALSE) / VLOOKUP("LULUCF|SO2|Minor restricted activity days", US_national_yearly!$D:$AM, 10, FALSE), 1)</f>
        <v>0.20133336600951121</v>
      </c>
      <c r="L14" s="7">
        <f>$B14 * IFERROR(VLOOKUP("LULUCF|SO2|Minor restricted activity days", US_national_yearly!$D:$AM, 20, FALSE) / VLOOKUP("LULUCF|SO2|Minor restricted activity days", US_national_yearly!$D:$AM, 10, FALSE), 1)</f>
        <v>0.2025624312970625</v>
      </c>
      <c r="M14" s="7">
        <f>$B14 * IFERROR(VLOOKUP("LULUCF|SO2|Minor restricted activity days", US_national_yearly!$D:$AM, 21, FALSE) / VLOOKUP("LULUCF|SO2|Minor restricted activity days", US_national_yearly!$D:$AM, 10, FALSE), 1)</f>
        <v>0.20379149658461379</v>
      </c>
      <c r="N14" s="7">
        <f>$B14 * IFERROR(VLOOKUP("LULUCF|SO2|Minor restricted activity days", US_national_yearly!$D:$AM, 22, FALSE) / VLOOKUP("LULUCF|SO2|Minor restricted activity days", US_national_yearly!$D:$AM, 10, FALSE), 1)</f>
        <v>0.20547266068342351</v>
      </c>
      <c r="O14" s="7">
        <f>$B14 * IFERROR(VLOOKUP("LULUCF|SO2|Minor restricted activity days", US_national_yearly!$D:$AM, 23, FALSE) / VLOOKUP("LULUCF|SO2|Minor restricted activity days", US_national_yearly!$D:$AM, 10, FALSE), 1)</f>
        <v>0.20715382478223326</v>
      </c>
      <c r="P14" s="7">
        <f>$B14 * IFERROR(VLOOKUP("LULUCF|SO2|Minor restricted activity days", US_national_yearly!$D:$AM, 24, FALSE) / VLOOKUP("LULUCF|SO2|Minor restricted activity days", US_national_yearly!$D:$AM, 10, FALSE), 1)</f>
        <v>0.20883498888104302</v>
      </c>
      <c r="Q14" s="7">
        <f>$B14 * IFERROR(VLOOKUP("LULUCF|SO2|Minor restricted activity days", US_national_yearly!$D:$AM, 25, FALSE) / VLOOKUP("LULUCF|SO2|Minor restricted activity days", US_national_yearly!$D:$AM, 10, FALSE), 1)</f>
        <v>0.21051615297985277</v>
      </c>
      <c r="R14" s="7">
        <f>$B14 * IFERROR(VLOOKUP("LULUCF|SO2|Minor restricted activity days", US_national_yearly!$D:$AM, 26, FALSE) / VLOOKUP("LULUCF|SO2|Minor restricted activity days", US_national_yearly!$D:$AM, 10, FALSE), 1)</f>
        <v>0.21219731707866249</v>
      </c>
      <c r="S14" s="7">
        <f>$B14 * IFERROR(VLOOKUP("LULUCF|SO2|Minor restricted activity days", US_national_yearly!$D:$AM, 27, FALSE) / VLOOKUP("LULUCF|SO2|Minor restricted activity days", US_national_yearly!$D:$AM, 10, FALSE), 1)</f>
        <v>0.21391142841952773</v>
      </c>
      <c r="T14" s="7">
        <f>$B14 * IFERROR(VLOOKUP("LULUCF|SO2|Minor restricted activity days", US_national_yearly!$D:$AM, 28, FALSE) / VLOOKUP("LULUCF|SO2|Minor restricted activity days", US_national_yearly!$D:$AM, 10, FALSE), 1)</f>
        <v>0.215625539760393</v>
      </c>
      <c r="U14" s="7">
        <f>$B14 * IFERROR(VLOOKUP("LULUCF|SO2|Minor restricted activity days", US_national_yearly!$D:$AM, 29, FALSE) / VLOOKUP("LULUCF|SO2|Minor restricted activity days", US_national_yearly!$D:$AM, 10, FALSE), 1)</f>
        <v>0.21733965110125825</v>
      </c>
      <c r="V14" s="7">
        <f>$B14 * IFERROR(VLOOKUP("LULUCF|SO2|Minor restricted activity days", US_national_yearly!$D:$AM, 30, FALSE) / VLOOKUP("LULUCF|SO2|Minor restricted activity days", US_national_yearly!$D:$AM, 10, FALSE), 1)</f>
        <v>0.21905376244212349</v>
      </c>
      <c r="W14" s="7">
        <f>$B14 * IFERROR(VLOOKUP("LULUCF|SO2|Minor restricted activity days", US_national_yearly!$D:$AM, 31, FALSE) / VLOOKUP("LULUCF|SO2|Minor restricted activity days", US_national_yearly!$D:$AM, 10, FALSE), 1)</f>
        <v>0.22076787378298879</v>
      </c>
      <c r="X14" s="7">
        <f>$B14 * IFERROR(VLOOKUP("LULUCF|SO2|Minor restricted activity days", US_national_yearly!$D:$AM, 32, FALSE) / VLOOKUP("LULUCF|SO2|Minor restricted activity days", US_national_yearly!$D:$AM, 10, FALSE), 1)</f>
        <v>0.22227529811177582</v>
      </c>
      <c r="Y14" s="7">
        <f>$B14 * IFERROR(VLOOKUP("LULUCF|SO2|Minor restricted activity days", US_national_yearly!$D:$AM, 33, FALSE) / VLOOKUP("LULUCF|SO2|Minor restricted activity days", US_national_yearly!$D:$AM, 10, FALSE), 1)</f>
        <v>0.22378272244056285</v>
      </c>
      <c r="Z14" s="7">
        <f>$B14 * IFERROR(VLOOKUP("LULUCF|SO2|Minor restricted activity days", US_national_yearly!$D:$AM, 34, FALSE) / VLOOKUP("LULUCF|SO2|Minor restricted activity days", US_national_yearly!$D:$AM, 10, FALSE), 1)</f>
        <v>0.22529014676934994</v>
      </c>
      <c r="AA14" s="7">
        <f>$B14 * IFERROR(VLOOKUP("LULUCF|SO2|Minor restricted activity days", US_national_yearly!$D:$AM, 35, FALSE) / VLOOKUP("LULUCF|SO2|Minor restricted activity days", US_national_yearly!$D:$AM, 10, FALSE), 1)</f>
        <v>0.22679757109813697</v>
      </c>
      <c r="AB14" s="7">
        <f>$B14 * IFERROR(VLOOKUP("LULUCF|SO2|Minor restricted activity days", US_national_yearly!$D:$AM, 36, FALSE) / VLOOKUP("LULUCF|SO2|Minor restricted activity days", US_national_yearly!$D:$AM, 10, FALSE), 1)</f>
        <v>0.22830499542692406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3.2703839375200577E-2</v>
      </c>
      <c r="C15" s="7">
        <f>$B15 * IFERROR(VLOOKUP("LULUCF|SO2|Work loss days", US_national_yearly!$D:$AM, 11, FALSE) / VLOOKUP("LULUCF|SO2|Work loss days", US_national_yearly!$D:$AM, 10, FALSE), 1)</f>
        <v>3.2809794616960729E-2</v>
      </c>
      <c r="D15" s="7">
        <f>$B15 * IFERROR(VLOOKUP("LULUCF|SO2|Work loss days", US_national_yearly!$D:$AM, 12, FALSE) / VLOOKUP("LULUCF|SO2|Work loss days", US_national_yearly!$D:$AM, 10, FALSE), 1)</f>
        <v>3.291574985872088E-2</v>
      </c>
      <c r="E15" s="7">
        <f>$B15 * IFERROR(VLOOKUP("LULUCF|SO2|Work loss days", US_national_yearly!$D:$AM, 13, FALSE) / VLOOKUP("LULUCF|SO2|Work loss days", US_national_yearly!$D:$AM, 10, FALSE), 1)</f>
        <v>3.3021705100481032E-2</v>
      </c>
      <c r="F15" s="7">
        <f>$B15 * IFERROR(VLOOKUP("LULUCF|SO2|Work loss days", US_national_yearly!$D:$AM, 14, FALSE) / VLOOKUP("LULUCF|SO2|Work loss days", US_national_yearly!$D:$AM, 10, FALSE), 1)</f>
        <v>3.3127660342241183E-2</v>
      </c>
      <c r="G15" s="7">
        <f>$B15 * IFERROR(VLOOKUP("LULUCF|SO2|Work loss days", US_national_yearly!$D:$AM, 15, FALSE) / VLOOKUP("LULUCF|SO2|Work loss days", US_national_yearly!$D:$AM, 10, FALSE), 1)</f>
        <v>3.3266103830053288E-2</v>
      </c>
      <c r="H15" s="7">
        <f>$B15 * IFERROR(VLOOKUP("LULUCF|SO2|Work loss days", US_national_yearly!$D:$AM, 16, FALSE) / VLOOKUP("LULUCF|SO2|Work loss days", US_national_yearly!$D:$AM, 10, FALSE), 1)</f>
        <v>3.340454731786538E-2</v>
      </c>
      <c r="I15" s="7">
        <f>$B15 * IFERROR(VLOOKUP("LULUCF|SO2|Work loss days", US_national_yearly!$D:$AM, 17, FALSE) / VLOOKUP("LULUCF|SO2|Work loss days", US_national_yearly!$D:$AM, 10, FALSE), 1)</f>
        <v>3.3607071555837024E-2</v>
      </c>
      <c r="J15" s="7">
        <f>$B15 * IFERROR(VLOOKUP("LULUCF|SO2|Work loss days", US_national_yearly!$D:$AM, 18, FALSE) / VLOOKUP("LULUCF|SO2|Work loss days", US_national_yearly!$D:$AM, 10, FALSE), 1)</f>
        <v>3.3809595793808656E-2</v>
      </c>
      <c r="K15" s="7">
        <f>$B15 * IFERROR(VLOOKUP("LULUCF|SO2|Work loss days", US_national_yearly!$D:$AM, 19, FALSE) / VLOOKUP("LULUCF|SO2|Work loss days", US_national_yearly!$D:$AM, 10, FALSE), 1)</f>
        <v>3.40121200317803E-2</v>
      </c>
      <c r="L15" s="7">
        <f>$B15 * IFERROR(VLOOKUP("LULUCF|SO2|Work loss days", US_national_yearly!$D:$AM, 20, FALSE) / VLOOKUP("LULUCF|SO2|Work loss days", US_national_yearly!$D:$AM, 10, FALSE), 1)</f>
        <v>3.4214644269751945E-2</v>
      </c>
      <c r="M15" s="7">
        <f>$B15 * IFERROR(VLOOKUP("LULUCF|SO2|Work loss days", US_national_yearly!$D:$AM, 21, FALSE) / VLOOKUP("LULUCF|SO2|Work loss days", US_national_yearly!$D:$AM, 10, FALSE), 1)</f>
        <v>3.4417168507723583E-2</v>
      </c>
      <c r="N15" s="7">
        <f>$B15 * IFERROR(VLOOKUP("LULUCF|SO2|Work loss days", US_national_yearly!$D:$AM, 22, FALSE) / VLOOKUP("LULUCF|SO2|Work loss days", US_national_yearly!$D:$AM, 10, FALSE), 1)</f>
        <v>3.4671101082970175E-2</v>
      </c>
      <c r="O15" s="7">
        <f>$B15 * IFERROR(VLOOKUP("LULUCF|SO2|Work loss days", US_national_yearly!$D:$AM, 23, FALSE) / VLOOKUP("LULUCF|SO2|Work loss days", US_national_yearly!$D:$AM, 10, FALSE), 1)</f>
        <v>3.492503365821676E-2</v>
      </c>
      <c r="P15" s="7">
        <f>$B15 * IFERROR(VLOOKUP("LULUCF|SO2|Work loss days", US_national_yearly!$D:$AM, 24, FALSE) / VLOOKUP("LULUCF|SO2|Work loss days", US_national_yearly!$D:$AM, 10, FALSE), 1)</f>
        <v>3.5178966233463338E-2</v>
      </c>
      <c r="Q15" s="7">
        <f>$B15 * IFERROR(VLOOKUP("LULUCF|SO2|Work loss days", US_national_yearly!$D:$AM, 25, FALSE) / VLOOKUP("LULUCF|SO2|Work loss days", US_national_yearly!$D:$AM, 10, FALSE), 1)</f>
        <v>3.5432898808709923E-2</v>
      </c>
      <c r="R15" s="7">
        <f>$B15 * IFERROR(VLOOKUP("LULUCF|SO2|Work loss days", US_national_yearly!$D:$AM, 26, FALSE) / VLOOKUP("LULUCF|SO2|Work loss days", US_national_yearly!$D:$AM, 10, FALSE), 1)</f>
        <v>3.5686831383956508E-2</v>
      </c>
      <c r="S15" s="7">
        <f>$B15 * IFERROR(VLOOKUP("LULUCF|SO2|Work loss days", US_national_yearly!$D:$AM, 27, FALSE) / VLOOKUP("LULUCF|SO2|Work loss days", US_national_yearly!$D:$AM, 10, FALSE), 1)</f>
        <v>3.5970600199589559E-2</v>
      </c>
      <c r="T15" s="7">
        <f>$B15 * IFERROR(VLOOKUP("LULUCF|SO2|Work loss days", US_national_yearly!$D:$AM, 28, FALSE) / VLOOKUP("LULUCF|SO2|Work loss days", US_national_yearly!$D:$AM, 10, FALSE), 1)</f>
        <v>3.6254369015222623E-2</v>
      </c>
      <c r="U15" s="7">
        <f>$B15 * IFERROR(VLOOKUP("LULUCF|SO2|Work loss days", US_national_yearly!$D:$AM, 29, FALSE) / VLOOKUP("LULUCF|SO2|Work loss days", US_national_yearly!$D:$AM, 10, FALSE), 1)</f>
        <v>3.6538137830855674E-2</v>
      </c>
      <c r="V15" s="7">
        <f>$B15 * IFERROR(VLOOKUP("LULUCF|SO2|Work loss days", US_national_yearly!$D:$AM, 30, FALSE) / VLOOKUP("LULUCF|SO2|Work loss days", US_national_yearly!$D:$AM, 10, FALSE), 1)</f>
        <v>3.6821906646488725E-2</v>
      </c>
      <c r="W15" s="7">
        <f>$B15 * IFERROR(VLOOKUP("LULUCF|SO2|Work loss days", US_national_yearly!$D:$AM, 31, FALSE) / VLOOKUP("LULUCF|SO2|Work loss days", US_national_yearly!$D:$AM, 10, FALSE), 1)</f>
        <v>3.7105675462121783E-2</v>
      </c>
      <c r="X15" s="7">
        <f>$B15 * IFERROR(VLOOKUP("LULUCF|SO2|Work loss days", US_national_yearly!$D:$AM, 32, FALSE) / VLOOKUP("LULUCF|SO2|Work loss days", US_national_yearly!$D:$AM, 10, FALSE), 1)</f>
        <v>3.7360460744827163E-2</v>
      </c>
      <c r="Y15" s="7">
        <f>$B15 * IFERROR(VLOOKUP("LULUCF|SO2|Work loss days", US_national_yearly!$D:$AM, 33, FALSE) / VLOOKUP("LULUCF|SO2|Work loss days", US_national_yearly!$D:$AM, 10, FALSE), 1)</f>
        <v>3.7615246027532558E-2</v>
      </c>
      <c r="Z15" s="7">
        <f>$B15 * IFERROR(VLOOKUP("LULUCF|SO2|Work loss days", US_national_yearly!$D:$AM, 34, FALSE) / VLOOKUP("LULUCF|SO2|Work loss days", US_national_yearly!$D:$AM, 10, FALSE), 1)</f>
        <v>3.7870031310237952E-2</v>
      </c>
      <c r="AA15" s="7">
        <f>$B15 * IFERROR(VLOOKUP("LULUCF|SO2|Work loss days", US_national_yearly!$D:$AM, 35, FALSE) / VLOOKUP("LULUCF|SO2|Work loss days", US_national_yearly!$D:$AM, 10, FALSE), 1)</f>
        <v>3.8124816592943339E-2</v>
      </c>
      <c r="AB15" s="7">
        <f>$B15 * IFERROR(VLOOKUP("LULUCF|SO2|Work loss days", US_national_yearly!$D:$AM, 36, FALSE) / VLOOKUP("LULUCF|SO2|Work loss days", US_national_yearly!$D:$AM, 10, FALSE), 1)</f>
        <v>3.8379601875648733E-2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5.0788850171823697E-5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5.2324899492948234E-5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5.386094881407277E-5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5.53969981351973E-5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5.693304745632185E-5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5.8404436650497937E-5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5.9875825844674044E-5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6.113651924498832E-5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6.239721264530259E-5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6.365790604561686E-5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6.491859944593113E-5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6.6179292846245386E-5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6.7026191638194956E-5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6.7873090430144498E-5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6.8719989222094054E-5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6.9566888014043596E-5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7.0413786805993152E-5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7.0859195271308313E-5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7.1304603736623473E-5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7.1750012201938633E-5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7.219542066725378E-5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7.264082913256894E-5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7.2939846559413933E-5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7.3238863986258926E-5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7.3537881413103919E-5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7.3836898839948925E-5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7.4135916266793904E-5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2026-06-15T17:17:47Z</dcterms:modified>
</cp:coreProperties>
</file>