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BEB0F48A-7C51-4C72-864F-FA0D310B2BB2}"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O23" i="9"/>
  <c r="O43" i="9" s="1"/>
  <c r="N23" i="9"/>
  <c r="M23" i="9"/>
  <c r="L23" i="9"/>
  <c r="K23" i="9"/>
  <c r="J23" i="9"/>
  <c r="I23" i="9"/>
  <c r="H23" i="9"/>
  <c r="G23" i="9"/>
  <c r="F23" i="9"/>
  <c r="E23" i="9"/>
  <c r="D23" i="9"/>
  <c r="C23" i="9"/>
  <c r="B23" i="9"/>
  <c r="AB22" i="9"/>
  <c r="AA22" i="9"/>
  <c r="Z22" i="9"/>
  <c r="Y22" i="9"/>
  <c r="X22" i="9"/>
  <c r="W22" i="9"/>
  <c r="V22" i="9"/>
  <c r="U22" i="9"/>
  <c r="T22" i="9"/>
  <c r="T42" i="9" s="1"/>
  <c r="S22" i="9"/>
  <c r="R22" i="9"/>
  <c r="Q22" i="9"/>
  <c r="P22" i="9"/>
  <c r="O22" i="9"/>
  <c r="N22" i="9"/>
  <c r="M22" i="9"/>
  <c r="L22" i="9"/>
  <c r="K22" i="9"/>
  <c r="J22" i="9"/>
  <c r="I22" i="9"/>
  <c r="H22" i="9"/>
  <c r="G22" i="9"/>
  <c r="F22" i="9"/>
  <c r="E22" i="9"/>
  <c r="D22" i="9"/>
  <c r="C22" i="9"/>
  <c r="B22" i="9"/>
  <c r="AB21" i="9"/>
  <c r="AA21" i="9"/>
  <c r="Z21" i="9"/>
  <c r="Y21" i="9"/>
  <c r="Y41" i="9" s="1"/>
  <c r="X21" i="9"/>
  <c r="W21" i="9"/>
  <c r="V21" i="9"/>
  <c r="U21" i="9"/>
  <c r="T21" i="9"/>
  <c r="S21" i="9"/>
  <c r="R21" i="9"/>
  <c r="Q21" i="9"/>
  <c r="P21" i="9"/>
  <c r="O21" i="9"/>
  <c r="N21" i="9"/>
  <c r="M21" i="9"/>
  <c r="L21" i="9"/>
  <c r="K21" i="9"/>
  <c r="J21" i="9"/>
  <c r="I21" i="9"/>
  <c r="H21" i="9"/>
  <c r="G21" i="9"/>
  <c r="F21" i="9"/>
  <c r="E21" i="9"/>
  <c r="D21" i="9"/>
  <c r="C21" i="9"/>
  <c r="C41" i="9" s="1"/>
  <c r="B21" i="9"/>
  <c r="AB20" i="9"/>
  <c r="AA20" i="9"/>
  <c r="Z20" i="9"/>
  <c r="Y20" i="9"/>
  <c r="X20" i="9"/>
  <c r="W20" i="9"/>
  <c r="V20" i="9"/>
  <c r="U20" i="9"/>
  <c r="T20" i="9"/>
  <c r="S20" i="9"/>
  <c r="R20" i="9"/>
  <c r="Q20" i="9"/>
  <c r="P20" i="9"/>
  <c r="O20" i="9"/>
  <c r="N20" i="9"/>
  <c r="M20" i="9"/>
  <c r="L20" i="9"/>
  <c r="K20" i="9"/>
  <c r="J20" i="9"/>
  <c r="I20" i="9"/>
  <c r="H20" i="9"/>
  <c r="G20" i="9"/>
  <c r="F20" i="9"/>
  <c r="E20" i="9"/>
  <c r="D20" i="9"/>
  <c r="C20" i="9"/>
  <c r="B20" i="9"/>
  <c r="AB19" i="9"/>
  <c r="AA19" i="9"/>
  <c r="Z19" i="9"/>
  <c r="Y19" i="9"/>
  <c r="X19" i="9"/>
  <c r="W19" i="9"/>
  <c r="V19" i="9"/>
  <c r="U19" i="9"/>
  <c r="T19" i="9"/>
  <c r="S19" i="9"/>
  <c r="R19" i="9"/>
  <c r="Q19" i="9"/>
  <c r="P19" i="9"/>
  <c r="O19" i="9"/>
  <c r="N19" i="9"/>
  <c r="M19" i="9"/>
  <c r="M39" i="9" s="1"/>
  <c r="L19" i="9"/>
  <c r="K19" i="9"/>
  <c r="J19" i="9"/>
  <c r="I19" i="9"/>
  <c r="H19" i="9"/>
  <c r="G19" i="9"/>
  <c r="F19" i="9"/>
  <c r="E19" i="9"/>
  <c r="D19" i="9"/>
  <c r="C19" i="9"/>
  <c r="B19" i="9"/>
  <c r="AB18" i="9"/>
  <c r="AA18" i="9"/>
  <c r="Z18" i="9"/>
  <c r="Y18" i="9"/>
  <c r="X18" i="9"/>
  <c r="W18" i="9"/>
  <c r="V18" i="9"/>
  <c r="U18" i="9"/>
  <c r="T18" i="9"/>
  <c r="S18" i="9"/>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P43" i="9" l="1"/>
  <c r="I40" i="9"/>
  <c r="U42" i="9"/>
  <c r="S38" i="9"/>
  <c r="D41" i="9"/>
  <c r="N39" i="9"/>
  <c r="Z41" i="9"/>
  <c r="L39" i="9"/>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C4" i="10" s="1"/>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<sst xmlns="http://schemas.openxmlformats.org/spreadsheetml/2006/main" count="5677" uniqueCount="335">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</sst>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186</v>
      </c>
    </row>
    <row r="2" spans="1:2" x14ac:dyDescent="0.25">
      <c r="A2" s="3" t="s">
        <v>2</v>
      </c>
      <c r="B2" s="4" t="str">
        <f>IFERROR(INDEX(Geography!B:B, MATCH($B$1, Geography!C:C, 0)), "")</f>
        <v>WI</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2985442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1.0102331640038607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2975533</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0.98993901226026271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5132525</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1.1457790393525566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399186</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0.49019721807604344</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210750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0.54753919181126898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218514</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0.77424992758343358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500269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0.43007153630308903</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5460706</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5960975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1.1381800743924835</v>
      </c>
    </row>
    <row r="12" spans="1:28" x14ac:dyDescent="0.25">
      <c r="A12" s="4" t="s">
        <v>319</v>
      </c>
    </row>
    <row r="13" spans="1:28" x14ac:dyDescent="0.25">
      <c r="A13" s="4" t="s">
        <v>320</v>
      </c>
      <c r="B13" s="37">
        <f>INDEX(Census_pop_2020_2025!G:G, MATCH("."&amp;About!$B$1, Census_pop_2020_2025!A:A, 0))</f>
        <v>5957168</v>
      </c>
      <c r="C13" s="37">
        <f>INDEX(Census_pop_2020_2025!H:H, MATCH("."&amp;About!$B$1, Census_pop_2020_2025!A:A, 0))</f>
        <v>5972787</v>
      </c>
      <c r="D13" s="37">
        <f>INDEX(Census_pop_2020_2025!H:H, MATCH("."&amp;About!$B$1, Census_pop_2020_2025!A:A, 0))+0.2*(INDEX(Cooper_pop_2030_2050!D:D, MATCH(About!$B$1, Cooper_pop_2030_2050!B:B, 0))-INDEX(Census_pop_2020_2025!H:H, MATCH("."&amp;About!$B$1, Census_pop_2020_2025!A:A, 0)))</f>
        <v>5988734.5073858807</v>
      </c>
      <c r="E13" s="37">
        <f>INDEX(Census_pop_2020_2025!H:H, MATCH("."&amp;About!$B$1, Census_pop_2020_2025!A:A, 0))+0.4*(INDEX(Cooper_pop_2030_2050!D:D, MATCH(About!$B$1, Cooper_pop_2030_2050!B:B, 0))-INDEX(Census_pop_2020_2025!H:H, MATCH("."&amp;About!$B$1, Census_pop_2020_2025!A:A, 0)))</f>
        <v>6004682.0147717614</v>
      </c>
      <c r="F13" s="37">
        <f>INDEX(Census_pop_2020_2025!H:H, MATCH("."&amp;About!$B$1, Census_pop_2020_2025!A:A, 0))+0.6*(INDEX(Cooper_pop_2030_2050!D:D, MATCH(About!$B$1, Cooper_pop_2030_2050!B:B, 0))-INDEX(Census_pop_2020_2025!H:H, MATCH("."&amp;About!$B$1, Census_pop_2020_2025!A:A, 0)))</f>
        <v>6020629.5221576421</v>
      </c>
      <c r="G13" s="37">
        <f>INDEX(Census_pop_2020_2025!H:H, MATCH("."&amp;About!$B$1, Census_pop_2020_2025!A:A, 0))+0.8*(INDEX(Cooper_pop_2030_2050!D:D, MATCH(About!$B$1, Cooper_pop_2030_2050!B:B, 0))-INDEX(Census_pop_2020_2025!H:H, MATCH("."&amp;About!$B$1, Census_pop_2020_2025!A:A, 0)))</f>
        <v>6036577.0295435227</v>
      </c>
      <c r="H13" s="37">
        <f>INDEX(Cooper_pop_2030_2050!D:D, MATCH(About!$B$1, Cooper_pop_2030_2050!B:B, 0))</f>
        <v>6052524.5369294034</v>
      </c>
      <c r="I13" s="37">
        <f>INDEX(Cooper_pop_2030_2050!D:D, MATCH(About!$B$1, Cooper_pop_2030_2050!B:B, 0))+0.1*(INDEX(Cooper_pop_2030_2050!E:E, MATCH(About!$B$1, Cooper_pop_2030_2050!B:B, 0))-INDEX(Cooper_pop_2030_2050!D:D, MATCH(About!$B$1, Cooper_pop_2030_2050!B:B, 0)))</f>
        <v>6050345.0715812221</v>
      </c>
      <c r="J13" s="37">
        <f>INDEX(Cooper_pop_2030_2050!D:D, MATCH(About!$B$1, Cooper_pop_2030_2050!B:B, 0))+0.2*(INDEX(Cooper_pop_2030_2050!E:E, MATCH(About!$B$1, Cooper_pop_2030_2050!B:B, 0))-INDEX(Cooper_pop_2030_2050!D:D, MATCH(About!$B$1, Cooper_pop_2030_2050!B:B, 0)))</f>
        <v>6048165.6062330399</v>
      </c>
      <c r="K13" s="37">
        <f>INDEX(Cooper_pop_2030_2050!D:D, MATCH(About!$B$1, Cooper_pop_2030_2050!B:B, 0))+0.3*(INDEX(Cooper_pop_2030_2050!E:E, MATCH(About!$B$1, Cooper_pop_2030_2050!B:B, 0))-INDEX(Cooper_pop_2030_2050!D:D, MATCH(About!$B$1, Cooper_pop_2030_2050!B:B, 0)))</f>
        <v>6045986.1408848586</v>
      </c>
      <c r="L13" s="37">
        <f>INDEX(Cooper_pop_2030_2050!D:D, MATCH(About!$B$1, Cooper_pop_2030_2050!B:B, 0))+0.4*(INDEX(Cooper_pop_2030_2050!E:E, MATCH(About!$B$1, Cooper_pop_2030_2050!B:B, 0))-INDEX(Cooper_pop_2030_2050!D:D, MATCH(About!$B$1, Cooper_pop_2030_2050!B:B, 0)))</f>
        <v>6043806.6755366763</v>
      </c>
      <c r="M13" s="37">
        <f>INDEX(Cooper_pop_2030_2050!D:D, MATCH(About!$B$1, Cooper_pop_2030_2050!B:B, 0))+0.5*(INDEX(Cooper_pop_2030_2050!E:E, MATCH(About!$B$1, Cooper_pop_2030_2050!B:B, 0))-INDEX(Cooper_pop_2030_2050!D:D, MATCH(About!$B$1, Cooper_pop_2030_2050!B:B, 0)))</f>
        <v>6041627.210188495</v>
      </c>
      <c r="N13" s="37">
        <f>INDEX(Cooper_pop_2030_2050!D:D, MATCH(About!$B$1, Cooper_pop_2030_2050!B:B, 0))+0.6*(INDEX(Cooper_pop_2030_2050!E:E, MATCH(About!$B$1, Cooper_pop_2030_2050!B:B, 0))-INDEX(Cooper_pop_2030_2050!D:D, MATCH(About!$B$1, Cooper_pop_2030_2050!B:B, 0)))</f>
        <v>6039447.7448403137</v>
      </c>
      <c r="O13" s="37">
        <f>INDEX(Cooper_pop_2030_2050!D:D, MATCH(About!$B$1, Cooper_pop_2030_2050!B:B, 0))+0.7*(INDEX(Cooper_pop_2030_2050!E:E, MATCH(About!$B$1, Cooper_pop_2030_2050!B:B, 0))-INDEX(Cooper_pop_2030_2050!D:D, MATCH(About!$B$1, Cooper_pop_2030_2050!B:B, 0)))</f>
        <v>6037268.2794921314</v>
      </c>
      <c r="P13" s="37">
        <f>INDEX(Cooper_pop_2030_2050!D:D, MATCH(About!$B$1, Cooper_pop_2030_2050!B:B, 0))+0.8*(INDEX(Cooper_pop_2030_2050!E:E, MATCH(About!$B$1, Cooper_pop_2030_2050!B:B, 0))-INDEX(Cooper_pop_2030_2050!D:D, MATCH(About!$B$1, Cooper_pop_2030_2050!B:B, 0)))</f>
        <v>6035088.8141439501</v>
      </c>
      <c r="Q13" s="37">
        <f>INDEX(Cooper_pop_2030_2050!D:D, MATCH(About!$B$1, Cooper_pop_2030_2050!B:B, 0))+0.9*(INDEX(Cooper_pop_2030_2050!E:E, MATCH(About!$B$1, Cooper_pop_2030_2050!B:B, 0))-INDEX(Cooper_pop_2030_2050!D:D, MATCH(About!$B$1, Cooper_pop_2030_2050!B:B, 0)))</f>
        <v>6032909.3487957679</v>
      </c>
      <c r="R13" s="37">
        <f>INDEX(Cooper_pop_2030_2050!E:E, MATCH(About!$B$1, Cooper_pop_2030_2050!B:B, 0))</f>
        <v>6030729.8834475866</v>
      </c>
      <c r="S13" s="37">
        <f>INDEX(Cooper_pop_2030_2050!E:E, MATCH(About!$B$1, Cooper_pop_2030_2050!B:B, 0))+0.1*(INDEX(Cooper_pop_2030_2050!F:F, MATCH(About!$B$1, Cooper_pop_2030_2050!B:B, 0))-INDEX(Cooper_pop_2030_2050!E:E, MATCH(About!$B$1, Cooper_pop_2030_2050!B:B, 0)))</f>
        <v>6021516.9657105589</v>
      </c>
      <c r="T13" s="37">
        <f>INDEX(Cooper_pop_2030_2050!E:E, MATCH(About!$B$1, Cooper_pop_2030_2050!B:B, 0))+0.2*(INDEX(Cooper_pop_2030_2050!F:F, MATCH(About!$B$1, Cooper_pop_2030_2050!B:B, 0))-INDEX(Cooper_pop_2030_2050!E:E, MATCH(About!$B$1, Cooper_pop_2030_2050!B:B, 0)))</f>
        <v>6012304.0479735313</v>
      </c>
      <c r="U13" s="37">
        <f>INDEX(Cooper_pop_2030_2050!E:E, MATCH(About!$B$1, Cooper_pop_2030_2050!B:B, 0))+0.3*(INDEX(Cooper_pop_2030_2050!F:F, MATCH(About!$B$1, Cooper_pop_2030_2050!B:B, 0))-INDEX(Cooper_pop_2030_2050!E:E, MATCH(About!$B$1, Cooper_pop_2030_2050!B:B, 0)))</f>
        <v>6003091.1302365037</v>
      </c>
      <c r="V13" s="37">
        <f>INDEX(Cooper_pop_2030_2050!E:E, MATCH(About!$B$1, Cooper_pop_2030_2050!B:B, 0))+0.4*(INDEX(Cooper_pop_2030_2050!F:F, MATCH(About!$B$1, Cooper_pop_2030_2050!B:B, 0))-INDEX(Cooper_pop_2030_2050!E:E, MATCH(About!$B$1, Cooper_pop_2030_2050!B:B, 0)))</f>
        <v>5993878.212499476</v>
      </c>
      <c r="W13" s="37">
        <f>INDEX(Cooper_pop_2030_2050!E:E, MATCH(About!$B$1, Cooper_pop_2030_2050!B:B, 0))+0.5*(INDEX(Cooper_pop_2030_2050!F:F, MATCH(About!$B$1, Cooper_pop_2030_2050!B:B, 0))-INDEX(Cooper_pop_2030_2050!E:E, MATCH(About!$B$1, Cooper_pop_2030_2050!B:B, 0)))</f>
        <v>5984665.2947624484</v>
      </c>
      <c r="X13" s="37">
        <f>INDEX(Cooper_pop_2030_2050!E:E, MATCH(About!$B$1, Cooper_pop_2030_2050!B:B, 0))+0.6*(INDEX(Cooper_pop_2030_2050!F:F, MATCH(About!$B$1, Cooper_pop_2030_2050!B:B, 0))-INDEX(Cooper_pop_2030_2050!E:E, MATCH(About!$B$1, Cooper_pop_2030_2050!B:B, 0)))</f>
        <v>5975452.3770254208</v>
      </c>
      <c r="Y13" s="37">
        <f>INDEX(Cooper_pop_2030_2050!E:E, MATCH(About!$B$1, Cooper_pop_2030_2050!B:B, 0))+0.7*(INDEX(Cooper_pop_2030_2050!F:F, MATCH(About!$B$1, Cooper_pop_2030_2050!B:B, 0))-INDEX(Cooper_pop_2030_2050!E:E, MATCH(About!$B$1, Cooper_pop_2030_2050!B:B, 0)))</f>
        <v>5966239.4592883931</v>
      </c>
      <c r="Z13" s="37">
        <f>INDEX(Cooper_pop_2030_2050!E:E, MATCH(About!$B$1, Cooper_pop_2030_2050!B:B, 0))+0.8*(INDEX(Cooper_pop_2030_2050!F:F, MATCH(About!$B$1, Cooper_pop_2030_2050!B:B, 0))-INDEX(Cooper_pop_2030_2050!E:E, MATCH(About!$B$1, Cooper_pop_2030_2050!B:B, 0)))</f>
        <v>5957026.5415513655</v>
      </c>
      <c r="AA13" s="37">
        <f>INDEX(Cooper_pop_2030_2050!E:E, MATCH(About!$B$1, Cooper_pop_2030_2050!B:B, 0))+0.9*(INDEX(Cooper_pop_2030_2050!F:F, MATCH(About!$B$1, Cooper_pop_2030_2050!B:B, 0))-INDEX(Cooper_pop_2030_2050!E:E, MATCH(About!$B$1, Cooper_pop_2030_2050!B:B, 0)))</f>
        <v>5947813.6238143379</v>
      </c>
      <c r="AB13" s="37">
        <f>INDEX(Cooper_pop_2030_2050!F:F, MATCH(About!$B$1, Cooper_pop_2030_2050!B:B, 0))</f>
        <v>5938600.7060773103</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1.770426063113098E-2</v>
      </c>
      <c r="C15" s="39">
        <f t="shared" si="1"/>
        <v>1.767011746023732E-2</v>
      </c>
      <c r="D15" s="39">
        <f t="shared" si="1"/>
        <v>1.7639188230266323E-2</v>
      </c>
      <c r="E15" s="39">
        <f t="shared" si="1"/>
        <v>1.7610561867416708E-2</v>
      </c>
      <c r="F15" s="39">
        <f t="shared" si="1"/>
        <v>1.7584396055545549E-2</v>
      </c>
      <c r="G15" s="39">
        <f t="shared" si="1"/>
        <v>1.7560757692250507E-2</v>
      </c>
      <c r="H15" s="39">
        <f t="shared" si="1"/>
        <v>1.7539809335813374E-2</v>
      </c>
      <c r="I15" s="39">
        <f t="shared" si="1"/>
        <v>1.7469417130773893E-2</v>
      </c>
      <c r="J15" s="39">
        <f t="shared" si="1"/>
        <v>1.7402534638060237E-2</v>
      </c>
      <c r="K15" s="39">
        <f t="shared" si="1"/>
        <v>1.7338556706108711E-2</v>
      </c>
      <c r="L15" s="39">
        <f t="shared" si="1"/>
        <v>1.7277514449353007E-2</v>
      </c>
      <c r="M15" s="39">
        <f t="shared" si="1"/>
        <v>1.7219428103313089E-2</v>
      </c>
      <c r="N15" s="39">
        <f t="shared" si="1"/>
        <v>1.7164302682142276E-2</v>
      </c>
      <c r="O15" s="39">
        <f t="shared" si="1"/>
        <v>1.7112145131379031E-2</v>
      </c>
      <c r="P15" s="39">
        <f t="shared" si="1"/>
        <v>1.7062942121661206E-2</v>
      </c>
      <c r="Q15" s="39">
        <f t="shared" si="1"/>
        <v>1.7016646969911918E-2</v>
      </c>
      <c r="R15" s="39">
        <f t="shared" si="1"/>
        <v>1.6973194687186409E-2</v>
      </c>
      <c r="S15" s="39">
        <f t="shared" si="1"/>
        <v>1.6912779944755259E-2</v>
      </c>
      <c r="T15" s="39">
        <f t="shared" si="1"/>
        <v>1.6855095151475704E-2</v>
      </c>
      <c r="U15" s="39">
        <f t="shared" si="1"/>
        <v>1.6799973858810543E-2</v>
      </c>
      <c r="V15" s="39">
        <f t="shared" si="1"/>
        <v>1.6747195787977009E-2</v>
      </c>
      <c r="W15" s="39">
        <f t="shared" si="1"/>
        <v>1.6696515842540068E-2</v>
      </c>
      <c r="X15" s="39">
        <f t="shared" si="1"/>
        <v>1.6647684849616314E-2</v>
      </c>
      <c r="Y15" s="39">
        <f t="shared" si="1"/>
        <v>1.6600539966925162E-2</v>
      </c>
      <c r="Z15" s="39">
        <f t="shared" si="1"/>
        <v>1.6554848500568205E-2</v>
      </c>
      <c r="AA15" s="39">
        <f t="shared" si="1"/>
        <v>1.6510376649451878E-2</v>
      </c>
      <c r="AB15" s="39">
        <f t="shared" si="1"/>
        <v>1.6466896498359241E-2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168.31979334069362</v>
      </c>
      <c r="C48" s="37">
        <f t="shared" si="10"/>
        <v>166.72776717943833</v>
      </c>
      <c r="D48" s="37">
        <f t="shared" si="10"/>
        <v>165.15291413382866</v>
      </c>
      <c r="E48" s="37">
        <f t="shared" si="10"/>
        <v>163.60395434935546</v>
      </c>
      <c r="F48" s="37">
        <f t="shared" si="10"/>
        <v>162.04631006646056</v>
      </c>
      <c r="G48" s="37">
        <f t="shared" si="10"/>
        <v>160.48019940279065</v>
      </c>
      <c r="H48" s="37">
        <f t="shared" si="10"/>
        <v>158.90665622548579</v>
      </c>
      <c r="I48" s="37">
        <f t="shared" si="10"/>
        <v>156.94530512600281</v>
      </c>
      <c r="J48" s="37">
        <f t="shared" si="10"/>
        <v>154.90282192995053</v>
      </c>
      <c r="K48" s="37">
        <f t="shared" si="10"/>
        <v>152.91454905412544</v>
      </c>
      <c r="L48" s="37">
        <f t="shared" si="10"/>
        <v>150.85767123711042</v>
      </c>
      <c r="M48" s="37">
        <f t="shared" si="10"/>
        <v>148.85446867685269</v>
      </c>
      <c r="N48" s="37">
        <f t="shared" si="10"/>
        <v>146.92137776447908</v>
      </c>
      <c r="O48" s="37">
        <f t="shared" si="10"/>
        <v>144.81534785938069</v>
      </c>
      <c r="P48" s="37">
        <f t="shared" si="10"/>
        <v>142.79586425617003</v>
      </c>
      <c r="Q48" s="37">
        <f t="shared" si="10"/>
        <v>140.70654337839949</v>
      </c>
      <c r="R48" s="37">
        <f t="shared" si="10"/>
        <v>138.6325585313464</v>
      </c>
      <c r="S48" s="37">
        <f t="shared" si="10"/>
        <v>136.37926424400672</v>
      </c>
      <c r="T48" s="37">
        <f t="shared" si="10"/>
        <v>134.16027212705163</v>
      </c>
      <c r="U48" s="37">
        <f t="shared" si="10"/>
        <v>131.97342244531526</v>
      </c>
      <c r="V48" s="37">
        <f t="shared" si="10"/>
        <v>129.81620747601193</v>
      </c>
      <c r="W48" s="37">
        <f t="shared" si="10"/>
        <v>127.70288876182272</v>
      </c>
      <c r="X48" s="37">
        <f t="shared" si="10"/>
        <v>125.74851004545643</v>
      </c>
      <c r="Y48" s="37">
        <f t="shared" si="10"/>
        <v>123.81598143844488</v>
      </c>
      <c r="Z48" s="37">
        <f t="shared" si="10"/>
        <v>121.98673041455318</v>
      </c>
      <c r="AA48" s="37">
        <f t="shared" si="10"/>
        <v>120.19125227884169</v>
      </c>
      <c r="AB48" s="37">
        <f t="shared" si="10"/>
        <v>118.4108124402325</v>
      </c>
    </row>
    <row r="49" spans="1:28" x14ac:dyDescent="0.25">
      <c r="A49" s="4" t="s">
        <v>216</v>
      </c>
      <c r="B49" s="37">
        <f t="shared" ref="B49:AB49" si="11">B29*B15*$F$5</f>
        <v>131.51614166797836</v>
      </c>
      <c r="C49" s="37">
        <f t="shared" si="11"/>
        <v>130.5453231591971</v>
      </c>
      <c r="D49" s="37">
        <f t="shared" si="11"/>
        <v>129.60089009831827</v>
      </c>
      <c r="E49" s="37">
        <f t="shared" si="11"/>
        <v>128.65836078639515</v>
      </c>
      <c r="F49" s="37">
        <f t="shared" si="11"/>
        <v>127.70127080351327</v>
      </c>
      <c r="G49" s="37">
        <f t="shared" si="11"/>
        <v>126.76470497518514</v>
      </c>
      <c r="H49" s="37">
        <f t="shared" si="11"/>
        <v>125.8321360615937</v>
      </c>
      <c r="I49" s="37">
        <f t="shared" si="11"/>
        <v>124.4624533096283</v>
      </c>
      <c r="J49" s="37">
        <f t="shared" si="11"/>
        <v>123.17625284554846</v>
      </c>
      <c r="K49" s="37">
        <f t="shared" si="11"/>
        <v>121.81371492651408</v>
      </c>
      <c r="L49" s="37">
        <f t="shared" si="11"/>
        <v>120.51256865519655</v>
      </c>
      <c r="M49" s="37">
        <f t="shared" si="11"/>
        <v>119.1357775178315</v>
      </c>
      <c r="N49" s="37">
        <f t="shared" si="11"/>
        <v>117.7009021655121</v>
      </c>
      <c r="O49" s="37">
        <f t="shared" si="11"/>
        <v>116.37766293670984</v>
      </c>
      <c r="P49" s="37">
        <f t="shared" si="11"/>
        <v>114.91132389337552</v>
      </c>
      <c r="Q49" s="37">
        <f t="shared" si="11"/>
        <v>113.50459286796881</v>
      </c>
      <c r="R49" s="37">
        <f t="shared" si="11"/>
        <v>112.03858712700772</v>
      </c>
      <c r="S49" s="37">
        <f t="shared" si="11"/>
        <v>110.46781120102276</v>
      </c>
      <c r="T49" s="37">
        <f t="shared" si="11"/>
        <v>108.88967902012082</v>
      </c>
      <c r="U49" s="37">
        <f t="shared" si="11"/>
        <v>107.33614825235114</v>
      </c>
      <c r="V49" s="37">
        <f t="shared" si="11"/>
        <v>105.83843648216317</v>
      </c>
      <c r="W49" s="37">
        <f t="shared" si="11"/>
        <v>104.37768211453752</v>
      </c>
      <c r="X49" s="37">
        <f t="shared" si="11"/>
        <v>102.91880338932597</v>
      </c>
      <c r="Y49" s="37">
        <f t="shared" si="11"/>
        <v>101.54273328974371</v>
      </c>
      <c r="Z49" s="37">
        <f t="shared" si="11"/>
        <v>100.16523075837502</v>
      </c>
      <c r="AA49" s="37">
        <f t="shared" si="11"/>
        <v>98.850120480135132</v>
      </c>
      <c r="AB49" s="37">
        <f t="shared" si="11"/>
        <v>97.644327294920572</v>
      </c>
    </row>
    <row r="50" spans="1:28" x14ac:dyDescent="0.25">
      <c r="A50" s="4" t="s">
        <v>217</v>
      </c>
      <c r="B50" s="37">
        <f t="shared" ref="B50:AB50" si="12">B30*B15*$F$6</f>
        <v>199.97121313899484</v>
      </c>
      <c r="C50" s="37">
        <f t="shared" si="12"/>
        <v>198.26956969514615</v>
      </c>
      <c r="D50" s="37">
        <f t="shared" si="12"/>
        <v>196.62904556292224</v>
      </c>
      <c r="E50" s="37">
        <f t="shared" si="12"/>
        <v>194.978203723023</v>
      </c>
      <c r="F50" s="37">
        <f t="shared" si="12"/>
        <v>193.33859990345104</v>
      </c>
      <c r="G50" s="37">
        <f t="shared" si="12"/>
        <v>191.73060844412211</v>
      </c>
      <c r="H50" s="37">
        <f t="shared" si="12"/>
        <v>190.07502263911385</v>
      </c>
      <c r="I50" s="37">
        <f t="shared" si="12"/>
        <v>187.91107149084598</v>
      </c>
      <c r="J50" s="37">
        <f t="shared" si="12"/>
        <v>185.69618557749379</v>
      </c>
      <c r="K50" s="37">
        <f t="shared" si="12"/>
        <v>183.44407385244313</v>
      </c>
      <c r="L50" s="37">
        <f t="shared" si="12"/>
        <v>181.1353572598434</v>
      </c>
      <c r="M50" s="37">
        <f t="shared" si="12"/>
        <v>178.77044736094567</v>
      </c>
      <c r="N50" s="37">
        <f t="shared" si="12"/>
        <v>176.34948970284944</v>
      </c>
      <c r="O50" s="37">
        <f t="shared" si="12"/>
        <v>173.8137253657014</v>
      </c>
      <c r="P50" s="37">
        <f t="shared" si="12"/>
        <v>171.2416157888901</v>
      </c>
      <c r="Q50" s="37">
        <f t="shared" si="12"/>
        <v>168.6128010324835</v>
      </c>
      <c r="R50" s="37">
        <f t="shared" si="12"/>
        <v>165.92633196165079</v>
      </c>
      <c r="S50" s="37">
        <f t="shared" si="12"/>
        <v>163.02971158006858</v>
      </c>
      <c r="T50" s="37">
        <f t="shared" si="12"/>
        <v>160.17550897770113</v>
      </c>
      <c r="U50" s="37">
        <f t="shared" si="12"/>
        <v>157.36104840685985</v>
      </c>
      <c r="V50" s="37">
        <f t="shared" si="12"/>
        <v>154.60243661078229</v>
      </c>
      <c r="W50" s="37">
        <f t="shared" si="12"/>
        <v>151.93457302361159</v>
      </c>
      <c r="X50" s="37">
        <f t="shared" si="12"/>
        <v>149.37294478359999</v>
      </c>
      <c r="Y50" s="37">
        <f t="shared" si="12"/>
        <v>146.87669278367954</v>
      </c>
      <c r="Z50" s="37">
        <f t="shared" si="12"/>
        <v>144.46179910280767</v>
      </c>
      <c r="AA50" s="37">
        <f t="shared" si="12"/>
        <v>142.16308487813529</v>
      </c>
      <c r="AB50" s="37">
        <f t="shared" si="12"/>
        <v>139.93969011992655</v>
      </c>
    </row>
    <row r="51" spans="1:28" x14ac:dyDescent="0.25">
      <c r="A51" s="4" t="s">
        <v>218</v>
      </c>
      <c r="B51" s="37">
        <f t="shared" ref="B51:AB51" si="13">B31*B15*$F$7</f>
        <v>40.598394009717609</v>
      </c>
      <c r="C51" s="37">
        <f t="shared" si="13"/>
        <v>39.974402777923451</v>
      </c>
      <c r="D51" s="37">
        <f t="shared" si="13"/>
        <v>39.368338591161681</v>
      </c>
      <c r="E51" s="37">
        <f t="shared" si="13"/>
        <v>38.75195882993895</v>
      </c>
      <c r="F51" s="37">
        <f t="shared" si="13"/>
        <v>38.125472829736879</v>
      </c>
      <c r="G51" s="37">
        <f t="shared" si="13"/>
        <v>37.506078012988091</v>
      </c>
      <c r="H51" s="37">
        <f t="shared" si="13"/>
        <v>36.868077101695704</v>
      </c>
      <c r="I51" s="37">
        <f t="shared" si="13"/>
        <v>36.137799845022734</v>
      </c>
      <c r="J51" s="37">
        <f t="shared" si="13"/>
        <v>35.419358726387919</v>
      </c>
      <c r="K51" s="37">
        <f t="shared" si="13"/>
        <v>34.71119128122708</v>
      </c>
      <c r="L51" s="37">
        <f t="shared" si="13"/>
        <v>34.030007084696102</v>
      </c>
      <c r="M51" s="37">
        <f t="shared" si="13"/>
        <v>33.38382180352837</v>
      </c>
      <c r="N51" s="37">
        <f t="shared" si="13"/>
        <v>32.746873210105115</v>
      </c>
      <c r="O51" s="37">
        <f t="shared" si="13"/>
        <v>32.144064997157848</v>
      </c>
      <c r="P51" s="37">
        <f t="shared" si="13"/>
        <v>31.549787899590822</v>
      </c>
      <c r="Q51" s="37">
        <f t="shared" si="13"/>
        <v>30.980379302920799</v>
      </c>
      <c r="R51" s="37">
        <f t="shared" si="13"/>
        <v>30.427018273677433</v>
      </c>
      <c r="S51" s="37">
        <f t="shared" si="13"/>
        <v>29.846151643864783</v>
      </c>
      <c r="T51" s="37">
        <f t="shared" si="13"/>
        <v>29.28166475097245</v>
      </c>
      <c r="U51" s="37">
        <f t="shared" si="13"/>
        <v>28.724727967295063</v>
      </c>
      <c r="V51" s="37">
        <f t="shared" si="13"/>
        <v>28.191178450578551</v>
      </c>
      <c r="W51" s="37">
        <f t="shared" si="13"/>
        <v>27.655714801788385</v>
      </c>
      <c r="X51" s="37">
        <f t="shared" si="13"/>
        <v>27.142317911090323</v>
      </c>
      <c r="Y51" s="37">
        <f t="shared" si="13"/>
        <v>26.658576159896409</v>
      </c>
      <c r="Z51" s="37">
        <f t="shared" si="13"/>
        <v>26.179443835773331</v>
      </c>
      <c r="AA51" s="37">
        <f t="shared" si="13"/>
        <v>25.720636753971853</v>
      </c>
      <c r="AB51" s="37">
        <f t="shared" si="13"/>
        <v>25.265444052524963</v>
      </c>
    </row>
    <row r="52" spans="1:28" x14ac:dyDescent="0.25">
      <c r="A52" s="4" t="s">
        <v>219</v>
      </c>
      <c r="B52" s="37">
        <f t="shared" ref="B52:AB52" si="14">B32*B15*$F$8</f>
        <v>8.346341616081137</v>
      </c>
      <c r="C52" s="37">
        <f t="shared" si="14"/>
        <v>8.3592707040476935</v>
      </c>
      <c r="D52" s="37">
        <f t="shared" si="14"/>
        <v>8.3736133343885566</v>
      </c>
      <c r="E52" s="37">
        <f t="shared" si="14"/>
        <v>8.3985938194503245</v>
      </c>
      <c r="F52" s="37">
        <f t="shared" si="14"/>
        <v>8.4246277541498422</v>
      </c>
      <c r="G52" s="37">
        <f t="shared" si="14"/>
        <v>8.4517635024049547</v>
      </c>
      <c r="H52" s="37">
        <f t="shared" si="14"/>
        <v>8.4800962639491697</v>
      </c>
      <c r="I52" s="37">
        <f t="shared" si="14"/>
        <v>8.4843240064945142</v>
      </c>
      <c r="J52" s="37">
        <f t="shared" si="14"/>
        <v>8.4899556483112839</v>
      </c>
      <c r="K52" s="37">
        <f t="shared" si="14"/>
        <v>8.5157047754548501</v>
      </c>
      <c r="L52" s="37">
        <f t="shared" si="14"/>
        <v>8.5235647845937468</v>
      </c>
      <c r="M52" s="37">
        <f t="shared" si="14"/>
        <v>8.5326221311619737</v>
      </c>
      <c r="N52" s="37">
        <f t="shared" si="14"/>
        <v>8.5428987324930183</v>
      </c>
      <c r="O52" s="37">
        <f t="shared" si="14"/>
        <v>8.5544175153532755</v>
      </c>
      <c r="P52" s="37">
        <f t="shared" si="14"/>
        <v>8.5578486579226212</v>
      </c>
      <c r="Q52" s="37">
        <f t="shared" si="14"/>
        <v>8.5718986389037912</v>
      </c>
      <c r="R52" s="37">
        <f t="shared" si="14"/>
        <v>8.5685971359621362</v>
      </c>
      <c r="S52" s="37">
        <f t="shared" si="14"/>
        <v>8.565879122565649</v>
      </c>
      <c r="T52" s="37">
        <f t="shared" si="14"/>
        <v>8.5735785895640308</v>
      </c>
      <c r="U52" s="37">
        <f t="shared" si="14"/>
        <v>8.5639376655754234</v>
      </c>
      <c r="V52" s="37">
        <f t="shared" si="14"/>
        <v>8.5645428077616543</v>
      </c>
      <c r="W52" s="37">
        <f t="shared" si="14"/>
        <v>8.566050992687666</v>
      </c>
      <c r="X52" s="37">
        <f t="shared" si="14"/>
        <v>8.5592290536942777</v>
      </c>
      <c r="Y52" s="37">
        <f t="shared" si="14"/>
        <v>8.5713478016049827</v>
      </c>
      <c r="Z52" s="37">
        <f t="shared" si="14"/>
        <v>8.565884808288363</v>
      </c>
      <c r="AA52" s="37">
        <f t="shared" si="14"/>
        <v>8.5609541379220797</v>
      </c>
      <c r="AB52" s="37">
        <f t="shared" si="14"/>
        <v>8.5564413691335108</v>
      </c>
    </row>
    <row r="53" spans="1:28" x14ac:dyDescent="0.25">
      <c r="A53" s="4" t="s">
        <v>220</v>
      </c>
      <c r="B53" s="37">
        <f t="shared" ref="B53:AB53" si="15">B33*B15*$F$9</f>
        <v>20.808019172565377</v>
      </c>
      <c r="C53" s="37">
        <f t="shared" si="15"/>
        <v>20.945744448052629</v>
      </c>
      <c r="D53" s="37">
        <f t="shared" si="15"/>
        <v>21.045653063477868</v>
      </c>
      <c r="E53" s="37">
        <f t="shared" si="15"/>
        <v>21.175118117105644</v>
      </c>
      <c r="F53" s="37">
        <f t="shared" si="15"/>
        <v>21.293417970753527</v>
      </c>
      <c r="G53" s="37">
        <f t="shared" si="15"/>
        <v>21.387161379424835</v>
      </c>
      <c r="H53" s="37">
        <f t="shared" si="15"/>
        <v>21.538191027416048</v>
      </c>
      <c r="I53" s="37">
        <f t="shared" si="15"/>
        <v>21.573483442740237</v>
      </c>
      <c r="J53" s="37">
        <f t="shared" si="15"/>
        <v>21.625627449174566</v>
      </c>
      <c r="K53" s="37">
        <f t="shared" si="15"/>
        <v>21.640094553858756</v>
      </c>
      <c r="L53" s="37">
        <f t="shared" si="15"/>
        <v>21.670925184197934</v>
      </c>
      <c r="M53" s="37">
        <f t="shared" si="15"/>
        <v>21.664729063279736</v>
      </c>
      <c r="N53" s="37">
        <f t="shared" si="15"/>
        <v>21.688398897347469</v>
      </c>
      <c r="O53" s="37">
        <f t="shared" si="15"/>
        <v>21.688739259792268</v>
      </c>
      <c r="P53" s="37">
        <f t="shared" si="15"/>
        <v>21.666009991372672</v>
      </c>
      <c r="Q53" s="37">
        <f t="shared" si="15"/>
        <v>21.620400939718305</v>
      </c>
      <c r="R53" s="37">
        <f t="shared" si="15"/>
        <v>21.578334391673128</v>
      </c>
      <c r="S53" s="37">
        <f t="shared" si="15"/>
        <v>21.501528019131467</v>
      </c>
      <c r="T53" s="37">
        <f t="shared" si="15"/>
        <v>21.375992056323909</v>
      </c>
      <c r="U53" s="37">
        <f t="shared" si="15"/>
        <v>21.28007129730938</v>
      </c>
      <c r="V53" s="37">
        <f t="shared" si="15"/>
        <v>21.16135268574099</v>
      </c>
      <c r="W53" s="37">
        <f t="shared" si="15"/>
        <v>21.045605624267182</v>
      </c>
      <c r="X53" s="37">
        <f t="shared" si="15"/>
        <v>20.95827625131604</v>
      </c>
      <c r="Y53" s="37">
        <f t="shared" si="15"/>
        <v>20.834659291792317</v>
      </c>
      <c r="Z53" s="37">
        <f t="shared" si="15"/>
        <v>20.751678619153108</v>
      </c>
      <c r="AA53" s="37">
        <f t="shared" si="15"/>
        <v>20.632016891294313</v>
      </c>
      <c r="AB53" s="37">
        <f t="shared" si="15"/>
        <v>20.552183395262205</v>
      </c>
    </row>
    <row r="54" spans="1:28" x14ac:dyDescent="0.25">
      <c r="A54" s="4" t="s">
        <v>221</v>
      </c>
      <c r="B54" s="37">
        <f t="shared" ref="B54:AB54" si="16">B34*B15*$F$10</f>
        <v>29.2457526025334</v>
      </c>
      <c r="C54" s="37">
        <f t="shared" si="16"/>
        <v>29.310941968643622</v>
      </c>
      <c r="D54" s="37">
        <f t="shared" si="16"/>
        <v>29.396187027653767</v>
      </c>
      <c r="E54" s="37">
        <f t="shared" si="16"/>
        <v>29.492382641789064</v>
      </c>
      <c r="F54" s="37">
        <f t="shared" si="16"/>
        <v>29.614938855249893</v>
      </c>
      <c r="G54" s="37">
        <f t="shared" si="16"/>
        <v>29.711070942812594</v>
      </c>
      <c r="H54" s="37">
        <f t="shared" si="16"/>
        <v>29.803865725437774</v>
      </c>
      <c r="I54" s="37">
        <f t="shared" si="16"/>
        <v>29.804463985901926</v>
      </c>
      <c r="J54" s="37">
        <f t="shared" si="16"/>
        <v>29.795136868093341</v>
      </c>
      <c r="K54" s="37">
        <f t="shared" si="16"/>
        <v>29.775081141458479</v>
      </c>
      <c r="L54" s="37">
        <f t="shared" si="16"/>
        <v>29.737129865293731</v>
      </c>
      <c r="M54" s="37">
        <f t="shared" si="16"/>
        <v>29.681588281799009</v>
      </c>
      <c r="N54" s="37">
        <f t="shared" si="16"/>
        <v>29.608712754585525</v>
      </c>
      <c r="O54" s="37">
        <f t="shared" si="16"/>
        <v>29.51874009638145</v>
      </c>
      <c r="P54" s="37">
        <f t="shared" si="16"/>
        <v>29.389834357114669</v>
      </c>
      <c r="Q54" s="37">
        <f t="shared" si="16"/>
        <v>29.244228518288985</v>
      </c>
      <c r="R54" s="37">
        <f t="shared" si="16"/>
        <v>29.060057589972047</v>
      </c>
      <c r="S54" s="37">
        <f t="shared" si="16"/>
        <v>28.847515037351975</v>
      </c>
      <c r="T54" s="37">
        <f t="shared" si="16"/>
        <v>28.611395142004131</v>
      </c>
      <c r="U54" s="37">
        <f t="shared" si="16"/>
        <v>28.351647786125952</v>
      </c>
      <c r="V54" s="37">
        <f t="shared" si="16"/>
        <v>28.096922155306494</v>
      </c>
      <c r="W54" s="37">
        <f t="shared" si="16"/>
        <v>27.810836457387907</v>
      </c>
      <c r="X54" s="37">
        <f t="shared" si="16"/>
        <v>27.564827286781966</v>
      </c>
      <c r="Y54" s="37">
        <f t="shared" si="16"/>
        <v>27.315419875641016</v>
      </c>
      <c r="Z54" s="37">
        <f t="shared" si="16"/>
        <v>27.069362224291989</v>
      </c>
      <c r="AA54" s="37">
        <f t="shared" si="16"/>
        <v>26.833330088113165</v>
      </c>
      <c r="AB54" s="37">
        <f t="shared" si="16"/>
        <v>26.613943579776482</v>
      </c>
    </row>
    <row r="55" spans="1:28" x14ac:dyDescent="0.25">
      <c r="A55" s="4" t="s">
        <v>222</v>
      </c>
      <c r="B55" s="37">
        <f t="shared" ref="B55:AB55" si="17">B35*B15*$F$11</f>
        <v>263.44942398314259</v>
      </c>
      <c r="C55" s="37">
        <f t="shared" si="17"/>
        <v>260.36704698772633</v>
      </c>
      <c r="D55" s="37">
        <f t="shared" si="17"/>
        <v>257.28127751207074</v>
      </c>
      <c r="E55" s="37">
        <f t="shared" si="17"/>
        <v>254.19788899654793</v>
      </c>
      <c r="F55" s="37">
        <f t="shared" si="17"/>
        <v>251.01821191994378</v>
      </c>
      <c r="G55" s="37">
        <f t="shared" si="17"/>
        <v>247.92252497525655</v>
      </c>
      <c r="H55" s="37">
        <f t="shared" si="17"/>
        <v>244.83189177058435</v>
      </c>
      <c r="I55" s="37">
        <f t="shared" si="17"/>
        <v>241.04576100017886</v>
      </c>
      <c r="J55" s="37">
        <f t="shared" si="17"/>
        <v>237.29047366420275</v>
      </c>
      <c r="K55" s="37">
        <f t="shared" si="17"/>
        <v>233.53688677897685</v>
      </c>
      <c r="L55" s="37">
        <f t="shared" si="17"/>
        <v>229.82395137614054</v>
      </c>
      <c r="M55" s="37">
        <f t="shared" si="17"/>
        <v>226.13106931415223</v>
      </c>
      <c r="N55" s="37">
        <f t="shared" si="17"/>
        <v>222.49627052133587</v>
      </c>
      <c r="O55" s="37">
        <f t="shared" si="17"/>
        <v>218.84023062312849</v>
      </c>
      <c r="P55" s="37">
        <f t="shared" si="17"/>
        <v>215.22020552739465</v>
      </c>
      <c r="Q55" s="37">
        <f t="shared" si="17"/>
        <v>211.63422903384361</v>
      </c>
      <c r="R55" s="37">
        <f t="shared" si="17"/>
        <v>208.09944205502256</v>
      </c>
      <c r="S55" s="37">
        <f t="shared" si="17"/>
        <v>204.31726188637546</v>
      </c>
      <c r="T55" s="37">
        <f t="shared" si="17"/>
        <v>200.62766765564677</v>
      </c>
      <c r="U55" s="37">
        <f t="shared" si="17"/>
        <v>197.0651019860299</v>
      </c>
      <c r="V55" s="37">
        <f t="shared" si="17"/>
        <v>193.58681210771232</v>
      </c>
      <c r="W55" s="37">
        <f t="shared" si="17"/>
        <v>190.2834637789442</v>
      </c>
      <c r="X55" s="37">
        <f t="shared" si="17"/>
        <v>187.0552797188725</v>
      </c>
      <c r="Y55" s="37">
        <f t="shared" si="17"/>
        <v>183.95591553807205</v>
      </c>
      <c r="Z55" s="37">
        <f t="shared" si="17"/>
        <v>180.96239709494867</v>
      </c>
      <c r="AA55" s="37">
        <f t="shared" si="17"/>
        <v>178.05213182657204</v>
      </c>
      <c r="AB55" s="37">
        <f t="shared" si="17"/>
        <v>175.24044405217316</v>
      </c>
    </row>
    <row r="57" spans="1:28" x14ac:dyDescent="0.25">
      <c r="A57" s="4" t="s">
        <v>327</v>
      </c>
    </row>
    <row r="58" spans="1:28" x14ac:dyDescent="0.25">
      <c r="A58" s="4" t="s">
        <v>215</v>
      </c>
      <c r="B58" s="37">
        <f t="shared" ref="B58:AB58" si="18">B38*B15*$F$4</f>
        <v>26691.108676491767</v>
      </c>
      <c r="C58" s="37">
        <f t="shared" si="18"/>
        <v>27124.876179043611</v>
      </c>
      <c r="D58" s="37">
        <f t="shared" si="18"/>
        <v>27557.780912469705</v>
      </c>
      <c r="E58" s="37">
        <f t="shared" si="18"/>
        <v>27990.704511157935</v>
      </c>
      <c r="F58" s="37">
        <f t="shared" si="18"/>
        <v>28426.070626716577</v>
      </c>
      <c r="G58" s="37">
        <f t="shared" si="18"/>
        <v>28864.73931015989</v>
      </c>
      <c r="H58" s="37">
        <f t="shared" si="18"/>
        <v>29304.758249929066</v>
      </c>
      <c r="I58" s="37">
        <f t="shared" si="18"/>
        <v>29655.621043182546</v>
      </c>
      <c r="J58" s="37">
        <f t="shared" si="18"/>
        <v>29999.952695874479</v>
      </c>
      <c r="K58" s="37">
        <f t="shared" si="18"/>
        <v>30337.318185133463</v>
      </c>
      <c r="L58" s="37">
        <f t="shared" si="18"/>
        <v>30665.24708886752</v>
      </c>
      <c r="M58" s="37">
        <f t="shared" si="18"/>
        <v>30983.334866355613</v>
      </c>
      <c r="N58" s="37">
        <f t="shared" si="18"/>
        <v>31288.531281057905</v>
      </c>
      <c r="O58" s="37">
        <f t="shared" si="18"/>
        <v>31579.789729382508</v>
      </c>
      <c r="P58" s="37">
        <f t="shared" si="18"/>
        <v>31853.19970732975</v>
      </c>
      <c r="Q58" s="37">
        <f t="shared" si="18"/>
        <v>32108.270515208653</v>
      </c>
      <c r="R58" s="37">
        <f t="shared" si="18"/>
        <v>32340.292417990178</v>
      </c>
      <c r="S58" s="37">
        <f t="shared" si="18"/>
        <v>32511.811947720893</v>
      </c>
      <c r="T58" s="37">
        <f t="shared" si="18"/>
        <v>32658.737720172088</v>
      </c>
      <c r="U58" s="37">
        <f t="shared" si="18"/>
        <v>32782.989025525101</v>
      </c>
      <c r="V58" s="37">
        <f t="shared" si="18"/>
        <v>32876.846998004097</v>
      </c>
      <c r="W58" s="37">
        <f t="shared" si="18"/>
        <v>32942.420027334243</v>
      </c>
      <c r="X58" s="37">
        <f t="shared" si="18"/>
        <v>32978.047096210285</v>
      </c>
      <c r="Y58" s="37">
        <f t="shared" si="18"/>
        <v>32997.453780618001</v>
      </c>
      <c r="Z58" s="37">
        <f t="shared" si="18"/>
        <v>32988.663790735925</v>
      </c>
      <c r="AA58" s="37">
        <f t="shared" si="18"/>
        <v>32953.819384175869</v>
      </c>
      <c r="AB58" s="37">
        <f t="shared" si="18"/>
        <v>32895.997592775238</v>
      </c>
    </row>
    <row r="59" spans="1:28" x14ac:dyDescent="0.25">
      <c r="A59" s="4" t="s">
        <v>216</v>
      </c>
      <c r="B59" s="37">
        <f t="shared" ref="B59:AB59" si="19">B39*B15*$F$5</f>
        <v>24577.219183309713</v>
      </c>
      <c r="C59" s="37">
        <f t="shared" si="19"/>
        <v>24911.941453352752</v>
      </c>
      <c r="D59" s="37">
        <f t="shared" si="19"/>
        <v>25247.901777574563</v>
      </c>
      <c r="E59" s="37">
        <f t="shared" si="19"/>
        <v>25597.034146391041</v>
      </c>
      <c r="F59" s="37">
        <f t="shared" si="19"/>
        <v>25966.563337635322</v>
      </c>
      <c r="G59" s="37">
        <f t="shared" si="19"/>
        <v>26357.845072902579</v>
      </c>
      <c r="H59" s="37">
        <f t="shared" si="19"/>
        <v>26773.300290790401</v>
      </c>
      <c r="I59" s="37">
        <f t="shared" si="19"/>
        <v>27129.148566100659</v>
      </c>
      <c r="J59" s="37">
        <f t="shared" si="19"/>
        <v>27503.13828431307</v>
      </c>
      <c r="K59" s="37">
        <f t="shared" si="19"/>
        <v>27888.131790417865</v>
      </c>
      <c r="L59" s="37">
        <f t="shared" si="19"/>
        <v>28283.492569414866</v>
      </c>
      <c r="M59" s="37">
        <f t="shared" si="19"/>
        <v>28687.44861628224</v>
      </c>
      <c r="N59" s="37">
        <f t="shared" si="19"/>
        <v>29093.855107708066</v>
      </c>
      <c r="O59" s="37">
        <f t="shared" si="19"/>
        <v>29496.926600122024</v>
      </c>
      <c r="P59" s="37">
        <f t="shared" si="19"/>
        <v>29895.440155194476</v>
      </c>
      <c r="Q59" s="37">
        <f t="shared" si="19"/>
        <v>30281.249867514194</v>
      </c>
      <c r="R59" s="37">
        <f t="shared" si="19"/>
        <v>30652.181370241979</v>
      </c>
      <c r="S59" s="37">
        <f t="shared" si="19"/>
        <v>30966.699146182065</v>
      </c>
      <c r="T59" s="37">
        <f t="shared" si="19"/>
        <v>31258.078827337984</v>
      </c>
      <c r="U59" s="37">
        <f t="shared" si="19"/>
        <v>31523.632210933763</v>
      </c>
      <c r="V59" s="37">
        <f t="shared" si="19"/>
        <v>31756.438240576066</v>
      </c>
      <c r="W59" s="37">
        <f t="shared" si="19"/>
        <v>31950.347330174161</v>
      </c>
      <c r="X59" s="37">
        <f t="shared" si="19"/>
        <v>32107.304698159627</v>
      </c>
      <c r="Y59" s="37">
        <f t="shared" si="19"/>
        <v>32242.455399796745</v>
      </c>
      <c r="Z59" s="37">
        <f t="shared" si="19"/>
        <v>32342.061614597918</v>
      </c>
      <c r="AA59" s="37">
        <f t="shared" si="19"/>
        <v>32401.330463490965</v>
      </c>
      <c r="AB59" s="37">
        <f t="shared" si="19"/>
        <v>32421.013894332002</v>
      </c>
    </row>
    <row r="60" spans="1:28" x14ac:dyDescent="0.25">
      <c r="A60" s="4" t="s">
        <v>217</v>
      </c>
      <c r="B60" s="37">
        <f t="shared" ref="B60:AB60" si="20">B40*B15*$F$6</f>
        <v>47552.618955945472</v>
      </c>
      <c r="C60" s="37">
        <f t="shared" si="20"/>
        <v>48255.023203199482</v>
      </c>
      <c r="D60" s="37">
        <f t="shared" si="20"/>
        <v>48953.861790098919</v>
      </c>
      <c r="E60" s="37">
        <f t="shared" si="20"/>
        <v>49660.462202968876</v>
      </c>
      <c r="F60" s="37">
        <f t="shared" si="20"/>
        <v>50385.0344377609</v>
      </c>
      <c r="G60" s="37">
        <f t="shared" si="20"/>
        <v>51127.826905964583</v>
      </c>
      <c r="H60" s="37">
        <f t="shared" si="20"/>
        <v>51890.762534920563</v>
      </c>
      <c r="I60" s="37">
        <f t="shared" si="20"/>
        <v>52511.596805817877</v>
      </c>
      <c r="J60" s="37">
        <f t="shared" si="20"/>
        <v>53139.576569156823</v>
      </c>
      <c r="K60" s="37">
        <f t="shared" si="20"/>
        <v>53765.344287275409</v>
      </c>
      <c r="L60" s="37">
        <f t="shared" si="20"/>
        <v>54386.158266155733</v>
      </c>
      <c r="M60" s="37">
        <f t="shared" si="20"/>
        <v>55000.037193522032</v>
      </c>
      <c r="N60" s="37">
        <f t="shared" si="20"/>
        <v>55597.170853180076</v>
      </c>
      <c r="O60" s="37">
        <f t="shared" si="20"/>
        <v>56172.262949271309</v>
      </c>
      <c r="P60" s="37">
        <f t="shared" si="20"/>
        <v>56718.335566820489</v>
      </c>
      <c r="Q60" s="37">
        <f t="shared" si="20"/>
        <v>57228.058150245241</v>
      </c>
      <c r="R60" s="37">
        <f t="shared" si="20"/>
        <v>57694.444807001222</v>
      </c>
      <c r="S60" s="37">
        <f t="shared" si="20"/>
        <v>58045.185325790844</v>
      </c>
      <c r="T60" s="37">
        <f t="shared" si="20"/>
        <v>58344.07398673812</v>
      </c>
      <c r="U60" s="37">
        <f t="shared" si="20"/>
        <v>58591.360410949332</v>
      </c>
      <c r="V60" s="37">
        <f t="shared" si="20"/>
        <v>58771.779517906311</v>
      </c>
      <c r="W60" s="37">
        <f t="shared" si="20"/>
        <v>58881.304466872636</v>
      </c>
      <c r="X60" s="37">
        <f t="shared" si="20"/>
        <v>58921.570541677669</v>
      </c>
      <c r="Y60" s="37">
        <f t="shared" si="20"/>
        <v>58922.946241488098</v>
      </c>
      <c r="Z60" s="37">
        <f t="shared" si="20"/>
        <v>58859.249112942263</v>
      </c>
      <c r="AA60" s="37">
        <f t="shared" si="20"/>
        <v>58727.144725179016</v>
      </c>
      <c r="AB60" s="37">
        <f t="shared" si="20"/>
        <v>58531.940429660943</v>
      </c>
    </row>
    <row r="61" spans="1:28" x14ac:dyDescent="0.25">
      <c r="A61" s="4" t="s">
        <v>218</v>
      </c>
      <c r="B61" s="37">
        <f t="shared" ref="B61:AB61" si="21">B41*B15*$F$7</f>
        <v>3138.7297073814684</v>
      </c>
      <c r="C61" s="37">
        <f t="shared" si="21"/>
        <v>3179.9355899959392</v>
      </c>
      <c r="D61" s="37">
        <f t="shared" si="21"/>
        <v>3221.4420599335735</v>
      </c>
      <c r="E61" s="37">
        <f t="shared" si="21"/>
        <v>3263.3396597839192</v>
      </c>
      <c r="F61" s="37">
        <f t="shared" si="21"/>
        <v>3306.7016470839567</v>
      </c>
      <c r="G61" s="37">
        <f t="shared" si="21"/>
        <v>3351.6247373043216</v>
      </c>
      <c r="H61" s="37">
        <f t="shared" si="21"/>
        <v>3398.0364327587604</v>
      </c>
      <c r="I61" s="37">
        <f t="shared" si="21"/>
        <v>3435.8056019953756</v>
      </c>
      <c r="J61" s="37">
        <f t="shared" si="21"/>
        <v>3474.7909370570487</v>
      </c>
      <c r="K61" s="37">
        <f t="shared" si="21"/>
        <v>3514.7715959043885</v>
      </c>
      <c r="L61" s="37">
        <f t="shared" si="21"/>
        <v>3555.7546178224165</v>
      </c>
      <c r="M61" s="37">
        <f t="shared" si="21"/>
        <v>3597.5604985519108</v>
      </c>
      <c r="N61" s="37">
        <f t="shared" si="21"/>
        <v>3640.363543154494</v>
      </c>
      <c r="O61" s="37">
        <f t="shared" si="21"/>
        <v>3683.2468130824718</v>
      </c>
      <c r="P61" s="37">
        <f t="shared" si="21"/>
        <v>3726.6221367803009</v>
      </c>
      <c r="Q61" s="37">
        <f t="shared" si="21"/>
        <v>3769.7382650706736</v>
      </c>
      <c r="R61" s="37">
        <f t="shared" si="21"/>
        <v>3812.5128778833182</v>
      </c>
      <c r="S61" s="37">
        <f t="shared" si="21"/>
        <v>3850.4768953680318</v>
      </c>
      <c r="T61" s="37">
        <f t="shared" si="21"/>
        <v>3887.2814551444053</v>
      </c>
      <c r="U61" s="37">
        <f t="shared" si="21"/>
        <v>3922.9924279485604</v>
      </c>
      <c r="V61" s="37">
        <f t="shared" si="21"/>
        <v>3957.1581199238717</v>
      </c>
      <c r="W61" s="37">
        <f t="shared" si="21"/>
        <v>3989.0524458077634</v>
      </c>
      <c r="X61" s="37">
        <f t="shared" si="21"/>
        <v>4018.4177185422832</v>
      </c>
      <c r="Y61" s="37">
        <f t="shared" si="21"/>
        <v>4046.2770987308454</v>
      </c>
      <c r="Z61" s="37">
        <f t="shared" si="21"/>
        <v>4071.5202671544816</v>
      </c>
      <c r="AA61" s="37">
        <f t="shared" si="21"/>
        <v>4094.1216080158788</v>
      </c>
      <c r="AB61" s="37">
        <f t="shared" si="21"/>
        <v>4113.6663252548797</v>
      </c>
    </row>
    <row r="62" spans="1:28" x14ac:dyDescent="0.25">
      <c r="A62" s="4" t="s">
        <v>219</v>
      </c>
      <c r="B62" s="37">
        <f t="shared" ref="B62:AB62" si="22">B42*B15*$F$8</f>
        <v>1181.2157548714688</v>
      </c>
      <c r="C62" s="37">
        <f t="shared" si="22"/>
        <v>1206.6955564238849</v>
      </c>
      <c r="D62" s="37">
        <f t="shared" si="22"/>
        <v>1233.1328757878455</v>
      </c>
      <c r="E62" s="37">
        <f t="shared" si="22"/>
        <v>1261.4379357684395</v>
      </c>
      <c r="F62" s="37">
        <f t="shared" si="22"/>
        <v>1291.9816560844101</v>
      </c>
      <c r="G62" s="37">
        <f t="shared" si="22"/>
        <v>1324.7442187796871</v>
      </c>
      <c r="H62" s="37">
        <f t="shared" si="22"/>
        <v>1359.8213706697109</v>
      </c>
      <c r="I62" s="37">
        <f t="shared" si="22"/>
        <v>1393.0647846469612</v>
      </c>
      <c r="J62" s="37">
        <f t="shared" si="22"/>
        <v>1427.7227772394722</v>
      </c>
      <c r="K62" s="37">
        <f t="shared" si="22"/>
        <v>1463.5050354231535</v>
      </c>
      <c r="L62" s="37">
        <f t="shared" si="22"/>
        <v>1500.7812298804724</v>
      </c>
      <c r="M62" s="37">
        <f t="shared" si="22"/>
        <v>1539.2567475263786</v>
      </c>
      <c r="N62" s="37">
        <f t="shared" si="22"/>
        <v>1578.7352042674447</v>
      </c>
      <c r="O62" s="37">
        <f t="shared" si="22"/>
        <v>1618.9399115283093</v>
      </c>
      <c r="P62" s="37">
        <f t="shared" si="22"/>
        <v>1659.7274802714101</v>
      </c>
      <c r="Q62" s="37">
        <f t="shared" si="22"/>
        <v>1700.7858146131921</v>
      </c>
      <c r="R62" s="37">
        <f t="shared" si="22"/>
        <v>1741.9623411796169</v>
      </c>
      <c r="S62" s="37">
        <f t="shared" si="22"/>
        <v>1780.8879414257781</v>
      </c>
      <c r="T62" s="37">
        <f t="shared" si="22"/>
        <v>1819.5736295754828</v>
      </c>
      <c r="U62" s="37">
        <f t="shared" si="22"/>
        <v>1857.6293832570295</v>
      </c>
      <c r="V62" s="37">
        <f t="shared" si="22"/>
        <v>1895.120585249367</v>
      </c>
      <c r="W62" s="37">
        <f t="shared" si="22"/>
        <v>1931.9233297531787</v>
      </c>
      <c r="X62" s="37">
        <f t="shared" si="22"/>
        <v>1968.2033803939121</v>
      </c>
      <c r="Y62" s="37">
        <f t="shared" si="22"/>
        <v>2003.8320490969563</v>
      </c>
      <c r="Z62" s="37">
        <f t="shared" si="22"/>
        <v>2038.8709373683701</v>
      </c>
      <c r="AA62" s="37">
        <f t="shared" si="22"/>
        <v>2073.2967547642447</v>
      </c>
      <c r="AB62" s="37">
        <f t="shared" si="22"/>
        <v>2106.9583191829247</v>
      </c>
    </row>
    <row r="63" spans="1:28" x14ac:dyDescent="0.25">
      <c r="A63" s="4" t="s">
        <v>220</v>
      </c>
      <c r="B63" s="37">
        <f t="shared" ref="B63:AB63" si="23">B43*B15*$F$9</f>
        <v>917.48560426700828</v>
      </c>
      <c r="C63" s="37">
        <f t="shared" si="23"/>
        <v>935.96421614933024</v>
      </c>
      <c r="D63" s="37">
        <f t="shared" si="23"/>
        <v>955.33061482371193</v>
      </c>
      <c r="E63" s="37">
        <f t="shared" si="23"/>
        <v>976.5097291119589</v>
      </c>
      <c r="F63" s="37">
        <f t="shared" si="23"/>
        <v>997.89070982505098</v>
      </c>
      <c r="G63" s="37">
        <f t="shared" si="23"/>
        <v>1020.9004445870904</v>
      </c>
      <c r="H63" s="37">
        <f t="shared" si="23"/>
        <v>1044.6158450257865</v>
      </c>
      <c r="I63" s="37">
        <f t="shared" si="23"/>
        <v>1065.6489279016771</v>
      </c>
      <c r="J63" s="37">
        <f t="shared" si="23"/>
        <v>1087.1155760010911</v>
      </c>
      <c r="K63" s="37">
        <f t="shared" si="23"/>
        <v>1110.1824934922859</v>
      </c>
      <c r="L63" s="37">
        <f t="shared" si="23"/>
        <v>1133.7773234485778</v>
      </c>
      <c r="M63" s="37">
        <f t="shared" si="23"/>
        <v>1158.2430782163019</v>
      </c>
      <c r="N63" s="37">
        <f t="shared" si="23"/>
        <v>1183.0676072540218</v>
      </c>
      <c r="O63" s="37">
        <f t="shared" si="23"/>
        <v>1208.3423322978463</v>
      </c>
      <c r="P63" s="37">
        <f t="shared" si="23"/>
        <v>1234.3812863133519</v>
      </c>
      <c r="Q63" s="37">
        <f t="shared" si="23"/>
        <v>1261.0187780270069</v>
      </c>
      <c r="R63" s="37">
        <f t="shared" si="23"/>
        <v>1288.0110426688641</v>
      </c>
      <c r="S63" s="37">
        <f t="shared" si="23"/>
        <v>1313.4395644963115</v>
      </c>
      <c r="T63" s="37">
        <f t="shared" si="23"/>
        <v>1339.1315170083503</v>
      </c>
      <c r="U63" s="37">
        <f t="shared" si="23"/>
        <v>1364.7341567932151</v>
      </c>
      <c r="V63" s="37">
        <f t="shared" si="23"/>
        <v>1389.8548233328465</v>
      </c>
      <c r="W63" s="37">
        <f t="shared" si="23"/>
        <v>1415.3428327843321</v>
      </c>
      <c r="X63" s="37">
        <f t="shared" si="23"/>
        <v>1440.514142417484</v>
      </c>
      <c r="Y63" s="37">
        <f t="shared" si="23"/>
        <v>1465.7780474735218</v>
      </c>
      <c r="Z63" s="37">
        <f t="shared" si="23"/>
        <v>1490.5703880790204</v>
      </c>
      <c r="AA63" s="37">
        <f t="shared" si="23"/>
        <v>1515.1110099279847</v>
      </c>
      <c r="AB63" s="37">
        <f t="shared" si="23"/>
        <v>1539.6288255656723</v>
      </c>
    </row>
    <row r="64" spans="1:28" x14ac:dyDescent="0.25">
      <c r="A64" s="4" t="s">
        <v>221</v>
      </c>
      <c r="B64" s="37">
        <f t="shared" ref="B64:AB64" si="24">B44*B15*$F$10</f>
        <v>1904.2099110563861</v>
      </c>
      <c r="C64" s="37">
        <f t="shared" si="24"/>
        <v>1967.5568250348852</v>
      </c>
      <c r="D64" s="37">
        <f t="shared" si="24"/>
        <v>2032.2968557799643</v>
      </c>
      <c r="E64" s="37">
        <f t="shared" si="24"/>
        <v>2098.6549244334619</v>
      </c>
      <c r="F64" s="37">
        <f t="shared" si="24"/>
        <v>2166.662504364208</v>
      </c>
      <c r="G64" s="37">
        <f t="shared" si="24"/>
        <v>2236.5926266619958</v>
      </c>
      <c r="H64" s="37">
        <f t="shared" si="24"/>
        <v>2309.1848088425049</v>
      </c>
      <c r="I64" s="37">
        <f t="shared" si="24"/>
        <v>2377.3549105447373</v>
      </c>
      <c r="J64" s="37">
        <f t="shared" si="24"/>
        <v>2447.1978579707834</v>
      </c>
      <c r="K64" s="37">
        <f t="shared" si="24"/>
        <v>2519.2716287201265</v>
      </c>
      <c r="L64" s="37">
        <f t="shared" si="24"/>
        <v>2593.9961423573991</v>
      </c>
      <c r="M64" s="37">
        <f t="shared" si="24"/>
        <v>2670.7282817323221</v>
      </c>
      <c r="N64" s="37">
        <f t="shared" si="24"/>
        <v>2750.1555672611839</v>
      </c>
      <c r="O64" s="37">
        <f t="shared" si="24"/>
        <v>2831.8119986851739</v>
      </c>
      <c r="P64" s="37">
        <f t="shared" si="24"/>
        <v>2915.5669659402924</v>
      </c>
      <c r="Q64" s="37">
        <f t="shared" si="24"/>
        <v>3001.5438929014035</v>
      </c>
      <c r="R64" s="37">
        <f t="shared" si="24"/>
        <v>3089.1330297230597</v>
      </c>
      <c r="S64" s="37">
        <f t="shared" si="24"/>
        <v>3174.6232055174846</v>
      </c>
      <c r="T64" s="37">
        <f t="shared" si="24"/>
        <v>3261.4380859084827</v>
      </c>
      <c r="U64" s="37">
        <f t="shared" si="24"/>
        <v>3349.3526905258059</v>
      </c>
      <c r="V64" s="37">
        <f t="shared" si="24"/>
        <v>3437.9151945494386</v>
      </c>
      <c r="W64" s="37">
        <f t="shared" si="24"/>
        <v>3526.648153493536</v>
      </c>
      <c r="X64" s="37">
        <f t="shared" si="24"/>
        <v>3615.9755225662566</v>
      </c>
      <c r="Y64" s="37">
        <f t="shared" si="24"/>
        <v>3705.166073999228</v>
      </c>
      <c r="Z64" s="37">
        <f t="shared" si="24"/>
        <v>3794.1676868749469</v>
      </c>
      <c r="AA64" s="37">
        <f t="shared" si="24"/>
        <v>3882.1274743964073</v>
      </c>
      <c r="AB64" s="37">
        <f t="shared" si="24"/>
        <v>3968.9406637460652</v>
      </c>
    </row>
    <row r="65" spans="1:28" x14ac:dyDescent="0.25">
      <c r="A65" s="4" t="s">
        <v>222</v>
      </c>
      <c r="B65" s="37">
        <f t="shared" ref="B65:AB65" si="25">B45*B15*$F$11</f>
        <v>53289.68864811102</v>
      </c>
      <c r="C65" s="37">
        <f t="shared" si="25"/>
        <v>53995.592351032981</v>
      </c>
      <c r="D65" s="37">
        <f t="shared" si="25"/>
        <v>54698.26059450968</v>
      </c>
      <c r="E65" s="37">
        <f t="shared" si="25"/>
        <v>55411.812498805135</v>
      </c>
      <c r="F65" s="37">
        <f t="shared" si="25"/>
        <v>56147.202050647182</v>
      </c>
      <c r="G65" s="37">
        <f t="shared" si="25"/>
        <v>56906.234390924488</v>
      </c>
      <c r="H65" s="37">
        <f t="shared" si="25"/>
        <v>57687.536288830699</v>
      </c>
      <c r="I65" s="37">
        <f t="shared" si="25"/>
        <v>58311.560385469646</v>
      </c>
      <c r="J65" s="37">
        <f t="shared" si="25"/>
        <v>58944.657078950491</v>
      </c>
      <c r="K65" s="37">
        <f t="shared" si="25"/>
        <v>59576.653065940161</v>
      </c>
      <c r="L65" s="37">
        <f t="shared" si="25"/>
        <v>60202.92189861535</v>
      </c>
      <c r="M65" s="37">
        <f t="shared" si="25"/>
        <v>60822.67244536052</v>
      </c>
      <c r="N65" s="37">
        <f t="shared" si="25"/>
        <v>61423.583642231846</v>
      </c>
      <c r="O65" s="37">
        <f t="shared" si="25"/>
        <v>61999.057797190166</v>
      </c>
      <c r="P65" s="37">
        <f t="shared" si="25"/>
        <v>62543.628725244933</v>
      </c>
      <c r="Q65" s="37">
        <f t="shared" si="25"/>
        <v>63047.051203315845</v>
      </c>
      <c r="R65" s="37">
        <f t="shared" si="25"/>
        <v>63503.132728063858</v>
      </c>
      <c r="S65" s="37">
        <f t="shared" si="25"/>
        <v>63831.742530113654</v>
      </c>
      <c r="T65" s="37">
        <f t="shared" si="25"/>
        <v>64102.534965858307</v>
      </c>
      <c r="U65" s="37">
        <f t="shared" si="25"/>
        <v>64315.177058698755</v>
      </c>
      <c r="V65" s="37">
        <f t="shared" si="25"/>
        <v>64454.210623235114</v>
      </c>
      <c r="W65" s="37">
        <f t="shared" si="25"/>
        <v>64516.204158416556</v>
      </c>
      <c r="X65" s="37">
        <f t="shared" si="25"/>
        <v>64500.400794739093</v>
      </c>
      <c r="Y65" s="37">
        <f t="shared" si="25"/>
        <v>64441.612643441222</v>
      </c>
      <c r="Z65" s="37">
        <f t="shared" si="25"/>
        <v>64310.689517535997</v>
      </c>
      <c r="AA65" s="37">
        <f t="shared" si="25"/>
        <v>64106.791548361711</v>
      </c>
      <c r="AB65" s="37">
        <f t="shared" si="25"/>
        <v>63834.527307042677</v>
      </c>
    </row>
    <row r="67" spans="1:28" x14ac:dyDescent="0.25">
      <c r="A67" s="4" t="s">
        <v>328</v>
      </c>
    </row>
    <row r="68" spans="1:28" x14ac:dyDescent="0.25">
      <c r="A68" s="4" t="s">
        <v>329</v>
      </c>
      <c r="B68" s="40">
        <f t="shared" ref="B68:AB68" si="26">B48+B49</f>
        <v>299.83593500867198</v>
      </c>
      <c r="C68" s="40">
        <f t="shared" si="26"/>
        <v>297.27309033863543</v>
      </c>
      <c r="D68" s="40">
        <f t="shared" si="26"/>
        <v>294.75380423214693</v>
      </c>
      <c r="E68" s="40">
        <f t="shared" si="26"/>
        <v>292.26231513575061</v>
      </c>
      <c r="F68" s="40">
        <f t="shared" si="26"/>
        <v>289.74758086997383</v>
      </c>
      <c r="G68" s="40">
        <f t="shared" si="26"/>
        <v>287.24490437797579</v>
      </c>
      <c r="H68" s="40">
        <f t="shared" si="26"/>
        <v>284.73879228707949</v>
      </c>
      <c r="I68" s="40">
        <f t="shared" si="26"/>
        <v>281.40775843563108</v>
      </c>
      <c r="J68" s="40">
        <f t="shared" si="26"/>
        <v>278.07907477549901</v>
      </c>
      <c r="K68" s="40">
        <f t="shared" si="26"/>
        <v>274.72826398063955</v>
      </c>
      <c r="L68" s="40">
        <f t="shared" si="26"/>
        <v>271.37023989230698</v>
      </c>
      <c r="M68" s="40">
        <f t="shared" si="26"/>
        <v>267.99024619468418</v>
      </c>
      <c r="N68" s="40">
        <f t="shared" si="26"/>
        <v>264.62227992999118</v>
      </c>
      <c r="O68" s="40">
        <f t="shared" si="26"/>
        <v>261.19301079609056</v>
      </c>
      <c r="P68" s="40">
        <f t="shared" si="26"/>
        <v>257.70718814954557</v>
      </c>
      <c r="Q68" s="40">
        <f t="shared" si="26"/>
        <v>254.21113624636831</v>
      </c>
      <c r="R68" s="40">
        <f t="shared" si="26"/>
        <v>250.67114565835413</v>
      </c>
      <c r="S68" s="40">
        <f t="shared" si="26"/>
        <v>246.84707544502947</v>
      </c>
      <c r="T68" s="40">
        <f t="shared" si="26"/>
        <v>243.04995114717246</v>
      </c>
      <c r="U68" s="40">
        <f t="shared" si="26"/>
        <v>239.3095706976664</v>
      </c>
      <c r="V68" s="40">
        <f t="shared" si="26"/>
        <v>235.65464395817509</v>
      </c>
      <c r="W68" s="40">
        <f t="shared" si="26"/>
        <v>232.08057087636024</v>
      </c>
      <c r="X68" s="40">
        <f t="shared" si="26"/>
        <v>228.66731343478239</v>
      </c>
      <c r="Y68" s="40">
        <f t="shared" si="26"/>
        <v>225.3587147281886</v>
      </c>
      <c r="Z68" s="40">
        <f t="shared" si="26"/>
        <v>222.1519611729282</v>
      </c>
      <c r="AA68" s="40">
        <f t="shared" si="26"/>
        <v>219.04137275897682</v>
      </c>
      <c r="AB68" s="40">
        <f t="shared" si="26"/>
        <v>216.05513973515309</v>
      </c>
    </row>
    <row r="69" spans="1:28" x14ac:dyDescent="0.25">
      <c r="A69" s="4" t="s">
        <v>330</v>
      </c>
      <c r="B69" s="40">
        <f t="shared" ref="B69:AB69" si="27">B50+B51+B52+B53</f>
        <v>269.72396793735896</v>
      </c>
      <c r="C69" s="40">
        <f t="shared" si="27"/>
        <v>267.5489876251699</v>
      </c>
      <c r="D69" s="40">
        <f t="shared" si="27"/>
        <v>265.41665055195034</v>
      </c>
      <c r="E69" s="40">
        <f t="shared" si="27"/>
        <v>263.30387448951791</v>
      </c>
      <c r="F69" s="40">
        <f t="shared" si="27"/>
        <v>261.18211845809128</v>
      </c>
      <c r="G69" s="40">
        <f t="shared" si="27"/>
        <v>259.07561133894001</v>
      </c>
      <c r="H69" s="40">
        <f t="shared" si="27"/>
        <v>256.9613870321748</v>
      </c>
      <c r="I69" s="40">
        <f t="shared" si="27"/>
        <v>254.10667878510347</v>
      </c>
      <c r="J69" s="40">
        <f t="shared" si="27"/>
        <v>251.23112740136756</v>
      </c>
      <c r="K69" s="40">
        <f t="shared" si="27"/>
        <v>248.31106446298381</v>
      </c>
      <c r="L69" s="40">
        <f t="shared" si="27"/>
        <v>245.3598543133312</v>
      </c>
      <c r="M69" s="40">
        <f t="shared" si="27"/>
        <v>242.35162035891577</v>
      </c>
      <c r="N69" s="40">
        <f t="shared" si="27"/>
        <v>239.32766054279506</v>
      </c>
      <c r="O69" s="40">
        <f t="shared" si="27"/>
        <v>236.20094713800478</v>
      </c>
      <c r="P69" s="40">
        <f t="shared" si="27"/>
        <v>233.01526233777622</v>
      </c>
      <c r="Q69" s="40">
        <f t="shared" si="27"/>
        <v>229.78547991402641</v>
      </c>
      <c r="R69" s="40">
        <f t="shared" si="27"/>
        <v>226.50028176296348</v>
      </c>
      <c r="S69" s="40">
        <f t="shared" si="27"/>
        <v>222.94327036563047</v>
      </c>
      <c r="T69" s="40">
        <f t="shared" si="27"/>
        <v>219.40674437456153</v>
      </c>
      <c r="U69" s="40">
        <f t="shared" si="27"/>
        <v>215.9297853370397</v>
      </c>
      <c r="V69" s="40">
        <f t="shared" si="27"/>
        <v>212.51951055486347</v>
      </c>
      <c r="W69" s="40">
        <f t="shared" si="27"/>
        <v>209.20194444235483</v>
      </c>
      <c r="X69" s="40">
        <f t="shared" si="27"/>
        <v>206.03276799970064</v>
      </c>
      <c r="Y69" s="40">
        <f t="shared" si="27"/>
        <v>202.94127603697325</v>
      </c>
      <c r="Z69" s="40">
        <f t="shared" si="27"/>
        <v>199.95880636602246</v>
      </c>
      <c r="AA69" s="40">
        <f t="shared" si="27"/>
        <v>197.07669266132353</v>
      </c>
      <c r="AB69" s="40">
        <f t="shared" si="27"/>
        <v>194.31375893684725</v>
      </c>
    </row>
    <row r="70" spans="1:28" x14ac:dyDescent="0.25">
      <c r="A70" s="4" t="s">
        <v>331</v>
      </c>
      <c r="B70" s="40">
        <f t="shared" ref="B70:AB70" si="28">B54+B55</f>
        <v>292.69517658567599</v>
      </c>
      <c r="C70" s="40">
        <f t="shared" si="28"/>
        <v>289.67798895636997</v>
      </c>
      <c r="D70" s="40">
        <f t="shared" si="28"/>
        <v>286.6774645397245</v>
      </c>
      <c r="E70" s="40">
        <f t="shared" si="28"/>
        <v>283.69027163833698</v>
      </c>
      <c r="F70" s="40">
        <f t="shared" si="28"/>
        <v>280.63315077519366</v>
      </c>
      <c r="G70" s="40">
        <f t="shared" si="28"/>
        <v>277.63359591806915</v>
      </c>
      <c r="H70" s="40">
        <f t="shared" si="28"/>
        <v>274.63575749602211</v>
      </c>
      <c r="I70" s="40">
        <f t="shared" si="28"/>
        <v>270.85022498608078</v>
      </c>
      <c r="J70" s="40">
        <f t="shared" si="28"/>
        <v>267.08561053229607</v>
      </c>
      <c r="K70" s="40">
        <f t="shared" si="28"/>
        <v>263.31196792043534</v>
      </c>
      <c r="L70" s="40">
        <f t="shared" si="28"/>
        <v>259.56108124143429</v>
      </c>
      <c r="M70" s="40">
        <f t="shared" si="28"/>
        <v>255.81265759595124</v>
      </c>
      <c r="N70" s="40">
        <f t="shared" si="28"/>
        <v>252.1049832759214</v>
      </c>
      <c r="O70" s="40">
        <f t="shared" si="28"/>
        <v>248.35897071950995</v>
      </c>
      <c r="P70" s="40">
        <f t="shared" si="28"/>
        <v>244.61003988450932</v>
      </c>
      <c r="Q70" s="40">
        <f t="shared" si="28"/>
        <v>240.8784575521326</v>
      </c>
      <c r="R70" s="40">
        <f t="shared" si="28"/>
        <v>237.15949964499461</v>
      </c>
      <c r="S70" s="40">
        <f t="shared" si="28"/>
        <v>233.16477692372743</v>
      </c>
      <c r="T70" s="40">
        <f t="shared" si="28"/>
        <v>229.23906279765092</v>
      </c>
      <c r="U70" s="40">
        <f t="shared" si="28"/>
        <v>225.41674977215587</v>
      </c>
      <c r="V70" s="40">
        <f t="shared" si="28"/>
        <v>221.68373426301881</v>
      </c>
      <c r="W70" s="40">
        <f t="shared" si="28"/>
        <v>218.09430023633212</v>
      </c>
      <c r="X70" s="40">
        <f t="shared" si="28"/>
        <v>214.62010700565446</v>
      </c>
      <c r="Y70" s="40">
        <f t="shared" si="28"/>
        <v>211.27133541371308</v>
      </c>
      <c r="Z70" s="40">
        <f t="shared" si="28"/>
        <v>208.03175931924065</v>
      </c>
      <c r="AA70" s="40">
        <f t="shared" si="28"/>
        <v>204.88546191468521</v>
      </c>
      <c r="AB70" s="40">
        <f t="shared" si="28"/>
        <v>201.85438763194963</v>
      </c>
    </row>
    <row r="71" spans="1:28" x14ac:dyDescent="0.25">
      <c r="A71" s="4" t="s">
        <v>332</v>
      </c>
      <c r="B71" s="40">
        <f t="shared" ref="B71:AB71" si="29">B58+B59</f>
        <v>51268.32785980148</v>
      </c>
      <c r="C71" s="40">
        <f t="shared" si="29"/>
        <v>52036.817632396363</v>
      </c>
      <c r="D71" s="40">
        <f t="shared" si="29"/>
        <v>52805.682690044268</v>
      </c>
      <c r="E71" s="40">
        <f t="shared" si="29"/>
        <v>53587.73865754898</v>
      </c>
      <c r="F71" s="40">
        <f t="shared" si="29"/>
        <v>54392.633964351902</v>
      </c>
      <c r="G71" s="40">
        <f t="shared" si="29"/>
        <v>55222.584383062465</v>
      </c>
      <c r="H71" s="40">
        <f t="shared" si="29"/>
        <v>56078.058540719467</v>
      </c>
      <c r="I71" s="40">
        <f t="shared" si="29"/>
        <v>56784.769609283205</v>
      </c>
      <c r="J71" s="40">
        <f t="shared" si="29"/>
        <v>57503.090980187553</v>
      </c>
      <c r="K71" s="40">
        <f t="shared" si="29"/>
        <v>58225.449975551324</v>
      </c>
      <c r="L71" s="40">
        <f t="shared" si="29"/>
        <v>58948.739658282386</v>
      </c>
      <c r="M71" s="40">
        <f t="shared" si="29"/>
        <v>59670.783482637853</v>
      </c>
      <c r="N71" s="40">
        <f t="shared" si="29"/>
        <v>60382.386388765968</v>
      </c>
      <c r="O71" s="40">
        <f t="shared" si="29"/>
        <v>61076.716329504532</v>
      </c>
      <c r="P71" s="40">
        <f t="shared" si="29"/>
        <v>61748.639862524229</v>
      </c>
      <c r="Q71" s="40">
        <f t="shared" si="29"/>
        <v>62389.520382722847</v>
      </c>
      <c r="R71" s="40">
        <f t="shared" si="29"/>
        <v>62992.473788232157</v>
      </c>
      <c r="S71" s="40">
        <f t="shared" si="29"/>
        <v>63478.511093902955</v>
      </c>
      <c r="T71" s="40">
        <f t="shared" si="29"/>
        <v>63916.816547510069</v>
      </c>
      <c r="U71" s="40">
        <f t="shared" si="29"/>
        <v>64306.621236458865</v>
      </c>
      <c r="V71" s="40">
        <f t="shared" si="29"/>
        <v>64633.285238580167</v>
      </c>
      <c r="W71" s="40">
        <f t="shared" si="29"/>
        <v>64892.767357508405</v>
      </c>
      <c r="X71" s="40">
        <f t="shared" si="29"/>
        <v>65085.351794369912</v>
      </c>
      <c r="Y71" s="40">
        <f t="shared" si="29"/>
        <v>65239.909180414747</v>
      </c>
      <c r="Z71" s="40">
        <f t="shared" si="29"/>
        <v>65330.72540533384</v>
      </c>
      <c r="AA71" s="40">
        <f t="shared" si="29"/>
        <v>65355.149847666835</v>
      </c>
      <c r="AB71" s="40">
        <f t="shared" si="29"/>
        <v>65317.011487107244</v>
      </c>
    </row>
    <row r="72" spans="1:28" x14ac:dyDescent="0.25">
      <c r="A72" s="4" t="s">
        <v>333</v>
      </c>
      <c r="B72" s="40">
        <f t="shared" ref="B72:AB72" si="30">B60+B61+B62+B63</f>
        <v>52790.050022465417</v>
      </c>
      <c r="C72" s="40">
        <f t="shared" si="30"/>
        <v>53577.618565768636</v>
      </c>
      <c r="D72" s="40">
        <f t="shared" si="30"/>
        <v>54363.767340644044</v>
      </c>
      <c r="E72" s="40">
        <f t="shared" si="30"/>
        <v>55161.74952763319</v>
      </c>
      <c r="F72" s="40">
        <f t="shared" si="30"/>
        <v>55981.60845075432</v>
      </c>
      <c r="G72" s="40">
        <f t="shared" si="30"/>
        <v>56825.096306635678</v>
      </c>
      <c r="H72" s="40">
        <f t="shared" si="30"/>
        <v>57693.236183374822</v>
      </c>
      <c r="I72" s="40">
        <f t="shared" si="30"/>
        <v>58406.116120361883</v>
      </c>
      <c r="J72" s="40">
        <f t="shared" si="30"/>
        <v>59129.205859454429</v>
      </c>
      <c r="K72" s="40">
        <f t="shared" si="30"/>
        <v>59853.803412095229</v>
      </c>
      <c r="L72" s="40">
        <f t="shared" si="30"/>
        <v>60576.471437307198</v>
      </c>
      <c r="M72" s="40">
        <f t="shared" si="30"/>
        <v>61295.097517816619</v>
      </c>
      <c r="N72" s="40">
        <f t="shared" si="30"/>
        <v>61999.337207856042</v>
      </c>
      <c r="O72" s="40">
        <f t="shared" si="30"/>
        <v>62682.792006179938</v>
      </c>
      <c r="P72" s="40">
        <f t="shared" si="30"/>
        <v>63339.066470185549</v>
      </c>
      <c r="Q72" s="40">
        <f t="shared" si="30"/>
        <v>63959.601007956109</v>
      </c>
      <c r="R72" s="40">
        <f t="shared" si="30"/>
        <v>64536.931068733022</v>
      </c>
      <c r="S72" s="40">
        <f t="shared" si="30"/>
        <v>64989.98972708096</v>
      </c>
      <c r="T72" s="40">
        <f t="shared" si="30"/>
        <v>65390.060588466353</v>
      </c>
      <c r="U72" s="40">
        <f t="shared" si="30"/>
        <v>65736.716378948127</v>
      </c>
      <c r="V72" s="40">
        <f t="shared" si="30"/>
        <v>66013.913046412388</v>
      </c>
      <c r="W72" s="40">
        <f t="shared" si="30"/>
        <v>66217.623075217911</v>
      </c>
      <c r="X72" s="40">
        <f t="shared" si="30"/>
        <v>66348.705783031342</v>
      </c>
      <c r="Y72" s="40">
        <f t="shared" si="30"/>
        <v>66438.833436789428</v>
      </c>
      <c r="Z72" s="40">
        <f t="shared" si="30"/>
        <v>66460.21070554413</v>
      </c>
      <c r="AA72" s="40">
        <f t="shared" si="30"/>
        <v>66409.674097887124</v>
      </c>
      <c r="AB72" s="40">
        <f t="shared" si="30"/>
        <v>66292.193899664417</v>
      </c>
    </row>
    <row r="73" spans="1:28" x14ac:dyDescent="0.25">
      <c r="A73" s="4" t="s">
        <v>334</v>
      </c>
      <c r="B73" s="40">
        <f t="shared" ref="B73:AB73" si="31">B64+B65</f>
        <v>55193.898559167406</v>
      </c>
      <c r="C73" s="40">
        <f t="shared" si="31"/>
        <v>55963.149176067869</v>
      </c>
      <c r="D73" s="40">
        <f t="shared" si="31"/>
        <v>56730.557450289642</v>
      </c>
      <c r="E73" s="40">
        <f t="shared" si="31"/>
        <v>57510.467423238595</v>
      </c>
      <c r="F73" s="40">
        <f t="shared" si="31"/>
        <v>58313.864555011387</v>
      </c>
      <c r="G73" s="40">
        <f t="shared" si="31"/>
        <v>59142.827017586482</v>
      </c>
      <c r="H73" s="40">
        <f t="shared" si="31"/>
        <v>59996.721097673202</v>
      </c>
      <c r="I73" s="40">
        <f t="shared" si="31"/>
        <v>60688.915296014384</v>
      </c>
      <c r="J73" s="40">
        <f t="shared" si="31"/>
        <v>61391.854936921278</v>
      </c>
      <c r="K73" s="40">
        <f t="shared" si="31"/>
        <v>62095.924694660287</v>
      </c>
      <c r="L73" s="40">
        <f t="shared" si="31"/>
        <v>62796.918040972749</v>
      </c>
      <c r="M73" s="40">
        <f t="shared" si="31"/>
        <v>63493.400727092841</v>
      </c>
      <c r="N73" s="40">
        <f t="shared" si="31"/>
        <v>64173.739209493033</v>
      </c>
      <c r="O73" s="40">
        <f t="shared" si="31"/>
        <v>64830.86979587534</v>
      </c>
      <c r="P73" s="40">
        <f t="shared" si="31"/>
        <v>65459.195691185225</v>
      </c>
      <c r="Q73" s="40">
        <f t="shared" si="31"/>
        <v>66048.59509621725</v>
      </c>
      <c r="R73" s="40">
        <f t="shared" si="31"/>
        <v>66592.265757786925</v>
      </c>
      <c r="S73" s="40">
        <f t="shared" si="31"/>
        <v>67006.365735631145</v>
      </c>
      <c r="T73" s="40">
        <f t="shared" si="31"/>
        <v>67363.973051766792</v>
      </c>
      <c r="U73" s="40">
        <f t="shared" si="31"/>
        <v>67664.529749224559</v>
      </c>
      <c r="V73" s="40">
        <f t="shared" si="31"/>
        <v>67892.125817784559</v>
      </c>
      <c r="W73" s="40">
        <f t="shared" si="31"/>
        <v>68042.852311910086</v>
      </c>
      <c r="X73" s="40">
        <f t="shared" si="31"/>
        <v>68116.376317305345</v>
      </c>
      <c r="Y73" s="40">
        <f t="shared" si="31"/>
        <v>68146.778717440451</v>
      </c>
      <c r="Z73" s="40">
        <f t="shared" si="31"/>
        <v>68104.857204410946</v>
      </c>
      <c r="AA73" s="40">
        <f t="shared" si="31"/>
        <v>67988.919022758113</v>
      </c>
      <c r="AB73" s="40">
        <f t="shared" si="31"/>
        <v>67803.467970788741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168.31979334069362</v>
      </c>
      <c r="C2" s="37">
        <f>BDbDT_calcs!C48</f>
        <v>166.72776717943833</v>
      </c>
      <c r="D2" s="37">
        <f>BDbDT_calcs!D48</f>
        <v>165.15291413382866</v>
      </c>
      <c r="E2" s="37">
        <f>BDbDT_calcs!E48</f>
        <v>163.60395434935546</v>
      </c>
      <c r="F2" s="37">
        <f>BDbDT_calcs!F48</f>
        <v>162.04631006646056</v>
      </c>
      <c r="G2" s="37">
        <f>BDbDT_calcs!G48</f>
        <v>160.48019940279065</v>
      </c>
      <c r="H2" s="37">
        <f>BDbDT_calcs!H48</f>
        <v>158.90665622548579</v>
      </c>
      <c r="I2" s="37">
        <f>BDbDT_calcs!I48</f>
        <v>156.94530512600281</v>
      </c>
      <c r="J2" s="37">
        <f>BDbDT_calcs!J48</f>
        <v>154.90282192995053</v>
      </c>
      <c r="K2" s="37">
        <f>BDbDT_calcs!K48</f>
        <v>152.91454905412544</v>
      </c>
      <c r="L2" s="37">
        <f>BDbDT_calcs!L48</f>
        <v>150.85767123711042</v>
      </c>
      <c r="M2" s="37">
        <f>BDbDT_calcs!M48</f>
        <v>148.85446867685269</v>
      </c>
      <c r="N2" s="37">
        <f>BDbDT_calcs!N48</f>
        <v>146.92137776447908</v>
      </c>
      <c r="O2" s="37">
        <f>BDbDT_calcs!O48</f>
        <v>144.81534785938069</v>
      </c>
      <c r="P2" s="37">
        <f>BDbDT_calcs!P48</f>
        <v>142.79586425617003</v>
      </c>
      <c r="Q2" s="37">
        <f>BDbDT_calcs!Q48</f>
        <v>140.70654337839949</v>
      </c>
      <c r="R2" s="37">
        <f>BDbDT_calcs!R48</f>
        <v>138.6325585313464</v>
      </c>
      <c r="S2" s="37">
        <f>BDbDT_calcs!S48</f>
        <v>136.37926424400672</v>
      </c>
      <c r="T2" s="37">
        <f>BDbDT_calcs!T48</f>
        <v>134.16027212705163</v>
      </c>
      <c r="U2" s="37">
        <f>BDbDT_calcs!U48</f>
        <v>131.97342244531526</v>
      </c>
      <c r="V2" s="37">
        <f>BDbDT_calcs!V48</f>
        <v>129.81620747601193</v>
      </c>
      <c r="W2" s="37">
        <f>BDbDT_calcs!W48</f>
        <v>127.70288876182272</v>
      </c>
      <c r="X2" s="37">
        <f>BDbDT_calcs!X48</f>
        <v>125.74851004545643</v>
      </c>
      <c r="Y2" s="37">
        <f>BDbDT_calcs!Y48</f>
        <v>123.81598143844488</v>
      </c>
      <c r="Z2" s="37">
        <f>BDbDT_calcs!Z48</f>
        <v>121.98673041455318</v>
      </c>
      <c r="AA2" s="37">
        <f>BDbDT_calcs!AA48</f>
        <v>120.19125227884169</v>
      </c>
      <c r="AB2" s="37">
        <f>BDbDT_calcs!AB48</f>
        <v>118.4108124402325</v>
      </c>
    </row>
    <row r="3" spans="1:28" x14ac:dyDescent="0.25">
      <c r="A3" s="4" t="s">
        <v>216</v>
      </c>
      <c r="B3" s="37">
        <f>BDbDT_calcs!B49</f>
        <v>131.51614166797836</v>
      </c>
      <c r="C3" s="37">
        <f>BDbDT_calcs!C49</f>
        <v>130.5453231591971</v>
      </c>
      <c r="D3" s="37">
        <f>BDbDT_calcs!D49</f>
        <v>129.60089009831827</v>
      </c>
      <c r="E3" s="37">
        <f>BDbDT_calcs!E49</f>
        <v>128.65836078639515</v>
      </c>
      <c r="F3" s="37">
        <f>BDbDT_calcs!F49</f>
        <v>127.70127080351327</v>
      </c>
      <c r="G3" s="37">
        <f>BDbDT_calcs!G49</f>
        <v>126.76470497518514</v>
      </c>
      <c r="H3" s="37">
        <f>BDbDT_calcs!H49</f>
        <v>125.8321360615937</v>
      </c>
      <c r="I3" s="37">
        <f>BDbDT_calcs!I49</f>
        <v>124.4624533096283</v>
      </c>
      <c r="J3" s="37">
        <f>BDbDT_calcs!J49</f>
        <v>123.17625284554846</v>
      </c>
      <c r="K3" s="37">
        <f>BDbDT_calcs!K49</f>
        <v>121.81371492651408</v>
      </c>
      <c r="L3" s="37">
        <f>BDbDT_calcs!L49</f>
        <v>120.51256865519655</v>
      </c>
      <c r="M3" s="37">
        <f>BDbDT_calcs!M49</f>
        <v>119.1357775178315</v>
      </c>
      <c r="N3" s="37">
        <f>BDbDT_calcs!N49</f>
        <v>117.7009021655121</v>
      </c>
      <c r="O3" s="37">
        <f>BDbDT_calcs!O49</f>
        <v>116.37766293670984</v>
      </c>
      <c r="P3" s="37">
        <f>BDbDT_calcs!P49</f>
        <v>114.91132389337552</v>
      </c>
      <c r="Q3" s="37">
        <f>BDbDT_calcs!Q49</f>
        <v>113.50459286796881</v>
      </c>
      <c r="R3" s="37">
        <f>BDbDT_calcs!R49</f>
        <v>112.03858712700772</v>
      </c>
      <c r="S3" s="37">
        <f>BDbDT_calcs!S49</f>
        <v>110.46781120102276</v>
      </c>
      <c r="T3" s="37">
        <f>BDbDT_calcs!T49</f>
        <v>108.88967902012082</v>
      </c>
      <c r="U3" s="37">
        <f>BDbDT_calcs!U49</f>
        <v>107.33614825235114</v>
      </c>
      <c r="V3" s="37">
        <f>BDbDT_calcs!V49</f>
        <v>105.83843648216317</v>
      </c>
      <c r="W3" s="37">
        <f>BDbDT_calcs!W49</f>
        <v>104.37768211453752</v>
      </c>
      <c r="X3" s="37">
        <f>BDbDT_calcs!X49</f>
        <v>102.91880338932597</v>
      </c>
      <c r="Y3" s="37">
        <f>BDbDT_calcs!Y49</f>
        <v>101.54273328974371</v>
      </c>
      <c r="Z3" s="37">
        <f>BDbDT_calcs!Z49</f>
        <v>100.16523075837502</v>
      </c>
      <c r="AA3" s="37">
        <f>BDbDT_calcs!AA49</f>
        <v>98.850120480135132</v>
      </c>
      <c r="AB3" s="37">
        <f>BDbDT_calcs!AB49</f>
        <v>97.644327294920572</v>
      </c>
    </row>
    <row r="4" spans="1:28" x14ac:dyDescent="0.25">
      <c r="A4" s="4" t="s">
        <v>217</v>
      </c>
      <c r="B4" s="37">
        <f>BDbDT_calcs!B50</f>
        <v>199.97121313899484</v>
      </c>
      <c r="C4" s="37">
        <f>BDbDT_calcs!C50</f>
        <v>198.26956969514615</v>
      </c>
      <c r="D4" s="37">
        <f>BDbDT_calcs!D50</f>
        <v>196.62904556292224</v>
      </c>
      <c r="E4" s="37">
        <f>BDbDT_calcs!E50</f>
        <v>194.978203723023</v>
      </c>
      <c r="F4" s="37">
        <f>BDbDT_calcs!F50</f>
        <v>193.33859990345104</v>
      </c>
      <c r="G4" s="37">
        <f>BDbDT_calcs!G50</f>
        <v>191.73060844412211</v>
      </c>
      <c r="H4" s="37">
        <f>BDbDT_calcs!H50</f>
        <v>190.07502263911385</v>
      </c>
      <c r="I4" s="37">
        <f>BDbDT_calcs!I50</f>
        <v>187.91107149084598</v>
      </c>
      <c r="J4" s="37">
        <f>BDbDT_calcs!J50</f>
        <v>185.69618557749379</v>
      </c>
      <c r="K4" s="37">
        <f>BDbDT_calcs!K50</f>
        <v>183.44407385244313</v>
      </c>
      <c r="L4" s="37">
        <f>BDbDT_calcs!L50</f>
        <v>181.1353572598434</v>
      </c>
      <c r="M4" s="37">
        <f>BDbDT_calcs!M50</f>
        <v>178.77044736094567</v>
      </c>
      <c r="N4" s="37">
        <f>BDbDT_calcs!N50</f>
        <v>176.34948970284944</v>
      </c>
      <c r="O4" s="37">
        <f>BDbDT_calcs!O50</f>
        <v>173.8137253657014</v>
      </c>
      <c r="P4" s="37">
        <f>BDbDT_calcs!P50</f>
        <v>171.2416157888901</v>
      </c>
      <c r="Q4" s="37">
        <f>BDbDT_calcs!Q50</f>
        <v>168.6128010324835</v>
      </c>
      <c r="R4" s="37">
        <f>BDbDT_calcs!R50</f>
        <v>165.92633196165079</v>
      </c>
      <c r="S4" s="37">
        <f>BDbDT_calcs!S50</f>
        <v>163.02971158006858</v>
      </c>
      <c r="T4" s="37">
        <f>BDbDT_calcs!T50</f>
        <v>160.17550897770113</v>
      </c>
      <c r="U4" s="37">
        <f>BDbDT_calcs!U50</f>
        <v>157.36104840685985</v>
      </c>
      <c r="V4" s="37">
        <f>BDbDT_calcs!V50</f>
        <v>154.60243661078229</v>
      </c>
      <c r="W4" s="37">
        <f>BDbDT_calcs!W50</f>
        <v>151.93457302361159</v>
      </c>
      <c r="X4" s="37">
        <f>BDbDT_calcs!X50</f>
        <v>149.37294478359999</v>
      </c>
      <c r="Y4" s="37">
        <f>BDbDT_calcs!Y50</f>
        <v>146.87669278367954</v>
      </c>
      <c r="Z4" s="37">
        <f>BDbDT_calcs!Z50</f>
        <v>144.46179910280767</v>
      </c>
      <c r="AA4" s="37">
        <f>BDbDT_calcs!AA50</f>
        <v>142.16308487813529</v>
      </c>
      <c r="AB4" s="37">
        <f>BDbDT_calcs!AB50</f>
        <v>139.93969011992655</v>
      </c>
    </row>
    <row r="5" spans="1:28" x14ac:dyDescent="0.25">
      <c r="A5" s="4" t="s">
        <v>218</v>
      </c>
      <c r="B5" s="37">
        <f>BDbDT_calcs!B51</f>
        <v>40.598394009717609</v>
      </c>
      <c r="C5" s="37">
        <f>BDbDT_calcs!C51</f>
        <v>39.974402777923451</v>
      </c>
      <c r="D5" s="37">
        <f>BDbDT_calcs!D51</f>
        <v>39.368338591161681</v>
      </c>
      <c r="E5" s="37">
        <f>BDbDT_calcs!E51</f>
        <v>38.75195882993895</v>
      </c>
      <c r="F5" s="37">
        <f>BDbDT_calcs!F51</f>
        <v>38.125472829736879</v>
      </c>
      <c r="G5" s="37">
        <f>BDbDT_calcs!G51</f>
        <v>37.506078012988091</v>
      </c>
      <c r="H5" s="37">
        <f>BDbDT_calcs!H51</f>
        <v>36.868077101695704</v>
      </c>
      <c r="I5" s="37">
        <f>BDbDT_calcs!I51</f>
        <v>36.137799845022734</v>
      </c>
      <c r="J5" s="37">
        <f>BDbDT_calcs!J51</f>
        <v>35.419358726387919</v>
      </c>
      <c r="K5" s="37">
        <f>BDbDT_calcs!K51</f>
        <v>34.71119128122708</v>
      </c>
      <c r="L5" s="37">
        <f>BDbDT_calcs!L51</f>
        <v>34.030007084696102</v>
      </c>
      <c r="M5" s="37">
        <f>BDbDT_calcs!M51</f>
        <v>33.38382180352837</v>
      </c>
      <c r="N5" s="37">
        <f>BDbDT_calcs!N51</f>
        <v>32.746873210105115</v>
      </c>
      <c r="O5" s="37">
        <f>BDbDT_calcs!O51</f>
        <v>32.144064997157848</v>
      </c>
      <c r="P5" s="37">
        <f>BDbDT_calcs!P51</f>
        <v>31.549787899590822</v>
      </c>
      <c r="Q5" s="37">
        <f>BDbDT_calcs!Q51</f>
        <v>30.980379302920799</v>
      </c>
      <c r="R5" s="37">
        <f>BDbDT_calcs!R51</f>
        <v>30.427018273677433</v>
      </c>
      <c r="S5" s="37">
        <f>BDbDT_calcs!S51</f>
        <v>29.846151643864783</v>
      </c>
      <c r="T5" s="37">
        <f>BDbDT_calcs!T51</f>
        <v>29.28166475097245</v>
      </c>
      <c r="U5" s="37">
        <f>BDbDT_calcs!U51</f>
        <v>28.724727967295063</v>
      </c>
      <c r="V5" s="37">
        <f>BDbDT_calcs!V51</f>
        <v>28.191178450578551</v>
      </c>
      <c r="W5" s="37">
        <f>BDbDT_calcs!W51</f>
        <v>27.655714801788385</v>
      </c>
      <c r="X5" s="37">
        <f>BDbDT_calcs!X51</f>
        <v>27.142317911090323</v>
      </c>
      <c r="Y5" s="37">
        <f>BDbDT_calcs!Y51</f>
        <v>26.658576159896409</v>
      </c>
      <c r="Z5" s="37">
        <f>BDbDT_calcs!Z51</f>
        <v>26.179443835773331</v>
      </c>
      <c r="AA5" s="37">
        <f>BDbDT_calcs!AA51</f>
        <v>25.720636753971853</v>
      </c>
      <c r="AB5" s="37">
        <f>BDbDT_calcs!AB51</f>
        <v>25.265444052524963</v>
      </c>
    </row>
    <row r="6" spans="1:28" x14ac:dyDescent="0.25">
      <c r="A6" s="4" t="s">
        <v>219</v>
      </c>
      <c r="B6" s="37">
        <f>BDbDT_calcs!B52</f>
        <v>8.346341616081137</v>
      </c>
      <c r="C6" s="37">
        <f>BDbDT_calcs!C52</f>
        <v>8.3592707040476935</v>
      </c>
      <c r="D6" s="37">
        <f>BDbDT_calcs!D52</f>
        <v>8.3736133343885566</v>
      </c>
      <c r="E6" s="37">
        <f>BDbDT_calcs!E52</f>
        <v>8.3985938194503245</v>
      </c>
      <c r="F6" s="37">
        <f>BDbDT_calcs!F52</f>
        <v>8.4246277541498422</v>
      </c>
      <c r="G6" s="37">
        <f>BDbDT_calcs!G52</f>
        <v>8.4517635024049547</v>
      </c>
      <c r="H6" s="37">
        <f>BDbDT_calcs!H52</f>
        <v>8.4800962639491697</v>
      </c>
      <c r="I6" s="37">
        <f>BDbDT_calcs!I52</f>
        <v>8.4843240064945142</v>
      </c>
      <c r="J6" s="37">
        <f>BDbDT_calcs!J52</f>
        <v>8.4899556483112839</v>
      </c>
      <c r="K6" s="37">
        <f>BDbDT_calcs!K52</f>
        <v>8.5157047754548501</v>
      </c>
      <c r="L6" s="37">
        <f>BDbDT_calcs!L52</f>
        <v>8.5235647845937468</v>
      </c>
      <c r="M6" s="37">
        <f>BDbDT_calcs!M52</f>
        <v>8.5326221311619737</v>
      </c>
      <c r="N6" s="37">
        <f>BDbDT_calcs!N52</f>
        <v>8.5428987324930183</v>
      </c>
      <c r="O6" s="37">
        <f>BDbDT_calcs!O52</f>
        <v>8.5544175153532755</v>
      </c>
      <c r="P6" s="37">
        <f>BDbDT_calcs!P52</f>
        <v>8.5578486579226212</v>
      </c>
      <c r="Q6" s="37">
        <f>BDbDT_calcs!Q52</f>
        <v>8.5718986389037912</v>
      </c>
      <c r="R6" s="37">
        <f>BDbDT_calcs!R52</f>
        <v>8.5685971359621362</v>
      </c>
      <c r="S6" s="37">
        <f>BDbDT_calcs!S52</f>
        <v>8.565879122565649</v>
      </c>
      <c r="T6" s="37">
        <f>BDbDT_calcs!T52</f>
        <v>8.5735785895640308</v>
      </c>
      <c r="U6" s="37">
        <f>BDbDT_calcs!U52</f>
        <v>8.5639376655754234</v>
      </c>
      <c r="V6" s="37">
        <f>BDbDT_calcs!V52</f>
        <v>8.5645428077616543</v>
      </c>
      <c r="W6" s="37">
        <f>BDbDT_calcs!W52</f>
        <v>8.566050992687666</v>
      </c>
      <c r="X6" s="37">
        <f>BDbDT_calcs!X52</f>
        <v>8.5592290536942777</v>
      </c>
      <c r="Y6" s="37">
        <f>BDbDT_calcs!Y52</f>
        <v>8.5713478016049827</v>
      </c>
      <c r="Z6" s="37">
        <f>BDbDT_calcs!Z52</f>
        <v>8.565884808288363</v>
      </c>
      <c r="AA6" s="37">
        <f>BDbDT_calcs!AA52</f>
        <v>8.5609541379220797</v>
      </c>
      <c r="AB6" s="37">
        <f>BDbDT_calcs!AB52</f>
        <v>8.5564413691335108</v>
      </c>
    </row>
    <row r="7" spans="1:28" x14ac:dyDescent="0.25">
      <c r="A7" s="4" t="s">
        <v>220</v>
      </c>
      <c r="B7" s="37">
        <f>BDbDT_calcs!B53</f>
        <v>20.808019172565377</v>
      </c>
      <c r="C7" s="37">
        <f>BDbDT_calcs!C53</f>
        <v>20.945744448052629</v>
      </c>
      <c r="D7" s="37">
        <f>BDbDT_calcs!D53</f>
        <v>21.045653063477868</v>
      </c>
      <c r="E7" s="37">
        <f>BDbDT_calcs!E53</f>
        <v>21.175118117105644</v>
      </c>
      <c r="F7" s="37">
        <f>BDbDT_calcs!F53</f>
        <v>21.293417970753527</v>
      </c>
      <c r="G7" s="37">
        <f>BDbDT_calcs!G53</f>
        <v>21.387161379424835</v>
      </c>
      <c r="H7" s="37">
        <f>BDbDT_calcs!H53</f>
        <v>21.538191027416048</v>
      </c>
      <c r="I7" s="37">
        <f>BDbDT_calcs!I53</f>
        <v>21.573483442740237</v>
      </c>
      <c r="J7" s="37">
        <f>BDbDT_calcs!J53</f>
        <v>21.625627449174566</v>
      </c>
      <c r="K7" s="37">
        <f>BDbDT_calcs!K53</f>
        <v>21.640094553858756</v>
      </c>
      <c r="L7" s="37">
        <f>BDbDT_calcs!L53</f>
        <v>21.670925184197934</v>
      </c>
      <c r="M7" s="37">
        <f>BDbDT_calcs!M53</f>
        <v>21.664729063279736</v>
      </c>
      <c r="N7" s="37">
        <f>BDbDT_calcs!N53</f>
        <v>21.688398897347469</v>
      </c>
      <c r="O7" s="37">
        <f>BDbDT_calcs!O53</f>
        <v>21.688739259792268</v>
      </c>
      <c r="P7" s="37">
        <f>BDbDT_calcs!P53</f>
        <v>21.666009991372672</v>
      </c>
      <c r="Q7" s="37">
        <f>BDbDT_calcs!Q53</f>
        <v>21.620400939718305</v>
      </c>
      <c r="R7" s="37">
        <f>BDbDT_calcs!R53</f>
        <v>21.578334391673128</v>
      </c>
      <c r="S7" s="37">
        <f>BDbDT_calcs!S53</f>
        <v>21.501528019131467</v>
      </c>
      <c r="T7" s="37">
        <f>BDbDT_calcs!T53</f>
        <v>21.375992056323909</v>
      </c>
      <c r="U7" s="37">
        <f>BDbDT_calcs!U53</f>
        <v>21.28007129730938</v>
      </c>
      <c r="V7" s="37">
        <f>BDbDT_calcs!V53</f>
        <v>21.16135268574099</v>
      </c>
      <c r="W7" s="37">
        <f>BDbDT_calcs!W53</f>
        <v>21.045605624267182</v>
      </c>
      <c r="X7" s="37">
        <f>BDbDT_calcs!X53</f>
        <v>20.95827625131604</v>
      </c>
      <c r="Y7" s="37">
        <f>BDbDT_calcs!Y53</f>
        <v>20.834659291792317</v>
      </c>
      <c r="Z7" s="37">
        <f>BDbDT_calcs!Z53</f>
        <v>20.751678619153108</v>
      </c>
      <c r="AA7" s="37">
        <f>BDbDT_calcs!AA53</f>
        <v>20.632016891294313</v>
      </c>
      <c r="AB7" s="37">
        <f>BDbDT_calcs!AB53</f>
        <v>20.552183395262205</v>
      </c>
    </row>
    <row r="8" spans="1:28" x14ac:dyDescent="0.25">
      <c r="A8" s="4" t="s">
        <v>221</v>
      </c>
      <c r="B8" s="37">
        <f>BDbDT_calcs!B54</f>
        <v>29.2457526025334</v>
      </c>
      <c r="C8" s="37">
        <f>BDbDT_calcs!C54</f>
        <v>29.310941968643622</v>
      </c>
      <c r="D8" s="37">
        <f>BDbDT_calcs!D54</f>
        <v>29.396187027653767</v>
      </c>
      <c r="E8" s="37">
        <f>BDbDT_calcs!E54</f>
        <v>29.492382641789064</v>
      </c>
      <c r="F8" s="37">
        <f>BDbDT_calcs!F54</f>
        <v>29.614938855249893</v>
      </c>
      <c r="G8" s="37">
        <f>BDbDT_calcs!G54</f>
        <v>29.711070942812594</v>
      </c>
      <c r="H8" s="37">
        <f>BDbDT_calcs!H54</f>
        <v>29.803865725437774</v>
      </c>
      <c r="I8" s="37">
        <f>BDbDT_calcs!I54</f>
        <v>29.804463985901926</v>
      </c>
      <c r="J8" s="37">
        <f>BDbDT_calcs!J54</f>
        <v>29.795136868093341</v>
      </c>
      <c r="K8" s="37">
        <f>BDbDT_calcs!K54</f>
        <v>29.775081141458479</v>
      </c>
      <c r="L8" s="37">
        <f>BDbDT_calcs!L54</f>
        <v>29.737129865293731</v>
      </c>
      <c r="M8" s="37">
        <f>BDbDT_calcs!M54</f>
        <v>29.681588281799009</v>
      </c>
      <c r="N8" s="37">
        <f>BDbDT_calcs!N54</f>
        <v>29.608712754585525</v>
      </c>
      <c r="O8" s="37">
        <f>BDbDT_calcs!O54</f>
        <v>29.51874009638145</v>
      </c>
      <c r="P8" s="37">
        <f>BDbDT_calcs!P54</f>
        <v>29.389834357114669</v>
      </c>
      <c r="Q8" s="37">
        <f>BDbDT_calcs!Q54</f>
        <v>29.244228518288985</v>
      </c>
      <c r="R8" s="37">
        <f>BDbDT_calcs!R54</f>
        <v>29.060057589972047</v>
      </c>
      <c r="S8" s="37">
        <f>BDbDT_calcs!S54</f>
        <v>28.847515037351975</v>
      </c>
      <c r="T8" s="37">
        <f>BDbDT_calcs!T54</f>
        <v>28.611395142004131</v>
      </c>
      <c r="U8" s="37">
        <f>BDbDT_calcs!U54</f>
        <v>28.351647786125952</v>
      </c>
      <c r="V8" s="37">
        <f>BDbDT_calcs!V54</f>
        <v>28.096922155306494</v>
      </c>
      <c r="W8" s="37">
        <f>BDbDT_calcs!W54</f>
        <v>27.810836457387907</v>
      </c>
      <c r="X8" s="37">
        <f>BDbDT_calcs!X54</f>
        <v>27.564827286781966</v>
      </c>
      <c r="Y8" s="37">
        <f>BDbDT_calcs!Y54</f>
        <v>27.315419875641016</v>
      </c>
      <c r="Z8" s="37">
        <f>BDbDT_calcs!Z54</f>
        <v>27.069362224291989</v>
      </c>
      <c r="AA8" s="37">
        <f>BDbDT_calcs!AA54</f>
        <v>26.833330088113165</v>
      </c>
      <c r="AB8" s="37">
        <f>BDbDT_calcs!AB54</f>
        <v>26.613943579776482</v>
      </c>
    </row>
    <row r="9" spans="1:28" x14ac:dyDescent="0.25">
      <c r="A9" s="4" t="s">
        <v>222</v>
      </c>
      <c r="B9" s="37">
        <f>BDbDT_calcs!B55</f>
        <v>263.44942398314259</v>
      </c>
      <c r="C9" s="37">
        <f>BDbDT_calcs!C55</f>
        <v>260.36704698772633</v>
      </c>
      <c r="D9" s="37">
        <f>BDbDT_calcs!D55</f>
        <v>257.28127751207074</v>
      </c>
      <c r="E9" s="37">
        <f>BDbDT_calcs!E55</f>
        <v>254.19788899654793</v>
      </c>
      <c r="F9" s="37">
        <f>BDbDT_calcs!F55</f>
        <v>251.01821191994378</v>
      </c>
      <c r="G9" s="37">
        <f>BDbDT_calcs!G55</f>
        <v>247.92252497525655</v>
      </c>
      <c r="H9" s="37">
        <f>BDbDT_calcs!H55</f>
        <v>244.83189177058435</v>
      </c>
      <c r="I9" s="37">
        <f>BDbDT_calcs!I55</f>
        <v>241.04576100017886</v>
      </c>
      <c r="J9" s="37">
        <f>BDbDT_calcs!J55</f>
        <v>237.29047366420275</v>
      </c>
      <c r="K9" s="37">
        <f>BDbDT_calcs!K55</f>
        <v>233.53688677897685</v>
      </c>
      <c r="L9" s="37">
        <f>BDbDT_calcs!L55</f>
        <v>229.82395137614054</v>
      </c>
      <c r="M9" s="37">
        <f>BDbDT_calcs!M55</f>
        <v>226.13106931415223</v>
      </c>
      <c r="N9" s="37">
        <f>BDbDT_calcs!N55</f>
        <v>222.49627052133587</v>
      </c>
      <c r="O9" s="37">
        <f>BDbDT_calcs!O55</f>
        <v>218.84023062312849</v>
      </c>
      <c r="P9" s="37">
        <f>BDbDT_calcs!P55</f>
        <v>215.22020552739465</v>
      </c>
      <c r="Q9" s="37">
        <f>BDbDT_calcs!Q55</f>
        <v>211.63422903384361</v>
      </c>
      <c r="R9" s="37">
        <f>BDbDT_calcs!R55</f>
        <v>208.09944205502256</v>
      </c>
      <c r="S9" s="37">
        <f>BDbDT_calcs!S55</f>
        <v>204.31726188637546</v>
      </c>
      <c r="T9" s="37">
        <f>BDbDT_calcs!T55</f>
        <v>200.62766765564677</v>
      </c>
      <c r="U9" s="37">
        <f>BDbDT_calcs!U55</f>
        <v>197.0651019860299</v>
      </c>
      <c r="V9" s="37">
        <f>BDbDT_calcs!V55</f>
        <v>193.58681210771232</v>
      </c>
      <c r="W9" s="37">
        <f>BDbDT_calcs!W55</f>
        <v>190.2834637789442</v>
      </c>
      <c r="X9" s="37">
        <f>BDbDT_calcs!X55</f>
        <v>187.0552797188725</v>
      </c>
      <c r="Y9" s="37">
        <f>BDbDT_calcs!Y55</f>
        <v>183.95591553807205</v>
      </c>
      <c r="Z9" s="37">
        <f>BDbDT_calcs!Z55</f>
        <v>180.96239709494867</v>
      </c>
      <c r="AA9" s="37">
        <f>BDbDT_calcs!AA55</f>
        <v>178.05213182657204</v>
      </c>
      <c r="AB9" s="37">
        <f>BDbDT_calcs!AB55</f>
        <v>175.24044405217316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26691.108676491767</v>
      </c>
      <c r="C2" s="37">
        <f>BDbDT_calcs!C58</f>
        <v>27124.876179043611</v>
      </c>
      <c r="D2" s="37">
        <f>BDbDT_calcs!D58</f>
        <v>27557.780912469705</v>
      </c>
      <c r="E2" s="37">
        <f>BDbDT_calcs!E58</f>
        <v>27990.704511157935</v>
      </c>
      <c r="F2" s="37">
        <f>BDbDT_calcs!F58</f>
        <v>28426.070626716577</v>
      </c>
      <c r="G2" s="37">
        <f>BDbDT_calcs!G58</f>
        <v>28864.73931015989</v>
      </c>
      <c r="H2" s="37">
        <f>BDbDT_calcs!H58</f>
        <v>29304.758249929066</v>
      </c>
      <c r="I2" s="37">
        <f>BDbDT_calcs!I58</f>
        <v>29655.621043182546</v>
      </c>
      <c r="J2" s="37">
        <f>BDbDT_calcs!J58</f>
        <v>29999.952695874479</v>
      </c>
      <c r="K2" s="37">
        <f>BDbDT_calcs!K58</f>
        <v>30337.318185133463</v>
      </c>
      <c r="L2" s="37">
        <f>BDbDT_calcs!L58</f>
        <v>30665.24708886752</v>
      </c>
      <c r="M2" s="37">
        <f>BDbDT_calcs!M58</f>
        <v>30983.334866355613</v>
      </c>
      <c r="N2" s="37">
        <f>BDbDT_calcs!N58</f>
        <v>31288.531281057905</v>
      </c>
      <c r="O2" s="37">
        <f>BDbDT_calcs!O58</f>
        <v>31579.789729382508</v>
      </c>
      <c r="P2" s="37">
        <f>BDbDT_calcs!P58</f>
        <v>31853.19970732975</v>
      </c>
      <c r="Q2" s="37">
        <f>BDbDT_calcs!Q58</f>
        <v>32108.270515208653</v>
      </c>
      <c r="R2" s="37">
        <f>BDbDT_calcs!R58</f>
        <v>32340.292417990178</v>
      </c>
      <c r="S2" s="37">
        <f>BDbDT_calcs!S58</f>
        <v>32511.811947720893</v>
      </c>
      <c r="T2" s="37">
        <f>BDbDT_calcs!T58</f>
        <v>32658.737720172088</v>
      </c>
      <c r="U2" s="37">
        <f>BDbDT_calcs!U58</f>
        <v>32782.989025525101</v>
      </c>
      <c r="V2" s="37">
        <f>BDbDT_calcs!V58</f>
        <v>32876.846998004097</v>
      </c>
      <c r="W2" s="37">
        <f>BDbDT_calcs!W58</f>
        <v>32942.420027334243</v>
      </c>
      <c r="X2" s="37">
        <f>BDbDT_calcs!X58</f>
        <v>32978.047096210285</v>
      </c>
      <c r="Y2" s="37">
        <f>BDbDT_calcs!Y58</f>
        <v>32997.453780618001</v>
      </c>
      <c r="Z2" s="37">
        <f>BDbDT_calcs!Z58</f>
        <v>32988.663790735925</v>
      </c>
      <c r="AA2" s="37">
        <f>BDbDT_calcs!AA58</f>
        <v>32953.819384175869</v>
      </c>
      <c r="AB2" s="37">
        <f>BDbDT_calcs!AB58</f>
        <v>32895.997592775238</v>
      </c>
    </row>
    <row r="3" spans="1:28" x14ac:dyDescent="0.25">
      <c r="A3" s="4" t="s">
        <v>216</v>
      </c>
      <c r="B3" s="37">
        <f>BDbDT_calcs!B59</f>
        <v>24577.219183309713</v>
      </c>
      <c r="C3" s="37">
        <f>BDbDT_calcs!C59</f>
        <v>24911.941453352752</v>
      </c>
      <c r="D3" s="37">
        <f>BDbDT_calcs!D59</f>
        <v>25247.901777574563</v>
      </c>
      <c r="E3" s="37">
        <f>BDbDT_calcs!E59</f>
        <v>25597.034146391041</v>
      </c>
      <c r="F3" s="37">
        <f>BDbDT_calcs!F59</f>
        <v>25966.563337635322</v>
      </c>
      <c r="G3" s="37">
        <f>BDbDT_calcs!G59</f>
        <v>26357.845072902579</v>
      </c>
      <c r="H3" s="37">
        <f>BDbDT_calcs!H59</f>
        <v>26773.300290790401</v>
      </c>
      <c r="I3" s="37">
        <f>BDbDT_calcs!I59</f>
        <v>27129.148566100659</v>
      </c>
      <c r="J3" s="37">
        <f>BDbDT_calcs!J59</f>
        <v>27503.13828431307</v>
      </c>
      <c r="K3" s="37">
        <f>BDbDT_calcs!K59</f>
        <v>27888.131790417865</v>
      </c>
      <c r="L3" s="37">
        <f>BDbDT_calcs!L59</f>
        <v>28283.492569414866</v>
      </c>
      <c r="M3" s="37">
        <f>BDbDT_calcs!M59</f>
        <v>28687.44861628224</v>
      </c>
      <c r="N3" s="37">
        <f>BDbDT_calcs!N59</f>
        <v>29093.855107708066</v>
      </c>
      <c r="O3" s="37">
        <f>BDbDT_calcs!O59</f>
        <v>29496.926600122024</v>
      </c>
      <c r="P3" s="37">
        <f>BDbDT_calcs!P59</f>
        <v>29895.440155194476</v>
      </c>
      <c r="Q3" s="37">
        <f>BDbDT_calcs!Q59</f>
        <v>30281.249867514194</v>
      </c>
      <c r="R3" s="37">
        <f>BDbDT_calcs!R59</f>
        <v>30652.181370241979</v>
      </c>
      <c r="S3" s="37">
        <f>BDbDT_calcs!S59</f>
        <v>30966.699146182065</v>
      </c>
      <c r="T3" s="37">
        <f>BDbDT_calcs!T59</f>
        <v>31258.078827337984</v>
      </c>
      <c r="U3" s="37">
        <f>BDbDT_calcs!U59</f>
        <v>31523.632210933763</v>
      </c>
      <c r="V3" s="37">
        <f>BDbDT_calcs!V59</f>
        <v>31756.438240576066</v>
      </c>
      <c r="W3" s="37">
        <f>BDbDT_calcs!W59</f>
        <v>31950.347330174161</v>
      </c>
      <c r="X3" s="37">
        <f>BDbDT_calcs!X59</f>
        <v>32107.304698159627</v>
      </c>
      <c r="Y3" s="37">
        <f>BDbDT_calcs!Y59</f>
        <v>32242.455399796745</v>
      </c>
      <c r="Z3" s="37">
        <f>BDbDT_calcs!Z59</f>
        <v>32342.061614597918</v>
      </c>
      <c r="AA3" s="37">
        <f>BDbDT_calcs!AA59</f>
        <v>32401.330463490965</v>
      </c>
      <c r="AB3" s="37">
        <f>BDbDT_calcs!AB59</f>
        <v>32421.013894332002</v>
      </c>
    </row>
    <row r="4" spans="1:28" x14ac:dyDescent="0.25">
      <c r="A4" s="4" t="s">
        <v>217</v>
      </c>
      <c r="B4" s="37">
        <f>BDbDT_calcs!B60</f>
        <v>47552.618955945472</v>
      </c>
      <c r="C4" s="37">
        <f>BDbDT_calcs!C60</f>
        <v>48255.023203199482</v>
      </c>
      <c r="D4" s="37">
        <f>BDbDT_calcs!D60</f>
        <v>48953.861790098919</v>
      </c>
      <c r="E4" s="37">
        <f>BDbDT_calcs!E60</f>
        <v>49660.462202968876</v>
      </c>
      <c r="F4" s="37">
        <f>BDbDT_calcs!F60</f>
        <v>50385.0344377609</v>
      </c>
      <c r="G4" s="37">
        <f>BDbDT_calcs!G60</f>
        <v>51127.826905964583</v>
      </c>
      <c r="H4" s="37">
        <f>BDbDT_calcs!H60</f>
        <v>51890.762534920563</v>
      </c>
      <c r="I4" s="37">
        <f>BDbDT_calcs!I60</f>
        <v>52511.596805817877</v>
      </c>
      <c r="J4" s="37">
        <f>BDbDT_calcs!J60</f>
        <v>53139.576569156823</v>
      </c>
      <c r="K4" s="37">
        <f>BDbDT_calcs!K60</f>
        <v>53765.344287275409</v>
      </c>
      <c r="L4" s="37">
        <f>BDbDT_calcs!L60</f>
        <v>54386.158266155733</v>
      </c>
      <c r="M4" s="37">
        <f>BDbDT_calcs!M60</f>
        <v>55000.037193522032</v>
      </c>
      <c r="N4" s="37">
        <f>BDbDT_calcs!N60</f>
        <v>55597.170853180076</v>
      </c>
      <c r="O4" s="37">
        <f>BDbDT_calcs!O60</f>
        <v>56172.262949271309</v>
      </c>
      <c r="P4" s="37">
        <f>BDbDT_calcs!P60</f>
        <v>56718.335566820489</v>
      </c>
      <c r="Q4" s="37">
        <f>BDbDT_calcs!Q60</f>
        <v>57228.058150245241</v>
      </c>
      <c r="R4" s="37">
        <f>BDbDT_calcs!R60</f>
        <v>57694.444807001222</v>
      </c>
      <c r="S4" s="37">
        <f>BDbDT_calcs!S60</f>
        <v>58045.185325790844</v>
      </c>
      <c r="T4" s="37">
        <f>BDbDT_calcs!T60</f>
        <v>58344.07398673812</v>
      </c>
      <c r="U4" s="37">
        <f>BDbDT_calcs!U60</f>
        <v>58591.360410949332</v>
      </c>
      <c r="V4" s="37">
        <f>BDbDT_calcs!V60</f>
        <v>58771.779517906311</v>
      </c>
      <c r="W4" s="37">
        <f>BDbDT_calcs!W60</f>
        <v>58881.304466872636</v>
      </c>
      <c r="X4" s="37">
        <f>BDbDT_calcs!X60</f>
        <v>58921.570541677669</v>
      </c>
      <c r="Y4" s="37">
        <f>BDbDT_calcs!Y60</f>
        <v>58922.946241488098</v>
      </c>
      <c r="Z4" s="37">
        <f>BDbDT_calcs!Z60</f>
        <v>58859.249112942263</v>
      </c>
      <c r="AA4" s="37">
        <f>BDbDT_calcs!AA60</f>
        <v>58727.144725179016</v>
      </c>
      <c r="AB4" s="37">
        <f>BDbDT_calcs!AB60</f>
        <v>58531.940429660943</v>
      </c>
    </row>
    <row r="5" spans="1:28" x14ac:dyDescent="0.25">
      <c r="A5" s="4" t="s">
        <v>218</v>
      </c>
      <c r="B5" s="37">
        <f>BDbDT_calcs!B61</f>
        <v>3138.7297073814684</v>
      </c>
      <c r="C5" s="37">
        <f>BDbDT_calcs!C61</f>
        <v>3179.9355899959392</v>
      </c>
      <c r="D5" s="37">
        <f>BDbDT_calcs!D61</f>
        <v>3221.4420599335735</v>
      </c>
      <c r="E5" s="37">
        <f>BDbDT_calcs!E61</f>
        <v>3263.3396597839192</v>
      </c>
      <c r="F5" s="37">
        <f>BDbDT_calcs!F61</f>
        <v>3306.7016470839567</v>
      </c>
      <c r="G5" s="37">
        <f>BDbDT_calcs!G61</f>
        <v>3351.6247373043216</v>
      </c>
      <c r="H5" s="37">
        <f>BDbDT_calcs!H61</f>
        <v>3398.0364327587604</v>
      </c>
      <c r="I5" s="37">
        <f>BDbDT_calcs!I61</f>
        <v>3435.8056019953756</v>
      </c>
      <c r="J5" s="37">
        <f>BDbDT_calcs!J61</f>
        <v>3474.7909370570487</v>
      </c>
      <c r="K5" s="37">
        <f>BDbDT_calcs!K61</f>
        <v>3514.7715959043885</v>
      </c>
      <c r="L5" s="37">
        <f>BDbDT_calcs!L61</f>
        <v>3555.7546178224165</v>
      </c>
      <c r="M5" s="37">
        <f>BDbDT_calcs!M61</f>
        <v>3597.5604985519108</v>
      </c>
      <c r="N5" s="37">
        <f>BDbDT_calcs!N61</f>
        <v>3640.363543154494</v>
      </c>
      <c r="O5" s="37">
        <f>BDbDT_calcs!O61</f>
        <v>3683.2468130824718</v>
      </c>
      <c r="P5" s="37">
        <f>BDbDT_calcs!P61</f>
        <v>3726.6221367803009</v>
      </c>
      <c r="Q5" s="37">
        <f>BDbDT_calcs!Q61</f>
        <v>3769.7382650706736</v>
      </c>
      <c r="R5" s="37">
        <f>BDbDT_calcs!R61</f>
        <v>3812.5128778833182</v>
      </c>
      <c r="S5" s="37">
        <f>BDbDT_calcs!S61</f>
        <v>3850.4768953680318</v>
      </c>
      <c r="T5" s="37">
        <f>BDbDT_calcs!T61</f>
        <v>3887.2814551444053</v>
      </c>
      <c r="U5" s="37">
        <f>BDbDT_calcs!U61</f>
        <v>3922.9924279485604</v>
      </c>
      <c r="V5" s="37">
        <f>BDbDT_calcs!V61</f>
        <v>3957.1581199238717</v>
      </c>
      <c r="W5" s="37">
        <f>BDbDT_calcs!W61</f>
        <v>3989.0524458077634</v>
      </c>
      <c r="X5" s="37">
        <f>BDbDT_calcs!X61</f>
        <v>4018.4177185422832</v>
      </c>
      <c r="Y5" s="37">
        <f>BDbDT_calcs!Y61</f>
        <v>4046.2770987308454</v>
      </c>
      <c r="Z5" s="37">
        <f>BDbDT_calcs!Z61</f>
        <v>4071.5202671544816</v>
      </c>
      <c r="AA5" s="37">
        <f>BDbDT_calcs!AA61</f>
        <v>4094.1216080158788</v>
      </c>
      <c r="AB5" s="37">
        <f>BDbDT_calcs!AB61</f>
        <v>4113.6663252548797</v>
      </c>
    </row>
    <row r="6" spans="1:28" x14ac:dyDescent="0.25">
      <c r="A6" s="4" t="s">
        <v>219</v>
      </c>
      <c r="B6" s="37">
        <f>BDbDT_calcs!B62</f>
        <v>1181.2157548714688</v>
      </c>
      <c r="C6" s="37">
        <f>BDbDT_calcs!C62</f>
        <v>1206.6955564238849</v>
      </c>
      <c r="D6" s="37">
        <f>BDbDT_calcs!D62</f>
        <v>1233.1328757878455</v>
      </c>
      <c r="E6" s="37">
        <f>BDbDT_calcs!E62</f>
        <v>1261.4379357684395</v>
      </c>
      <c r="F6" s="37">
        <f>BDbDT_calcs!F62</f>
        <v>1291.9816560844101</v>
      </c>
      <c r="G6" s="37">
        <f>BDbDT_calcs!G62</f>
        <v>1324.7442187796871</v>
      </c>
      <c r="H6" s="37">
        <f>BDbDT_calcs!H62</f>
        <v>1359.8213706697109</v>
      </c>
      <c r="I6" s="37">
        <f>BDbDT_calcs!I62</f>
        <v>1393.0647846469612</v>
      </c>
      <c r="J6" s="37">
        <f>BDbDT_calcs!J62</f>
        <v>1427.7227772394722</v>
      </c>
      <c r="K6" s="37">
        <f>BDbDT_calcs!K62</f>
        <v>1463.5050354231535</v>
      </c>
      <c r="L6" s="37">
        <f>BDbDT_calcs!L62</f>
        <v>1500.7812298804724</v>
      </c>
      <c r="M6" s="37">
        <f>BDbDT_calcs!M62</f>
        <v>1539.2567475263786</v>
      </c>
      <c r="N6" s="37">
        <f>BDbDT_calcs!N62</f>
        <v>1578.7352042674447</v>
      </c>
      <c r="O6" s="37">
        <f>BDbDT_calcs!O62</f>
        <v>1618.9399115283093</v>
      </c>
      <c r="P6" s="37">
        <f>BDbDT_calcs!P62</f>
        <v>1659.7274802714101</v>
      </c>
      <c r="Q6" s="37">
        <f>BDbDT_calcs!Q62</f>
        <v>1700.7858146131921</v>
      </c>
      <c r="R6" s="37">
        <f>BDbDT_calcs!R62</f>
        <v>1741.9623411796169</v>
      </c>
      <c r="S6" s="37">
        <f>BDbDT_calcs!S62</f>
        <v>1780.8879414257781</v>
      </c>
      <c r="T6" s="37">
        <f>BDbDT_calcs!T62</f>
        <v>1819.5736295754828</v>
      </c>
      <c r="U6" s="37">
        <f>BDbDT_calcs!U62</f>
        <v>1857.6293832570295</v>
      </c>
      <c r="V6" s="37">
        <f>BDbDT_calcs!V62</f>
        <v>1895.120585249367</v>
      </c>
      <c r="W6" s="37">
        <f>BDbDT_calcs!W62</f>
        <v>1931.9233297531787</v>
      </c>
      <c r="X6" s="37">
        <f>BDbDT_calcs!X62</f>
        <v>1968.2033803939121</v>
      </c>
      <c r="Y6" s="37">
        <f>BDbDT_calcs!Y62</f>
        <v>2003.8320490969563</v>
      </c>
      <c r="Z6" s="37">
        <f>BDbDT_calcs!Z62</f>
        <v>2038.8709373683701</v>
      </c>
      <c r="AA6" s="37">
        <f>BDbDT_calcs!AA62</f>
        <v>2073.2967547642447</v>
      </c>
      <c r="AB6" s="37">
        <f>BDbDT_calcs!AB62</f>
        <v>2106.9583191829247</v>
      </c>
    </row>
    <row r="7" spans="1:28" x14ac:dyDescent="0.25">
      <c r="A7" s="4" t="s">
        <v>220</v>
      </c>
      <c r="B7" s="37">
        <f>BDbDT_calcs!B63</f>
        <v>917.48560426700828</v>
      </c>
      <c r="C7" s="37">
        <f>BDbDT_calcs!C63</f>
        <v>935.96421614933024</v>
      </c>
      <c r="D7" s="37">
        <f>BDbDT_calcs!D63</f>
        <v>955.33061482371193</v>
      </c>
      <c r="E7" s="37">
        <f>BDbDT_calcs!E63</f>
        <v>976.5097291119589</v>
      </c>
      <c r="F7" s="37">
        <f>BDbDT_calcs!F63</f>
        <v>997.89070982505098</v>
      </c>
      <c r="G7" s="37">
        <f>BDbDT_calcs!G63</f>
        <v>1020.9004445870904</v>
      </c>
      <c r="H7" s="37">
        <f>BDbDT_calcs!H63</f>
        <v>1044.6158450257865</v>
      </c>
      <c r="I7" s="37">
        <f>BDbDT_calcs!I63</f>
        <v>1065.6489279016771</v>
      </c>
      <c r="J7" s="37">
        <f>BDbDT_calcs!J63</f>
        <v>1087.1155760010911</v>
      </c>
      <c r="K7" s="37">
        <f>BDbDT_calcs!K63</f>
        <v>1110.1824934922859</v>
      </c>
      <c r="L7" s="37">
        <f>BDbDT_calcs!L63</f>
        <v>1133.7773234485778</v>
      </c>
      <c r="M7" s="37">
        <f>BDbDT_calcs!M63</f>
        <v>1158.2430782163019</v>
      </c>
      <c r="N7" s="37">
        <f>BDbDT_calcs!N63</f>
        <v>1183.0676072540218</v>
      </c>
      <c r="O7" s="37">
        <f>BDbDT_calcs!O63</f>
        <v>1208.3423322978463</v>
      </c>
      <c r="P7" s="37">
        <f>BDbDT_calcs!P63</f>
        <v>1234.3812863133519</v>
      </c>
      <c r="Q7" s="37">
        <f>BDbDT_calcs!Q63</f>
        <v>1261.0187780270069</v>
      </c>
      <c r="R7" s="37">
        <f>BDbDT_calcs!R63</f>
        <v>1288.0110426688641</v>
      </c>
      <c r="S7" s="37">
        <f>BDbDT_calcs!S63</f>
        <v>1313.4395644963115</v>
      </c>
      <c r="T7" s="37">
        <f>BDbDT_calcs!T63</f>
        <v>1339.1315170083503</v>
      </c>
      <c r="U7" s="37">
        <f>BDbDT_calcs!U63</f>
        <v>1364.7341567932151</v>
      </c>
      <c r="V7" s="37">
        <f>BDbDT_calcs!V63</f>
        <v>1389.8548233328465</v>
      </c>
      <c r="W7" s="37">
        <f>BDbDT_calcs!W63</f>
        <v>1415.3428327843321</v>
      </c>
      <c r="X7" s="37">
        <f>BDbDT_calcs!X63</f>
        <v>1440.514142417484</v>
      </c>
      <c r="Y7" s="37">
        <f>BDbDT_calcs!Y63</f>
        <v>1465.7780474735218</v>
      </c>
      <c r="Z7" s="37">
        <f>BDbDT_calcs!Z63</f>
        <v>1490.5703880790204</v>
      </c>
      <c r="AA7" s="37">
        <f>BDbDT_calcs!AA63</f>
        <v>1515.1110099279847</v>
      </c>
      <c r="AB7" s="37">
        <f>BDbDT_calcs!AB63</f>
        <v>1539.6288255656723</v>
      </c>
    </row>
    <row r="8" spans="1:28" x14ac:dyDescent="0.25">
      <c r="A8" s="4" t="s">
        <v>221</v>
      </c>
      <c r="B8" s="37">
        <f>BDbDT_calcs!B64</f>
        <v>1904.2099110563861</v>
      </c>
      <c r="C8" s="37">
        <f>BDbDT_calcs!C64</f>
        <v>1967.5568250348852</v>
      </c>
      <c r="D8" s="37">
        <f>BDbDT_calcs!D64</f>
        <v>2032.2968557799643</v>
      </c>
      <c r="E8" s="37">
        <f>BDbDT_calcs!E64</f>
        <v>2098.6549244334619</v>
      </c>
      <c r="F8" s="37">
        <f>BDbDT_calcs!F64</f>
        <v>2166.662504364208</v>
      </c>
      <c r="G8" s="37">
        <f>BDbDT_calcs!G64</f>
        <v>2236.5926266619958</v>
      </c>
      <c r="H8" s="37">
        <f>BDbDT_calcs!H64</f>
        <v>2309.1848088425049</v>
      </c>
      <c r="I8" s="37">
        <f>BDbDT_calcs!I64</f>
        <v>2377.3549105447373</v>
      </c>
      <c r="J8" s="37">
        <f>BDbDT_calcs!J64</f>
        <v>2447.1978579707834</v>
      </c>
      <c r="K8" s="37">
        <f>BDbDT_calcs!K64</f>
        <v>2519.2716287201265</v>
      </c>
      <c r="L8" s="37">
        <f>BDbDT_calcs!L64</f>
        <v>2593.9961423573991</v>
      </c>
      <c r="M8" s="37">
        <f>BDbDT_calcs!M64</f>
        <v>2670.7282817323221</v>
      </c>
      <c r="N8" s="37">
        <f>BDbDT_calcs!N64</f>
        <v>2750.1555672611839</v>
      </c>
      <c r="O8" s="37">
        <f>BDbDT_calcs!O64</f>
        <v>2831.8119986851739</v>
      </c>
      <c r="P8" s="37">
        <f>BDbDT_calcs!P64</f>
        <v>2915.5669659402924</v>
      </c>
      <c r="Q8" s="37">
        <f>BDbDT_calcs!Q64</f>
        <v>3001.5438929014035</v>
      </c>
      <c r="R8" s="37">
        <f>BDbDT_calcs!R64</f>
        <v>3089.1330297230597</v>
      </c>
      <c r="S8" s="37">
        <f>BDbDT_calcs!S64</f>
        <v>3174.6232055174846</v>
      </c>
      <c r="T8" s="37">
        <f>BDbDT_calcs!T64</f>
        <v>3261.4380859084827</v>
      </c>
      <c r="U8" s="37">
        <f>BDbDT_calcs!U64</f>
        <v>3349.3526905258059</v>
      </c>
      <c r="V8" s="37">
        <f>BDbDT_calcs!V64</f>
        <v>3437.9151945494386</v>
      </c>
      <c r="W8" s="37">
        <f>BDbDT_calcs!W64</f>
        <v>3526.648153493536</v>
      </c>
      <c r="X8" s="37">
        <f>BDbDT_calcs!X64</f>
        <v>3615.9755225662566</v>
      </c>
      <c r="Y8" s="37">
        <f>BDbDT_calcs!Y64</f>
        <v>3705.166073999228</v>
      </c>
      <c r="Z8" s="37">
        <f>BDbDT_calcs!Z64</f>
        <v>3794.1676868749469</v>
      </c>
      <c r="AA8" s="37">
        <f>BDbDT_calcs!AA64</f>
        <v>3882.1274743964073</v>
      </c>
      <c r="AB8" s="37">
        <f>BDbDT_calcs!AB64</f>
        <v>3968.9406637460652</v>
      </c>
    </row>
    <row r="9" spans="1:28" x14ac:dyDescent="0.25">
      <c r="A9" s="4" t="s">
        <v>222</v>
      </c>
      <c r="B9" s="37">
        <f>BDbDT_calcs!B65</f>
        <v>53289.68864811102</v>
      </c>
      <c r="C9" s="37">
        <f>BDbDT_calcs!C65</f>
        <v>53995.592351032981</v>
      </c>
      <c r="D9" s="37">
        <f>BDbDT_calcs!D65</f>
        <v>54698.26059450968</v>
      </c>
      <c r="E9" s="37">
        <f>BDbDT_calcs!E65</f>
        <v>55411.812498805135</v>
      </c>
      <c r="F9" s="37">
        <f>BDbDT_calcs!F65</f>
        <v>56147.202050647182</v>
      </c>
      <c r="G9" s="37">
        <f>BDbDT_calcs!G65</f>
        <v>56906.234390924488</v>
      </c>
      <c r="H9" s="37">
        <f>BDbDT_calcs!H65</f>
        <v>57687.536288830699</v>
      </c>
      <c r="I9" s="37">
        <f>BDbDT_calcs!I65</f>
        <v>58311.560385469646</v>
      </c>
      <c r="J9" s="37">
        <f>BDbDT_calcs!J65</f>
        <v>58944.657078950491</v>
      </c>
      <c r="K9" s="37">
        <f>BDbDT_calcs!K65</f>
        <v>59576.653065940161</v>
      </c>
      <c r="L9" s="37">
        <f>BDbDT_calcs!L65</f>
        <v>60202.92189861535</v>
      </c>
      <c r="M9" s="37">
        <f>BDbDT_calcs!M65</f>
        <v>60822.67244536052</v>
      </c>
      <c r="N9" s="37">
        <f>BDbDT_calcs!N65</f>
        <v>61423.583642231846</v>
      </c>
      <c r="O9" s="37">
        <f>BDbDT_calcs!O65</f>
        <v>61999.057797190166</v>
      </c>
      <c r="P9" s="37">
        <f>BDbDT_calcs!P65</f>
        <v>62543.628725244933</v>
      </c>
      <c r="Q9" s="37">
        <f>BDbDT_calcs!Q65</f>
        <v>63047.051203315845</v>
      </c>
      <c r="R9" s="37">
        <f>BDbDT_calcs!R65</f>
        <v>63503.132728063858</v>
      </c>
      <c r="S9" s="37">
        <f>BDbDT_calcs!S65</f>
        <v>63831.742530113654</v>
      </c>
      <c r="T9" s="37">
        <f>BDbDT_calcs!T65</f>
        <v>64102.534965858307</v>
      </c>
      <c r="U9" s="37">
        <f>BDbDT_calcs!U65</f>
        <v>64315.177058698755</v>
      </c>
      <c r="V9" s="37">
        <f>BDbDT_calcs!V65</f>
        <v>64454.210623235114</v>
      </c>
      <c r="W9" s="37">
        <f>BDbDT_calcs!W65</f>
        <v>64516.204158416556</v>
      </c>
      <c r="X9" s="37">
        <f>BDbDT_calcs!X65</f>
        <v>64500.400794739093</v>
      </c>
      <c r="Y9" s="37">
        <f>BDbDT_calcs!Y65</f>
        <v>64441.612643441222</v>
      </c>
      <c r="Z9" s="37">
        <f>BDbDT_calcs!Z65</f>
        <v>64310.689517535997</v>
      </c>
      <c r="AA9" s="37">
        <f>BDbDT_calcs!AA65</f>
        <v>64106.791548361711</v>
      </c>
      <c r="AB9" s="37">
        <f>BDbDT_calcs!AB65</f>
        <v>63834.527307042677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2026-08-17T20:29:50Z</dcterms:modified>
</cp:coreProperties>
</file>