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BAADTbVT\"/>
    </mc:Choice>
  </mc:AlternateContent>
  <xr:revisionPtr revIDLastSave="0" documentId="8_{A319E017-A7F3-4D4D-BE24-11F31F6E80B8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<sst xmlns="http://schemas.openxmlformats.org/spreadsheetml/2006/main" count="55499" uniqueCount="1966">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</sst>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111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WI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13724000000000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107555000000000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290514000000000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19000000000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317057834579945.88</v>
      </c>
      <c r="F21" s="26">
        <f t="shared" ref="F21" si="0">IFERROR(F101*F117*F132/F86,0)</f>
        <v>1697089916721.7371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439697207354.39502</v>
      </c>
      <c r="F22" s="33">
        <f t="shared" si="1"/>
        <v>2879010321489.8657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10519726331009.869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8915218658400.998</v>
      </c>
      <c r="F25" s="90">
        <f t="shared" si="1"/>
        <v>2173357535123.4797</v>
      </c>
      <c r="G25" s="22"/>
    </row>
    <row r="26" spans="2:9">
      <c r="D26" s="23" t="s">
        <v>43</v>
      </c>
      <c r="E26" s="28">
        <f t="shared" si="1"/>
        <v>1712403090787.0754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9546174313076.9453</v>
      </c>
      <c r="F27" s="29">
        <f t="shared" si="1"/>
        <v>8498729493004.3545</v>
      </c>
      <c r="G27" s="20"/>
    </row>
    <row r="28" spans="2:9">
      <c r="D28" s="21" t="s">
        <v>50</v>
      </c>
      <c r="E28" s="33">
        <f t="shared" si="1"/>
        <v>834540831499.19238</v>
      </c>
      <c r="F28" s="33">
        <f t="shared" si="1"/>
        <v>106812955342946.72</v>
      </c>
      <c r="G28" s="22"/>
    </row>
    <row r="29" spans="2:9">
      <c r="D29" s="21" t="s">
        <v>73</v>
      </c>
      <c r="E29" s="33"/>
      <c r="F29" s="33"/>
      <c r="G29" s="22">
        <f t="shared" si="1"/>
        <v>2002681653649.8462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5187628867514.1299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338505868681064.44</v>
      </c>
      <c r="F32" s="92">
        <f t="shared" ref="F32:G32" si="2">SUM(F21:F31)</f>
        <v>127269298116781.73</v>
      </c>
      <c r="G32" s="92">
        <f t="shared" si="2"/>
        <v>12522407984659.715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0.93663910707165143</v>
      </c>
      <c r="F37" s="94">
        <f t="shared" ref="F37:G37" si="3">F21/F$32</f>
        <v>1.3334637197138425E-2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1.2989352564775521E-3</v>
      </c>
      <c r="F38" s="110">
        <f t="shared" ref="F38:G47" si="5">F22/F$32</f>
        <v>2.2621404879974265E-2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0.84007216055385003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2.6336969261826281E-2</v>
      </c>
      <c r="F41" s="37">
        <f t="shared" si="5"/>
        <v>1.707684074071986E-2</v>
      </c>
      <c r="G41" s="96">
        <f t="shared" si="5"/>
        <v>0</v>
      </c>
    </row>
    <row r="42" spans="3:41">
      <c r="D42" s="23" t="s">
        <v>43</v>
      </c>
      <c r="E42" s="113">
        <f t="shared" si="4"/>
        <v>5.0587102003849692E-3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2.8200912292221495E-2</v>
      </c>
      <c r="F43" s="94">
        <f t="shared" si="5"/>
        <v>6.6777530942348395E-2</v>
      </c>
      <c r="G43" s="95">
        <f t="shared" si="5"/>
        <v>0</v>
      </c>
    </row>
    <row r="44" spans="3:41">
      <c r="D44" s="21" t="s">
        <v>50</v>
      </c>
      <c r="E44" s="37">
        <f t="shared" si="4"/>
        <v>2.4653659174384513E-3</v>
      </c>
      <c r="F44" s="110">
        <f t="shared" si="5"/>
        <v>0.83926726180995859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0.15992783944615005</v>
      </c>
    </row>
    <row r="46" spans="3:41">
      <c r="D46" s="21" t="s">
        <v>55</v>
      </c>
      <c r="E46" s="37">
        <f t="shared" si="4"/>
        <v>0</v>
      </c>
      <c r="F46" s="110">
        <f t="shared" si="5"/>
        <v>4.0761039341585627E-2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1.6128508827494134E-4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272106773551813.75</v>
      </c>
      <c r="F53" s="89">
        <f>F37*$E$12</f>
        <v>1434206903738.2234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377358877100.31958</v>
      </c>
      <c r="F54" s="100">
        <f t="shared" ref="F54:F62" si="8">F38*$E$12</f>
        <v>2433045201865.6318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11529150331441.037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7651258288130.2002</v>
      </c>
      <c r="F57" s="100">
        <f t="shared" si="8"/>
        <v>1836699605868.1245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1469626135154.6389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8192759833662.4355</v>
      </c>
      <c r="F59" s="89">
        <f t="shared" si="8"/>
        <v>7182257340504.2813</v>
      </c>
      <c r="G59" s="99">
        <f t="shared" si="9"/>
        <v>0</v>
      </c>
    </row>
    <row r="60" spans="3:41">
      <c r="D60" s="21" t="s">
        <v>50</v>
      </c>
      <c r="E60" s="100">
        <f t="shared" si="7"/>
        <v>716223314138.71423</v>
      </c>
      <c r="F60" s="100">
        <f t="shared" si="8"/>
        <v>90267390343970.094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2194849668558.9634</v>
      </c>
    </row>
    <row r="62" spans="3:41">
      <c r="D62" s="21" t="s">
        <v>55</v>
      </c>
      <c r="E62" s="100">
        <f t="shared" si="7"/>
        <v>0</v>
      </c>
      <c r="F62" s="100">
        <f t="shared" si="8"/>
        <v>4384053586384.2422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36347017669.411316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9744.2799702471275</v>
      </c>
      <c r="F69" s="104">
        <f t="shared" si="10"/>
        <v>9595.2400780858479</v>
      </c>
      <c r="G69" s="105">
        <f t="shared" si="10"/>
        <v>0</v>
      </c>
    </row>
    <row r="70" spans="2:41">
      <c r="D70" s="21" t="s">
        <v>51</v>
      </c>
      <c r="E70" s="78">
        <f t="shared" si="10"/>
        <v>14041.40959954318</v>
      </c>
      <c r="F70" s="117">
        <f t="shared" si="10"/>
        <v>13826.644611375956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750732.70121181582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166.49553586647372</v>
      </c>
      <c r="F73" s="78">
        <f t="shared" si="10"/>
        <v>163.94896733738372</v>
      </c>
      <c r="G73" s="106">
        <f t="shared" si="10"/>
        <v>0</v>
      </c>
    </row>
    <row r="74" spans="2:41">
      <c r="D74" s="23" t="s">
        <v>43</v>
      </c>
      <c r="E74" s="119">
        <f t="shared" si="10"/>
        <v>7549.8001495740691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8408.0245612569215</v>
      </c>
      <c r="F75" s="104">
        <f t="shared" si="10"/>
        <v>8279.4228505378778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30205.208169178051</v>
      </c>
      <c r="F76" s="117">
        <f t="shared" si="10"/>
        <v>29743.216007418661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974765.70152906585</v>
      </c>
    </row>
    <row r="78" spans="2:41">
      <c r="D78" s="21" t="s">
        <v>55</v>
      </c>
      <c r="E78" s="78">
        <f t="shared" si="10"/>
        <v>0</v>
      </c>
      <c r="F78" s="117">
        <f t="shared" si="10"/>
        <v>14370.887575114484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89424.226979678628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5152120</v>
      </c>
      <c r="F101" s="76">
        <f>SUMIFS('all_csv_SYVbT-passenger'!F:F,'all_csv_SYVbT-passenger'!$B:$B,$D101,'all_csv_SYVbT-passenger'!$A:$A,About!$B$2)</f>
        <v>31286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1080</v>
      </c>
      <c r="F102" s="78">
        <f>SUMIFS('all_csv_SYVbT-passenger'!F:F,'all_csv_SYVbT-passenger'!$B:$B,$D102,'all_csv_SYVbT-passenger'!$A:$A,About!$B$2)</f>
        <v>8577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42</v>
      </c>
      <c r="G103" s="79">
        <f>F103</f>
        <v>42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545593</v>
      </c>
      <c r="F105" s="78">
        <f>SUMIFS('all_csv_SYVbT-passenger'!F:F,'all_csv_SYVbT-passenger'!$B:$B,$D105,'all_csv_SYVbT-passenger'!$A:$A,About!$B$2)</f>
        <v>133005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279308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90933</v>
      </c>
      <c r="F107" s="194">
        <f>SUMIFS('all_csv_SYVbT-freight'!F:F,'all_csv_SYVbT-freight'!$B:$B,$D107,'all_csv_SYVbT-freight'!$A:$A,About!$B$2)</f>
        <v>77718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996</v>
      </c>
      <c r="F108" s="197">
        <f>SUMIFS('all_csv_SYVbT-freight'!F:F,'all_csv_SYVbT-freight'!$B:$B,$D108,'all_csv_SYVbT-freight'!$A:$A,About!$B$2)</f>
        <v>142373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5</v>
      </c>
      <c r="G109" s="198">
        <f>F109</f>
        <v>5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293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272106773551813.75</v>
      </c>
      <c r="F149" s="26">
        <f t="shared" si="18"/>
        <v>1434206903738.2234</v>
      </c>
      <c r="G149" s="20"/>
    </row>
    <row r="150" spans="2:7">
      <c r="D150" s="21" t="s">
        <v>51</v>
      </c>
      <c r="E150" s="33">
        <f t="shared" si="18"/>
        <v>377358877100.3197</v>
      </c>
      <c r="F150" s="33">
        <f t="shared" si="18"/>
        <v>2433045201865.6323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11529150331441.037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7651258288130.2012</v>
      </c>
      <c r="F153" s="90">
        <f t="shared" si="18"/>
        <v>1836699605868.1245</v>
      </c>
      <c r="G153" s="22"/>
    </row>
    <row r="154" spans="2:7">
      <c r="D154" s="23" t="s">
        <v>43</v>
      </c>
      <c r="E154" s="28">
        <f t="shared" si="18"/>
        <v>1469626135154.6389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8192759833662.4365</v>
      </c>
      <c r="F155" s="29">
        <f t="shared" si="18"/>
        <v>7182257340504.2822</v>
      </c>
      <c r="G155" s="20"/>
    </row>
    <row r="156" spans="2:7">
      <c r="D156" s="21" t="s">
        <v>50</v>
      </c>
      <c r="E156" s="33">
        <f t="shared" si="18"/>
        <v>716223314138.71423</v>
      </c>
      <c r="F156" s="33">
        <f t="shared" si="18"/>
        <v>90267390343970.094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2194849668558.9634</v>
      </c>
    </row>
    <row r="158" spans="2:7">
      <c r="D158" s="21" t="s">
        <v>55</v>
      </c>
      <c r="E158" s="33">
        <f t="shared" si="18"/>
        <v>0</v>
      </c>
      <c r="F158" s="33">
        <f t="shared" si="18"/>
        <v>4384053586384.2417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36347017669.411316</v>
      </c>
      <c r="G159" s="24"/>
    </row>
    <row r="160" spans="2:7">
      <c r="D160" s="91" t="s">
        <v>1548</v>
      </c>
      <c r="E160" s="92">
        <f>SUM(E149:E159)</f>
        <v>290514000000000</v>
      </c>
      <c r="F160" s="92">
        <f>SUM(F149:F159)</f>
        <v>107574000000000</v>
      </c>
      <c r="G160" s="92">
        <f t="shared" ref="G160" si="19">SUM(G149:G159)</f>
        <v>13724000000000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9744.2799702471275</v>
      </c>
    </row>
    <row r="3" spans="1:2">
      <c r="A3" t="s">
        <v>39</v>
      </c>
      <c r="B3" s="8">
        <f>'BAADTbVT-passengers'!D3</f>
        <v>13826.644611375956</v>
      </c>
    </row>
    <row r="4" spans="1:2">
      <c r="A4" t="s">
        <v>40</v>
      </c>
      <c r="B4" s="8">
        <f>'BAADTbVT-passengers'!D4</f>
        <v>750732.70121181582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166.49553586647372</v>
      </c>
    </row>
    <row r="7" spans="1:2">
      <c r="A7" t="s">
        <v>43</v>
      </c>
      <c r="B7" s="8">
        <f>'BAADTbVT-passengers'!D7</f>
        <v>7549.8001495740691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8408.0245612569215</v>
      </c>
    </row>
    <row r="3" spans="1:2">
      <c r="A3" t="s">
        <v>39</v>
      </c>
      <c r="B3">
        <f>'BAADTbVT-freight'!D3</f>
        <v>29743.216007418661</v>
      </c>
    </row>
    <row r="4" spans="1:2">
      <c r="A4" t="s">
        <v>40</v>
      </c>
      <c r="B4">
        <f>'BAADTbVT-freight'!D4</f>
        <v>974765.70152906585</v>
      </c>
    </row>
    <row r="5" spans="1:2">
      <c r="A5" t="s">
        <v>41</v>
      </c>
      <c r="B5">
        <f>'BAADTbVT-freight'!D5</f>
        <v>14370.887575114484</v>
      </c>
    </row>
    <row r="6" spans="1:2">
      <c r="A6" t="s">
        <v>42</v>
      </c>
      <c r="B6" s="212">
        <f>'BAADTbVT-freight'!D6</f>
        <v>89424.226979678628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9744.2799702471275</v>
      </c>
      <c r="C2" s="8">
        <f t="shared" ref="C2:L3" si="0">$B2</f>
        <v>9744.2799702471275</v>
      </c>
      <c r="D2" s="8">
        <f t="shared" si="0"/>
        <v>9744.2799702471275</v>
      </c>
      <c r="E2" s="8">
        <f t="shared" si="0"/>
        <v>9744.2799702471275</v>
      </c>
      <c r="F2" s="8">
        <f t="shared" si="0"/>
        <v>9744.2799702471275</v>
      </c>
      <c r="G2" s="8">
        <f t="shared" si="0"/>
        <v>9744.2799702471275</v>
      </c>
      <c r="H2" s="8">
        <f t="shared" si="0"/>
        <v>9744.2799702471275</v>
      </c>
      <c r="I2" s="8">
        <f t="shared" si="0"/>
        <v>9744.2799702471275</v>
      </c>
      <c r="J2" s="8">
        <f t="shared" si="0"/>
        <v>9744.2799702471275</v>
      </c>
      <c r="K2" s="8">
        <f t="shared" si="0"/>
        <v>9744.2799702471275</v>
      </c>
      <c r="L2" s="8">
        <f t="shared" si="0"/>
        <v>9744.2799702471275</v>
      </c>
      <c r="M2" s="8">
        <f t="shared" ref="M2:V3" si="1">$B2</f>
        <v>9744.2799702471275</v>
      </c>
      <c r="N2" s="8">
        <f t="shared" si="1"/>
        <v>9744.2799702471275</v>
      </c>
      <c r="O2" s="8">
        <f t="shared" si="1"/>
        <v>9744.2799702471275</v>
      </c>
      <c r="P2" s="8">
        <f t="shared" si="1"/>
        <v>9744.2799702471275</v>
      </c>
      <c r="Q2" s="8">
        <f t="shared" si="1"/>
        <v>9744.2799702471275</v>
      </c>
      <c r="R2" s="8">
        <f t="shared" si="1"/>
        <v>9744.2799702471275</v>
      </c>
      <c r="S2" s="8">
        <f t="shared" si="1"/>
        <v>9744.2799702471275</v>
      </c>
      <c r="T2" s="8">
        <f t="shared" si="1"/>
        <v>9744.2799702471275</v>
      </c>
      <c r="U2" s="8">
        <f t="shared" si="1"/>
        <v>9744.2799702471275</v>
      </c>
      <c r="V2" s="8">
        <f t="shared" si="1"/>
        <v>9744.2799702471275</v>
      </c>
      <c r="W2" s="8">
        <f t="shared" ref="W2:AB3" si="2">$B2</f>
        <v>9744.2799702471275</v>
      </c>
      <c r="X2" s="8">
        <f t="shared" si="2"/>
        <v>9744.2799702471275</v>
      </c>
      <c r="Y2" s="8">
        <f t="shared" si="2"/>
        <v>9744.2799702471275</v>
      </c>
      <c r="Z2" s="8">
        <f t="shared" si="2"/>
        <v>9744.2799702471275</v>
      </c>
      <c r="AA2" s="8">
        <f t="shared" si="2"/>
        <v>9744.2799702471275</v>
      </c>
      <c r="AB2" s="8">
        <f t="shared" si="2"/>
        <v>9744.2799702471275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13826.644611375956</v>
      </c>
      <c r="C3" s="8">
        <f t="shared" si="0"/>
        <v>13826.644611375956</v>
      </c>
      <c r="D3" s="8">
        <f t="shared" si="0"/>
        <v>13826.644611375956</v>
      </c>
      <c r="E3" s="8">
        <f t="shared" si="0"/>
        <v>13826.644611375956</v>
      </c>
      <c r="F3" s="8">
        <f t="shared" si="0"/>
        <v>13826.644611375956</v>
      </c>
      <c r="G3" s="8">
        <f t="shared" si="0"/>
        <v>13826.644611375956</v>
      </c>
      <c r="H3" s="8">
        <f t="shared" si="0"/>
        <v>13826.644611375956</v>
      </c>
      <c r="I3" s="8">
        <f t="shared" si="0"/>
        <v>13826.644611375956</v>
      </c>
      <c r="J3" s="8">
        <f t="shared" si="0"/>
        <v>13826.644611375956</v>
      </c>
      <c r="K3" s="8">
        <f t="shared" si="0"/>
        <v>13826.644611375956</v>
      </c>
      <c r="L3" s="8">
        <f t="shared" si="0"/>
        <v>13826.644611375956</v>
      </c>
      <c r="M3" s="8">
        <f t="shared" si="1"/>
        <v>13826.644611375956</v>
      </c>
      <c r="N3" s="8">
        <f t="shared" si="1"/>
        <v>13826.644611375956</v>
      </c>
      <c r="O3" s="8">
        <f t="shared" si="1"/>
        <v>13826.644611375956</v>
      </c>
      <c r="P3" s="8">
        <f t="shared" si="1"/>
        <v>13826.644611375956</v>
      </c>
      <c r="Q3" s="8">
        <f t="shared" si="1"/>
        <v>13826.644611375956</v>
      </c>
      <c r="R3" s="8">
        <f t="shared" si="1"/>
        <v>13826.644611375956</v>
      </c>
      <c r="S3" s="8">
        <f t="shared" si="1"/>
        <v>13826.644611375956</v>
      </c>
      <c r="T3" s="8">
        <f t="shared" si="1"/>
        <v>13826.644611375956</v>
      </c>
      <c r="U3" s="8">
        <f t="shared" si="1"/>
        <v>13826.644611375956</v>
      </c>
      <c r="V3" s="8">
        <f t="shared" si="1"/>
        <v>13826.644611375956</v>
      </c>
      <c r="W3" s="8">
        <f t="shared" si="2"/>
        <v>13826.644611375956</v>
      </c>
      <c r="X3" s="8">
        <f t="shared" si="2"/>
        <v>13826.644611375956</v>
      </c>
      <c r="Y3" s="8">
        <f t="shared" si="2"/>
        <v>13826.644611375956</v>
      </c>
      <c r="Z3" s="8">
        <f t="shared" si="2"/>
        <v>13826.644611375956</v>
      </c>
      <c r="AA3" s="8">
        <f t="shared" si="2"/>
        <v>13826.644611375956</v>
      </c>
      <c r="AB3" s="8">
        <f t="shared" si="2"/>
        <v>13826.644611375956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750732.70121181582</v>
      </c>
      <c r="C4" s="8">
        <f t="shared" ref="C4:AB4" si="3">$B$4</f>
        <v>750732.70121181582</v>
      </c>
      <c r="D4" s="8">
        <f t="shared" si="3"/>
        <v>750732.70121181582</v>
      </c>
      <c r="E4" s="8">
        <f t="shared" si="3"/>
        <v>750732.70121181582</v>
      </c>
      <c r="F4" s="8">
        <f t="shared" si="3"/>
        <v>750732.70121181582</v>
      </c>
      <c r="G4" s="8">
        <f t="shared" si="3"/>
        <v>750732.70121181582</v>
      </c>
      <c r="H4" s="8">
        <f t="shared" si="3"/>
        <v>750732.70121181582</v>
      </c>
      <c r="I4" s="8">
        <f t="shared" si="3"/>
        <v>750732.70121181582</v>
      </c>
      <c r="J4" s="8">
        <f t="shared" si="3"/>
        <v>750732.70121181582</v>
      </c>
      <c r="K4" s="8">
        <f t="shared" si="3"/>
        <v>750732.70121181582</v>
      </c>
      <c r="L4" s="8">
        <f t="shared" si="3"/>
        <v>750732.70121181582</v>
      </c>
      <c r="M4" s="8">
        <f t="shared" si="3"/>
        <v>750732.70121181582</v>
      </c>
      <c r="N4" s="8">
        <f t="shared" si="3"/>
        <v>750732.70121181582</v>
      </c>
      <c r="O4" s="8">
        <f t="shared" si="3"/>
        <v>750732.70121181582</v>
      </c>
      <c r="P4" s="8">
        <f t="shared" si="3"/>
        <v>750732.70121181582</v>
      </c>
      <c r="Q4" s="8">
        <f t="shared" si="3"/>
        <v>750732.70121181582</v>
      </c>
      <c r="R4" s="8">
        <f t="shared" si="3"/>
        <v>750732.70121181582</v>
      </c>
      <c r="S4" s="8">
        <f t="shared" si="3"/>
        <v>750732.70121181582</v>
      </c>
      <c r="T4" s="8">
        <f t="shared" si="3"/>
        <v>750732.70121181582</v>
      </c>
      <c r="U4" s="8">
        <f t="shared" si="3"/>
        <v>750732.70121181582</v>
      </c>
      <c r="V4" s="8">
        <f t="shared" si="3"/>
        <v>750732.70121181582</v>
      </c>
      <c r="W4" s="8">
        <f t="shared" si="3"/>
        <v>750732.70121181582</v>
      </c>
      <c r="X4" s="8">
        <f t="shared" si="3"/>
        <v>750732.70121181582</v>
      </c>
      <c r="Y4" s="8">
        <f t="shared" si="3"/>
        <v>750732.70121181582</v>
      </c>
      <c r="Z4" s="8">
        <f t="shared" si="3"/>
        <v>750732.70121181582</v>
      </c>
      <c r="AA4" s="8">
        <f t="shared" si="3"/>
        <v>750732.70121181582</v>
      </c>
      <c r="AB4" s="8">
        <f t="shared" si="3"/>
        <v>750732.70121181582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166.49553586647372</v>
      </c>
      <c r="C6" s="8">
        <f t="shared" si="4"/>
        <v>166.49553586647372</v>
      </c>
      <c r="D6" s="8">
        <f t="shared" si="4"/>
        <v>166.49553586647372</v>
      </c>
      <c r="E6" s="8">
        <f t="shared" si="4"/>
        <v>166.49553586647372</v>
      </c>
      <c r="F6" s="8">
        <f t="shared" si="4"/>
        <v>166.49553586647372</v>
      </c>
      <c r="G6" s="8">
        <f t="shared" si="4"/>
        <v>166.49553586647372</v>
      </c>
      <c r="H6" s="8">
        <f t="shared" si="4"/>
        <v>166.49553586647372</v>
      </c>
      <c r="I6" s="8">
        <f t="shared" si="4"/>
        <v>166.49553586647372</v>
      </c>
      <c r="J6" s="8">
        <f t="shared" si="4"/>
        <v>166.49553586647372</v>
      </c>
      <c r="K6" s="8">
        <f t="shared" si="4"/>
        <v>166.49553586647372</v>
      </c>
      <c r="L6" s="8">
        <f t="shared" si="4"/>
        <v>166.49553586647372</v>
      </c>
      <c r="M6" s="8">
        <f t="shared" si="5"/>
        <v>166.49553586647372</v>
      </c>
      <c r="N6" s="8">
        <f t="shared" si="5"/>
        <v>166.49553586647372</v>
      </c>
      <c r="O6" s="8">
        <f t="shared" si="5"/>
        <v>166.49553586647372</v>
      </c>
      <c r="P6" s="8">
        <f t="shared" si="5"/>
        <v>166.49553586647372</v>
      </c>
      <c r="Q6" s="8">
        <f t="shared" si="5"/>
        <v>166.49553586647372</v>
      </c>
      <c r="R6" s="8">
        <f t="shared" si="5"/>
        <v>166.49553586647372</v>
      </c>
      <c r="S6" s="8">
        <f t="shared" si="5"/>
        <v>166.49553586647372</v>
      </c>
      <c r="T6" s="8">
        <f t="shared" si="5"/>
        <v>166.49553586647372</v>
      </c>
      <c r="U6" s="8">
        <f t="shared" si="5"/>
        <v>166.49553586647372</v>
      </c>
      <c r="V6" s="8">
        <f t="shared" si="5"/>
        <v>166.49553586647372</v>
      </c>
      <c r="W6" s="8">
        <f t="shared" si="6"/>
        <v>166.49553586647372</v>
      </c>
      <c r="X6" s="8">
        <f t="shared" si="6"/>
        <v>166.49553586647372</v>
      </c>
      <c r="Y6" s="8">
        <f t="shared" si="6"/>
        <v>166.49553586647372</v>
      </c>
      <c r="Z6" s="8">
        <f t="shared" si="6"/>
        <v>166.49553586647372</v>
      </c>
      <c r="AA6" s="8">
        <f t="shared" si="6"/>
        <v>166.49553586647372</v>
      </c>
      <c r="AB6" s="8">
        <f t="shared" si="6"/>
        <v>166.49553586647372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7549.8001495740691</v>
      </c>
      <c r="C7" s="8">
        <f t="shared" si="4"/>
        <v>7549.8001495740691</v>
      </c>
      <c r="D7" s="8">
        <f t="shared" si="4"/>
        <v>7549.8001495740691</v>
      </c>
      <c r="E7" s="8">
        <f t="shared" si="4"/>
        <v>7549.8001495740691</v>
      </c>
      <c r="F7" s="8">
        <f t="shared" si="4"/>
        <v>7549.8001495740691</v>
      </c>
      <c r="G7" s="8">
        <f t="shared" si="4"/>
        <v>7549.8001495740691</v>
      </c>
      <c r="H7" s="8">
        <f t="shared" si="4"/>
        <v>7549.8001495740691</v>
      </c>
      <c r="I7" s="8">
        <f t="shared" si="4"/>
        <v>7549.8001495740691</v>
      </c>
      <c r="J7" s="8">
        <f t="shared" si="4"/>
        <v>7549.8001495740691</v>
      </c>
      <c r="K7" s="8">
        <f t="shared" si="4"/>
        <v>7549.8001495740691</v>
      </c>
      <c r="L7" s="8">
        <f t="shared" si="4"/>
        <v>7549.8001495740691</v>
      </c>
      <c r="M7" s="8">
        <f t="shared" si="5"/>
        <v>7549.8001495740691</v>
      </c>
      <c r="N7" s="8">
        <f t="shared" si="5"/>
        <v>7549.8001495740691</v>
      </c>
      <c r="O7" s="8">
        <f t="shared" si="5"/>
        <v>7549.8001495740691</v>
      </c>
      <c r="P7" s="8">
        <f t="shared" si="5"/>
        <v>7549.8001495740691</v>
      </c>
      <c r="Q7" s="8">
        <f t="shared" si="5"/>
        <v>7549.8001495740691</v>
      </c>
      <c r="R7" s="8">
        <f t="shared" si="5"/>
        <v>7549.8001495740691</v>
      </c>
      <c r="S7" s="8">
        <f t="shared" si="5"/>
        <v>7549.8001495740691</v>
      </c>
      <c r="T7" s="8">
        <f t="shared" si="5"/>
        <v>7549.8001495740691</v>
      </c>
      <c r="U7" s="8">
        <f t="shared" si="5"/>
        <v>7549.8001495740691</v>
      </c>
      <c r="V7" s="8">
        <f t="shared" si="5"/>
        <v>7549.8001495740691</v>
      </c>
      <c r="W7" s="8">
        <f t="shared" si="6"/>
        <v>7549.8001495740691</v>
      </c>
      <c r="X7" s="8">
        <f t="shared" si="6"/>
        <v>7549.8001495740691</v>
      </c>
      <c r="Y7" s="8">
        <f t="shared" si="6"/>
        <v>7549.8001495740691</v>
      </c>
      <c r="Z7" s="8">
        <f t="shared" si="6"/>
        <v>7549.8001495740691</v>
      </c>
      <c r="AA7" s="8">
        <f t="shared" si="6"/>
        <v>7549.8001495740691</v>
      </c>
      <c r="AB7" s="8">
        <f t="shared" si="6"/>
        <v>7549.8001495740691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8408.0245612569215</v>
      </c>
      <c r="C2" s="8">
        <f t="shared" ref="C2:AB2" si="0">B2</f>
        <v>8408.0245612569215</v>
      </c>
      <c r="D2" s="8">
        <f t="shared" si="0"/>
        <v>8408.0245612569215</v>
      </c>
      <c r="E2" s="8">
        <f t="shared" si="0"/>
        <v>8408.0245612569215</v>
      </c>
      <c r="F2" s="8">
        <f t="shared" si="0"/>
        <v>8408.0245612569215</v>
      </c>
      <c r="G2" s="8">
        <f t="shared" si="0"/>
        <v>8408.0245612569215</v>
      </c>
      <c r="H2" s="8">
        <f t="shared" si="0"/>
        <v>8408.0245612569215</v>
      </c>
      <c r="I2" s="8">
        <f t="shared" si="0"/>
        <v>8408.0245612569215</v>
      </c>
      <c r="J2" s="8">
        <f t="shared" si="0"/>
        <v>8408.0245612569215</v>
      </c>
      <c r="K2" s="8">
        <f t="shared" si="0"/>
        <v>8408.0245612569215</v>
      </c>
      <c r="L2" s="8">
        <f t="shared" si="0"/>
        <v>8408.0245612569215</v>
      </c>
      <c r="M2" s="8">
        <f t="shared" si="0"/>
        <v>8408.0245612569215</v>
      </c>
      <c r="N2" s="8">
        <f t="shared" si="0"/>
        <v>8408.0245612569215</v>
      </c>
      <c r="O2" s="8">
        <f t="shared" si="0"/>
        <v>8408.0245612569215</v>
      </c>
      <c r="P2" s="8">
        <f t="shared" si="0"/>
        <v>8408.0245612569215</v>
      </c>
      <c r="Q2" s="8">
        <f t="shared" si="0"/>
        <v>8408.0245612569215</v>
      </c>
      <c r="R2" s="8">
        <f t="shared" si="0"/>
        <v>8408.0245612569215</v>
      </c>
      <c r="S2" s="8">
        <f t="shared" si="0"/>
        <v>8408.0245612569215</v>
      </c>
      <c r="T2" s="8">
        <f t="shared" si="0"/>
        <v>8408.0245612569215</v>
      </c>
      <c r="U2" s="8">
        <f t="shared" si="0"/>
        <v>8408.0245612569215</v>
      </c>
      <c r="V2" s="8">
        <f t="shared" si="0"/>
        <v>8408.0245612569215</v>
      </c>
      <c r="W2" s="8">
        <f t="shared" si="0"/>
        <v>8408.0245612569215</v>
      </c>
      <c r="X2" s="8">
        <f t="shared" si="0"/>
        <v>8408.0245612569215</v>
      </c>
      <c r="Y2" s="8">
        <f t="shared" si="0"/>
        <v>8408.0245612569215</v>
      </c>
      <c r="Z2" s="8">
        <f t="shared" si="0"/>
        <v>8408.0245612569215</v>
      </c>
      <c r="AA2" s="8">
        <f t="shared" si="0"/>
        <v>8408.0245612569215</v>
      </c>
      <c r="AB2" s="8">
        <f t="shared" si="0"/>
        <v>8408.0245612569215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29743.216007418661</v>
      </c>
      <c r="C3" s="8">
        <f t="shared" ref="C3:AB3" si="1">B3</f>
        <v>29743.216007418661</v>
      </c>
      <c r="D3" s="8">
        <f t="shared" si="1"/>
        <v>29743.216007418661</v>
      </c>
      <c r="E3" s="8">
        <f t="shared" si="1"/>
        <v>29743.216007418661</v>
      </c>
      <c r="F3" s="8">
        <f t="shared" si="1"/>
        <v>29743.216007418661</v>
      </c>
      <c r="G3" s="8">
        <f t="shared" si="1"/>
        <v>29743.216007418661</v>
      </c>
      <c r="H3" s="8">
        <f t="shared" si="1"/>
        <v>29743.216007418661</v>
      </c>
      <c r="I3" s="8">
        <f t="shared" si="1"/>
        <v>29743.216007418661</v>
      </c>
      <c r="J3" s="8">
        <f t="shared" si="1"/>
        <v>29743.216007418661</v>
      </c>
      <c r="K3" s="8">
        <f t="shared" si="1"/>
        <v>29743.216007418661</v>
      </c>
      <c r="L3" s="8">
        <f t="shared" si="1"/>
        <v>29743.216007418661</v>
      </c>
      <c r="M3" s="8">
        <f t="shared" si="1"/>
        <v>29743.216007418661</v>
      </c>
      <c r="N3" s="8">
        <f t="shared" si="1"/>
        <v>29743.216007418661</v>
      </c>
      <c r="O3" s="8">
        <f t="shared" si="1"/>
        <v>29743.216007418661</v>
      </c>
      <c r="P3" s="8">
        <f t="shared" si="1"/>
        <v>29743.216007418661</v>
      </c>
      <c r="Q3" s="8">
        <f t="shared" si="1"/>
        <v>29743.216007418661</v>
      </c>
      <c r="R3" s="8">
        <f t="shared" si="1"/>
        <v>29743.216007418661</v>
      </c>
      <c r="S3" s="8">
        <f t="shared" si="1"/>
        <v>29743.216007418661</v>
      </c>
      <c r="T3" s="8">
        <f t="shared" si="1"/>
        <v>29743.216007418661</v>
      </c>
      <c r="U3" s="8">
        <f t="shared" si="1"/>
        <v>29743.216007418661</v>
      </c>
      <c r="V3" s="8">
        <f t="shared" si="1"/>
        <v>29743.216007418661</v>
      </c>
      <c r="W3" s="8">
        <f t="shared" si="1"/>
        <v>29743.216007418661</v>
      </c>
      <c r="X3" s="8">
        <f t="shared" si="1"/>
        <v>29743.216007418661</v>
      </c>
      <c r="Y3" s="8">
        <f t="shared" si="1"/>
        <v>29743.216007418661</v>
      </c>
      <c r="Z3" s="8">
        <f t="shared" si="1"/>
        <v>29743.216007418661</v>
      </c>
      <c r="AA3" s="8">
        <f t="shared" si="1"/>
        <v>29743.216007418661</v>
      </c>
      <c r="AB3" s="8">
        <f t="shared" si="1"/>
        <v>29743.216007418661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974765.70152906585</v>
      </c>
      <c r="C4" s="8">
        <f t="shared" ref="C4:AB4" si="2">B4</f>
        <v>974765.70152906585</v>
      </c>
      <c r="D4" s="8">
        <f t="shared" si="2"/>
        <v>974765.70152906585</v>
      </c>
      <c r="E4" s="8">
        <f t="shared" si="2"/>
        <v>974765.70152906585</v>
      </c>
      <c r="F4" s="8">
        <f t="shared" si="2"/>
        <v>974765.70152906585</v>
      </c>
      <c r="G4" s="8">
        <f t="shared" si="2"/>
        <v>974765.70152906585</v>
      </c>
      <c r="H4" s="8">
        <f t="shared" si="2"/>
        <v>974765.70152906585</v>
      </c>
      <c r="I4" s="8">
        <f t="shared" si="2"/>
        <v>974765.70152906585</v>
      </c>
      <c r="J4" s="8">
        <f t="shared" si="2"/>
        <v>974765.70152906585</v>
      </c>
      <c r="K4" s="8">
        <f t="shared" si="2"/>
        <v>974765.70152906585</v>
      </c>
      <c r="L4" s="8">
        <f t="shared" si="2"/>
        <v>974765.70152906585</v>
      </c>
      <c r="M4" s="8">
        <f t="shared" si="2"/>
        <v>974765.70152906585</v>
      </c>
      <c r="N4" s="8">
        <f t="shared" si="2"/>
        <v>974765.70152906585</v>
      </c>
      <c r="O4" s="8">
        <f t="shared" si="2"/>
        <v>974765.70152906585</v>
      </c>
      <c r="P4" s="8">
        <f t="shared" si="2"/>
        <v>974765.70152906585</v>
      </c>
      <c r="Q4" s="8">
        <f t="shared" si="2"/>
        <v>974765.70152906585</v>
      </c>
      <c r="R4" s="8">
        <f t="shared" si="2"/>
        <v>974765.70152906585</v>
      </c>
      <c r="S4" s="8">
        <f t="shared" si="2"/>
        <v>974765.70152906585</v>
      </c>
      <c r="T4" s="8">
        <f t="shared" si="2"/>
        <v>974765.70152906585</v>
      </c>
      <c r="U4" s="8">
        <f t="shared" si="2"/>
        <v>974765.70152906585</v>
      </c>
      <c r="V4" s="8">
        <f t="shared" si="2"/>
        <v>974765.70152906585</v>
      </c>
      <c r="W4" s="8">
        <f t="shared" si="2"/>
        <v>974765.70152906585</v>
      </c>
      <c r="X4" s="8">
        <f t="shared" si="2"/>
        <v>974765.70152906585</v>
      </c>
      <c r="Y4" s="8">
        <f t="shared" si="2"/>
        <v>974765.70152906585</v>
      </c>
      <c r="Z4" s="8">
        <f t="shared" si="2"/>
        <v>974765.70152906585</v>
      </c>
      <c r="AA4" s="8">
        <f t="shared" si="2"/>
        <v>974765.70152906585</v>
      </c>
      <c r="AB4" s="8">
        <f t="shared" si="2"/>
        <v>974765.70152906585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14370.887575114484</v>
      </c>
      <c r="C5" s="8">
        <f t="shared" ref="C5:AB5" si="3">B5</f>
        <v>14370.887575114484</v>
      </c>
      <c r="D5" s="8">
        <f t="shared" si="3"/>
        <v>14370.887575114484</v>
      </c>
      <c r="E5" s="8">
        <f t="shared" si="3"/>
        <v>14370.887575114484</v>
      </c>
      <c r="F5" s="8">
        <f t="shared" si="3"/>
        <v>14370.887575114484</v>
      </c>
      <c r="G5" s="8">
        <f t="shared" si="3"/>
        <v>14370.887575114484</v>
      </c>
      <c r="H5" s="8">
        <f t="shared" si="3"/>
        <v>14370.887575114484</v>
      </c>
      <c r="I5" s="8">
        <f t="shared" si="3"/>
        <v>14370.887575114484</v>
      </c>
      <c r="J5" s="8">
        <f t="shared" si="3"/>
        <v>14370.887575114484</v>
      </c>
      <c r="K5" s="8">
        <f t="shared" si="3"/>
        <v>14370.887575114484</v>
      </c>
      <c r="L5" s="8">
        <f t="shared" si="3"/>
        <v>14370.887575114484</v>
      </c>
      <c r="M5" s="8">
        <f t="shared" si="3"/>
        <v>14370.887575114484</v>
      </c>
      <c r="N5" s="8">
        <f t="shared" si="3"/>
        <v>14370.887575114484</v>
      </c>
      <c r="O5" s="8">
        <f t="shared" si="3"/>
        <v>14370.887575114484</v>
      </c>
      <c r="P5" s="8">
        <f t="shared" si="3"/>
        <v>14370.887575114484</v>
      </c>
      <c r="Q5" s="8">
        <f t="shared" si="3"/>
        <v>14370.887575114484</v>
      </c>
      <c r="R5" s="8">
        <f t="shared" si="3"/>
        <v>14370.887575114484</v>
      </c>
      <c r="S5" s="8">
        <f t="shared" si="3"/>
        <v>14370.887575114484</v>
      </c>
      <c r="T5" s="8">
        <f t="shared" si="3"/>
        <v>14370.887575114484</v>
      </c>
      <c r="U5" s="8">
        <f t="shared" si="3"/>
        <v>14370.887575114484</v>
      </c>
      <c r="V5" s="8">
        <f t="shared" si="3"/>
        <v>14370.887575114484</v>
      </c>
      <c r="W5" s="8">
        <f t="shared" si="3"/>
        <v>14370.887575114484</v>
      </c>
      <c r="X5" s="8">
        <f t="shared" si="3"/>
        <v>14370.887575114484</v>
      </c>
      <c r="Y5" s="8">
        <f t="shared" si="3"/>
        <v>14370.887575114484</v>
      </c>
      <c r="Z5" s="8">
        <f t="shared" si="3"/>
        <v>14370.887575114484</v>
      </c>
      <c r="AA5" s="8">
        <f t="shared" si="3"/>
        <v>14370.887575114484</v>
      </c>
      <c r="AB5" s="8">
        <f t="shared" si="3"/>
        <v>14370.887575114484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89424.226979678628</v>
      </c>
      <c r="C6" s="8">
        <f t="shared" ref="C6:AB6" si="4">B6</f>
        <v>89424.226979678628</v>
      </c>
      <c r="D6" s="8">
        <f t="shared" si="4"/>
        <v>89424.226979678628</v>
      </c>
      <c r="E6" s="8">
        <f t="shared" si="4"/>
        <v>89424.226979678628</v>
      </c>
      <c r="F6" s="8">
        <f t="shared" si="4"/>
        <v>89424.226979678628</v>
      </c>
      <c r="G6" s="8">
        <f t="shared" si="4"/>
        <v>89424.226979678628</v>
      </c>
      <c r="H6" s="8">
        <f t="shared" si="4"/>
        <v>89424.226979678628</v>
      </c>
      <c r="I6" s="8">
        <f t="shared" si="4"/>
        <v>89424.226979678628</v>
      </c>
      <c r="J6" s="8">
        <f t="shared" si="4"/>
        <v>89424.226979678628</v>
      </c>
      <c r="K6" s="8">
        <f t="shared" si="4"/>
        <v>89424.226979678628</v>
      </c>
      <c r="L6" s="8">
        <f t="shared" si="4"/>
        <v>89424.226979678628</v>
      </c>
      <c r="M6" s="8">
        <f t="shared" si="4"/>
        <v>89424.226979678628</v>
      </c>
      <c r="N6" s="8">
        <f t="shared" si="4"/>
        <v>89424.226979678628</v>
      </c>
      <c r="O6" s="8">
        <f t="shared" si="4"/>
        <v>89424.226979678628</v>
      </c>
      <c r="P6" s="8">
        <f t="shared" si="4"/>
        <v>89424.226979678628</v>
      </c>
      <c r="Q6" s="8">
        <f t="shared" si="4"/>
        <v>89424.226979678628</v>
      </c>
      <c r="R6" s="8">
        <f t="shared" si="4"/>
        <v>89424.226979678628</v>
      </c>
      <c r="S6" s="8">
        <f t="shared" si="4"/>
        <v>89424.226979678628</v>
      </c>
      <c r="T6" s="8">
        <f t="shared" si="4"/>
        <v>89424.226979678628</v>
      </c>
      <c r="U6" s="8">
        <f t="shared" si="4"/>
        <v>89424.226979678628</v>
      </c>
      <c r="V6" s="8">
        <f t="shared" si="4"/>
        <v>89424.226979678628</v>
      </c>
      <c r="W6" s="8">
        <f t="shared" si="4"/>
        <v>89424.226979678628</v>
      </c>
      <c r="X6" s="8">
        <f t="shared" si="4"/>
        <v>89424.226979678628</v>
      </c>
      <c r="Y6" s="8">
        <f t="shared" si="4"/>
        <v>89424.226979678628</v>
      </c>
      <c r="Z6" s="8">
        <f t="shared" si="4"/>
        <v>89424.226979678628</v>
      </c>
      <c r="AA6" s="8">
        <f t="shared" si="4"/>
        <v>89424.226979678628</v>
      </c>
      <c r="AB6" s="8">
        <f t="shared" si="4"/>
        <v>89424.226979678628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2026-08-11T22:29:09Z</dcterms:modified>
</cp:coreProperties>
</file>