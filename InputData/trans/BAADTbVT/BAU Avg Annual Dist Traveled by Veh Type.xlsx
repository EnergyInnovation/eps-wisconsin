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trans\BAADTbVT\"/>
    </mc:Choice>
  </mc:AlternateContent>
  <xr:revisionPtr revIDLastSave="0" documentId="8_{BD050CED-11F6-4732-BE59-7CC386433ECD}" xr6:coauthVersionLast="47" xr6:coauthVersionMax="47" xr10:uidLastSave="{00000000-0000-0000-0000-000000000000}"/>
  <bookViews>
    <workbookView xWindow="10" yWindow="10" windowWidth="13890" windowHeight="10070" firstSheet="15" activeTab="15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nnual Service Data_rail only" sheetId="34" r:id="rId13"/>
    <sheet name="Fuel and Energy_rail only" sheetId="33" r:id="rId14"/>
    <sheet name="psgr rail calcs" sheetId="32" r:id="rId15"/>
    <sheet name="SYAADTbVT-passengers" sheetId="28" r:id="rId16"/>
    <sheet name="SYAADTbVT-freight" sheetId="29" r:id="rId17"/>
    <sheet name="BAADTbVT-passengers" sheetId="12" r:id="rId18"/>
    <sheet name="BAADTbVT-freight" sheetId="13" r:id="rId19"/>
  </sheets>
  <definedNames>
    <definedName name="_xlnm._FilterDatabase" localSheetId="12" hidden="1">'Annual Service Data_rail only'!$A$1:$AX$1</definedName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_xlnm.Database">#N/A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OCAL_MYSQL_DATE_FORMAT" localSheetId="1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7">Codes_and_Descriptions!$B$1:$D$728</definedName>
    <definedName name="_xlnm.Print_Titles" localSheetId="7">Codes_and_Descriptions!$1:$11</definedName>
    <definedName name="thousand">About!$A$37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19" l="1"/>
  <c r="R59" i="32"/>
  <c r="Q59" i="32"/>
  <c r="S59" i="32" s="1"/>
  <c r="P59" i="32"/>
  <c r="I59" i="32"/>
  <c r="H59" i="32"/>
  <c r="G59" i="32"/>
  <c r="F59" i="32"/>
  <c r="E59" i="32"/>
  <c r="M59" i="32" s="1"/>
  <c r="R58" i="32"/>
  <c r="Q58" i="32"/>
  <c r="S58" i="32" s="1"/>
  <c r="P58" i="32"/>
  <c r="I58" i="32"/>
  <c r="H58" i="32"/>
  <c r="G58" i="32"/>
  <c r="F58" i="32"/>
  <c r="E58" i="32"/>
  <c r="M58" i="32" s="1"/>
  <c r="R57" i="32"/>
  <c r="Q57" i="32"/>
  <c r="S57" i="32" s="1"/>
  <c r="P57" i="32"/>
  <c r="I57" i="32"/>
  <c r="H57" i="32"/>
  <c r="G57" i="32"/>
  <c r="F57" i="32"/>
  <c r="E57" i="32"/>
  <c r="R56" i="32"/>
  <c r="Q56" i="32"/>
  <c r="P56" i="32"/>
  <c r="I56" i="32"/>
  <c r="H56" i="32"/>
  <c r="G56" i="32"/>
  <c r="F56" i="32"/>
  <c r="E56" i="32"/>
  <c r="M56" i="32" s="1"/>
  <c r="R55" i="32"/>
  <c r="Q55" i="32"/>
  <c r="S55" i="32" s="1"/>
  <c r="P55" i="32"/>
  <c r="I55" i="32"/>
  <c r="H55" i="32"/>
  <c r="G55" i="32"/>
  <c r="F55" i="32"/>
  <c r="E55" i="32"/>
  <c r="R54" i="32"/>
  <c r="Q54" i="32"/>
  <c r="S54" i="32" s="1"/>
  <c r="P54" i="32"/>
  <c r="I54" i="32"/>
  <c r="H54" i="32"/>
  <c r="G54" i="32"/>
  <c r="F54" i="32"/>
  <c r="E54" i="32"/>
  <c r="N54" i="32" s="1"/>
  <c r="R53" i="32"/>
  <c r="Q53" i="32"/>
  <c r="P53" i="32"/>
  <c r="I53" i="32"/>
  <c r="H53" i="32"/>
  <c r="G53" i="32"/>
  <c r="F53" i="32"/>
  <c r="E53" i="32"/>
  <c r="R52" i="32"/>
  <c r="Q52" i="32"/>
  <c r="S52" i="32" s="1"/>
  <c r="P52" i="32"/>
  <c r="I52" i="32"/>
  <c r="H52" i="32"/>
  <c r="G52" i="32"/>
  <c r="F52" i="32"/>
  <c r="E52" i="32"/>
  <c r="M52" i="32" s="1"/>
  <c r="R51" i="32"/>
  <c r="Q51" i="32"/>
  <c r="S51" i="32" s="1"/>
  <c r="P51" i="32"/>
  <c r="I51" i="32"/>
  <c r="H51" i="32"/>
  <c r="G51" i="32"/>
  <c r="F51" i="32"/>
  <c r="E51" i="32"/>
  <c r="N51" i="32" s="1"/>
  <c r="R50" i="32"/>
  <c r="Q50" i="32"/>
  <c r="S50" i="32" s="1"/>
  <c r="P50" i="32"/>
  <c r="I50" i="32"/>
  <c r="H50" i="32"/>
  <c r="G50" i="32"/>
  <c r="F50" i="32"/>
  <c r="E50" i="32"/>
  <c r="M50" i="32" s="1"/>
  <c r="R49" i="32"/>
  <c r="Q49" i="32"/>
  <c r="S49" i="32" s="1"/>
  <c r="P49" i="32"/>
  <c r="I49" i="32"/>
  <c r="H49" i="32"/>
  <c r="G49" i="32"/>
  <c r="F49" i="32"/>
  <c r="E49" i="32"/>
  <c r="R48" i="32"/>
  <c r="Q48" i="32"/>
  <c r="S48" i="32" s="1"/>
  <c r="P48" i="32"/>
  <c r="I48" i="32"/>
  <c r="H48" i="32"/>
  <c r="G48" i="32"/>
  <c r="F48" i="32"/>
  <c r="E48" i="32"/>
  <c r="M48" i="32" s="1"/>
  <c r="R47" i="32"/>
  <c r="Q47" i="32"/>
  <c r="S47" i="32" s="1"/>
  <c r="P47" i="32"/>
  <c r="I47" i="32"/>
  <c r="H47" i="32"/>
  <c r="G47" i="32"/>
  <c r="F47" i="32"/>
  <c r="E47" i="32"/>
  <c r="M47" i="32" s="1"/>
  <c r="R46" i="32"/>
  <c r="Q46" i="32"/>
  <c r="S46" i="32" s="1"/>
  <c r="P46" i="32"/>
  <c r="I46" i="32"/>
  <c r="H46" i="32"/>
  <c r="G46" i="32"/>
  <c r="F46" i="32"/>
  <c r="E46" i="32"/>
  <c r="N46" i="32" s="1"/>
  <c r="R45" i="32"/>
  <c r="Q45" i="32"/>
  <c r="S45" i="32" s="1"/>
  <c r="P45" i="32"/>
  <c r="I45" i="32"/>
  <c r="H45" i="32"/>
  <c r="G45" i="32"/>
  <c r="F45" i="32"/>
  <c r="E45" i="32"/>
  <c r="R44" i="32"/>
  <c r="Q44" i="32"/>
  <c r="S44" i="32" s="1"/>
  <c r="P44" i="32"/>
  <c r="I44" i="32"/>
  <c r="H44" i="32"/>
  <c r="G44" i="32"/>
  <c r="F44" i="32"/>
  <c r="E44" i="32"/>
  <c r="M44" i="32" s="1"/>
  <c r="R43" i="32"/>
  <c r="Q43" i="32"/>
  <c r="S43" i="32" s="1"/>
  <c r="P43" i="32"/>
  <c r="I43" i="32"/>
  <c r="H43" i="32"/>
  <c r="G43" i="32"/>
  <c r="F43" i="32"/>
  <c r="E43" i="32"/>
  <c r="M43" i="32" s="1"/>
  <c r="R42" i="32"/>
  <c r="Q42" i="32"/>
  <c r="S42" i="32" s="1"/>
  <c r="P42" i="32"/>
  <c r="I42" i="32"/>
  <c r="H42" i="32"/>
  <c r="G42" i="32"/>
  <c r="F42" i="32"/>
  <c r="E42" i="32"/>
  <c r="M42" i="32" s="1"/>
  <c r="R41" i="32"/>
  <c r="Q41" i="32"/>
  <c r="S41" i="32" s="1"/>
  <c r="P41" i="32"/>
  <c r="I41" i="32"/>
  <c r="H41" i="32"/>
  <c r="G41" i="32"/>
  <c r="F41" i="32"/>
  <c r="E41" i="32"/>
  <c r="R40" i="32"/>
  <c r="Q40" i="32"/>
  <c r="P40" i="32"/>
  <c r="I40" i="32"/>
  <c r="H40" i="32"/>
  <c r="G40" i="32"/>
  <c r="F40" i="32"/>
  <c r="E40" i="32"/>
  <c r="M40" i="32" s="1"/>
  <c r="R39" i="32"/>
  <c r="Q39" i="32"/>
  <c r="S39" i="32" s="1"/>
  <c r="P39" i="32"/>
  <c r="I39" i="32"/>
  <c r="H39" i="32"/>
  <c r="G39" i="32"/>
  <c r="F39" i="32"/>
  <c r="E39" i="32"/>
  <c r="N39" i="32" s="1"/>
  <c r="R38" i="32"/>
  <c r="Q38" i="32"/>
  <c r="S38" i="32" s="1"/>
  <c r="P38" i="32"/>
  <c r="I38" i="32"/>
  <c r="H38" i="32"/>
  <c r="G38" i="32"/>
  <c r="F38" i="32"/>
  <c r="E38" i="32"/>
  <c r="M38" i="32" s="1"/>
  <c r="R37" i="32"/>
  <c r="Q37" i="32"/>
  <c r="S37" i="32" s="1"/>
  <c r="P37" i="32"/>
  <c r="I37" i="32"/>
  <c r="H37" i="32"/>
  <c r="G37" i="32"/>
  <c r="F37" i="32"/>
  <c r="E37" i="32"/>
  <c r="R36" i="32"/>
  <c r="Q36" i="32"/>
  <c r="P36" i="32"/>
  <c r="I36" i="32"/>
  <c r="H36" i="32"/>
  <c r="G36" i="32"/>
  <c r="F36" i="32"/>
  <c r="E36" i="32"/>
  <c r="M36" i="32" s="1"/>
  <c r="R35" i="32"/>
  <c r="Q35" i="32"/>
  <c r="S35" i="32" s="1"/>
  <c r="P35" i="32"/>
  <c r="I35" i="32"/>
  <c r="H35" i="32"/>
  <c r="G35" i="32"/>
  <c r="F35" i="32"/>
  <c r="E35" i="32"/>
  <c r="N35" i="32" s="1"/>
  <c r="R34" i="32"/>
  <c r="Q34" i="32"/>
  <c r="S34" i="32" s="1"/>
  <c r="P34" i="32"/>
  <c r="I34" i="32"/>
  <c r="H34" i="32"/>
  <c r="G34" i="32"/>
  <c r="F34" i="32"/>
  <c r="E34" i="32"/>
  <c r="M34" i="32" s="1"/>
  <c r="R33" i="32"/>
  <c r="Q33" i="32"/>
  <c r="S33" i="32" s="1"/>
  <c r="P33" i="32"/>
  <c r="I33" i="32"/>
  <c r="H33" i="32"/>
  <c r="G33" i="32"/>
  <c r="F33" i="32"/>
  <c r="E33" i="32"/>
  <c r="R32" i="32"/>
  <c r="Q32" i="32"/>
  <c r="P32" i="32"/>
  <c r="I32" i="32"/>
  <c r="H32" i="32"/>
  <c r="G32" i="32"/>
  <c r="F32" i="32"/>
  <c r="E32" i="32"/>
  <c r="M32" i="32" s="1"/>
  <c r="R31" i="32"/>
  <c r="Q31" i="32"/>
  <c r="S31" i="32" s="1"/>
  <c r="P31" i="32"/>
  <c r="I31" i="32"/>
  <c r="H31" i="32"/>
  <c r="G31" i="32"/>
  <c r="F31" i="32"/>
  <c r="E31" i="32"/>
  <c r="R30" i="32"/>
  <c r="Q30" i="32"/>
  <c r="S30" i="32" s="1"/>
  <c r="P30" i="32"/>
  <c r="I30" i="32"/>
  <c r="H30" i="32"/>
  <c r="G30" i="32"/>
  <c r="F30" i="32"/>
  <c r="E30" i="32"/>
  <c r="M30" i="32" s="1"/>
  <c r="R29" i="32"/>
  <c r="Q29" i="32"/>
  <c r="S29" i="32" s="1"/>
  <c r="P29" i="32"/>
  <c r="I29" i="32"/>
  <c r="H29" i="32"/>
  <c r="G29" i="32"/>
  <c r="F29" i="32"/>
  <c r="E29" i="32"/>
  <c r="R28" i="32"/>
  <c r="Q28" i="32"/>
  <c r="S28" i="32" s="1"/>
  <c r="P28" i="32"/>
  <c r="I28" i="32"/>
  <c r="H28" i="32"/>
  <c r="G28" i="32"/>
  <c r="F28" i="32"/>
  <c r="E28" i="32"/>
  <c r="M28" i="32" s="1"/>
  <c r="R27" i="32"/>
  <c r="Q27" i="32"/>
  <c r="S27" i="32" s="1"/>
  <c r="P27" i="32"/>
  <c r="I27" i="32"/>
  <c r="H27" i="32"/>
  <c r="G27" i="32"/>
  <c r="F27" i="32"/>
  <c r="E27" i="32"/>
  <c r="R26" i="32"/>
  <c r="Q26" i="32"/>
  <c r="P26" i="32"/>
  <c r="I26" i="32"/>
  <c r="H26" i="32"/>
  <c r="G26" i="32"/>
  <c r="F26" i="32"/>
  <c r="E26" i="32"/>
  <c r="M26" i="32" s="1"/>
  <c r="R25" i="32"/>
  <c r="Q25" i="32"/>
  <c r="P25" i="32"/>
  <c r="I25" i="32"/>
  <c r="H25" i="32"/>
  <c r="G25" i="32"/>
  <c r="F25" i="32"/>
  <c r="E25" i="32"/>
  <c r="R24" i="32"/>
  <c r="Q24" i="32"/>
  <c r="S24" i="32" s="1"/>
  <c r="P24" i="32"/>
  <c r="I24" i="32"/>
  <c r="H24" i="32"/>
  <c r="G24" i="32"/>
  <c r="F24" i="32"/>
  <c r="E24" i="32"/>
  <c r="R23" i="32"/>
  <c r="Q23" i="32"/>
  <c r="S23" i="32" s="1"/>
  <c r="P23" i="32"/>
  <c r="I23" i="32"/>
  <c r="H23" i="32"/>
  <c r="G23" i="32"/>
  <c r="F23" i="32"/>
  <c r="E23" i="32"/>
  <c r="R22" i="32"/>
  <c r="Q22" i="32"/>
  <c r="S22" i="32" s="1"/>
  <c r="P22" i="32"/>
  <c r="I22" i="32"/>
  <c r="H22" i="32"/>
  <c r="G22" i="32"/>
  <c r="F22" i="32"/>
  <c r="E22" i="32"/>
  <c r="M22" i="32" s="1"/>
  <c r="R21" i="32"/>
  <c r="Q21" i="32"/>
  <c r="S21" i="32" s="1"/>
  <c r="P21" i="32"/>
  <c r="I21" i="32"/>
  <c r="H21" i="32"/>
  <c r="G21" i="32"/>
  <c r="F21" i="32"/>
  <c r="E21" i="32"/>
  <c r="R20" i="32"/>
  <c r="Q20" i="32"/>
  <c r="S20" i="32" s="1"/>
  <c r="P20" i="32"/>
  <c r="I20" i="32"/>
  <c r="H20" i="32"/>
  <c r="G20" i="32"/>
  <c r="F20" i="32"/>
  <c r="E20" i="32"/>
  <c r="R19" i="32"/>
  <c r="Q19" i="32"/>
  <c r="P19" i="32"/>
  <c r="I19" i="32"/>
  <c r="H19" i="32"/>
  <c r="G19" i="32"/>
  <c r="F19" i="32"/>
  <c r="E19" i="32"/>
  <c r="R18" i="32"/>
  <c r="Q18" i="32"/>
  <c r="S18" i="32" s="1"/>
  <c r="P18" i="32"/>
  <c r="I18" i="32"/>
  <c r="H18" i="32"/>
  <c r="G18" i="32"/>
  <c r="F18" i="32"/>
  <c r="E18" i="32"/>
  <c r="M18" i="32" s="1"/>
  <c r="R17" i="32"/>
  <c r="Q17" i="32"/>
  <c r="S17" i="32" s="1"/>
  <c r="P17" i="32"/>
  <c r="I17" i="32"/>
  <c r="H17" i="32"/>
  <c r="G17" i="32"/>
  <c r="F17" i="32"/>
  <c r="E17" i="32"/>
  <c r="R16" i="32"/>
  <c r="Q16" i="32"/>
  <c r="P16" i="32"/>
  <c r="I16" i="32"/>
  <c r="H16" i="32"/>
  <c r="G16" i="32"/>
  <c r="F16" i="32"/>
  <c r="E16" i="32"/>
  <c r="M16" i="32" s="1"/>
  <c r="R15" i="32"/>
  <c r="Q15" i="32"/>
  <c r="S15" i="32" s="1"/>
  <c r="P15" i="32"/>
  <c r="I15" i="32"/>
  <c r="H15" i="32"/>
  <c r="G15" i="32"/>
  <c r="F15" i="32"/>
  <c r="E15" i="32"/>
  <c r="R14" i="32"/>
  <c r="Q14" i="32"/>
  <c r="S14" i="32" s="1"/>
  <c r="P14" i="32"/>
  <c r="I14" i="32"/>
  <c r="H14" i="32"/>
  <c r="G14" i="32"/>
  <c r="F14" i="32"/>
  <c r="E14" i="32"/>
  <c r="M14" i="32" s="1"/>
  <c r="R13" i="32"/>
  <c r="Q13" i="32"/>
  <c r="S13" i="32" s="1"/>
  <c r="P13" i="32"/>
  <c r="I13" i="32"/>
  <c r="H13" i="32"/>
  <c r="G13" i="32"/>
  <c r="F13" i="32"/>
  <c r="E13" i="32"/>
  <c r="R12" i="32"/>
  <c r="Q12" i="32"/>
  <c r="S12" i="32" s="1"/>
  <c r="P12" i="32"/>
  <c r="I12" i="32"/>
  <c r="H12" i="32"/>
  <c r="G12" i="32"/>
  <c r="F12" i="32"/>
  <c r="E12" i="32"/>
  <c r="M12" i="32" s="1"/>
  <c r="R11" i="32"/>
  <c r="Q11" i="32"/>
  <c r="S11" i="32" s="1"/>
  <c r="P11" i="32"/>
  <c r="I11" i="32"/>
  <c r="H11" i="32"/>
  <c r="G11" i="32"/>
  <c r="F11" i="32"/>
  <c r="E11" i="32"/>
  <c r="N11" i="32" s="1"/>
  <c r="R10" i="32"/>
  <c r="Q10" i="32"/>
  <c r="S10" i="32" s="1"/>
  <c r="P10" i="32"/>
  <c r="I10" i="32"/>
  <c r="H10" i="32"/>
  <c r="G10" i="32"/>
  <c r="F10" i="32"/>
  <c r="E10" i="32"/>
  <c r="N10" i="32" s="1"/>
  <c r="R9" i="32"/>
  <c r="Q9" i="32"/>
  <c r="P9" i="32"/>
  <c r="I9" i="32"/>
  <c r="H9" i="32"/>
  <c r="G9" i="32"/>
  <c r="F9" i="32"/>
  <c r="E9" i="32"/>
  <c r="N71" i="34"/>
  <c r="AB70" i="33"/>
  <c r="AA70" i="33"/>
  <c r="Z70" i="33"/>
  <c r="Y70" i="33"/>
  <c r="X70" i="33"/>
  <c r="W70" i="33"/>
  <c r="V70" i="33"/>
  <c r="U70" i="33"/>
  <c r="T70" i="33"/>
  <c r="S70" i="33"/>
  <c r="R70" i="33"/>
  <c r="Q70" i="33"/>
  <c r="P70" i="33"/>
  <c r="O70" i="33"/>
  <c r="N70" i="33"/>
  <c r="M70" i="33"/>
  <c r="V61" i="32"/>
  <c r="U61" i="32"/>
  <c r="T61" i="32"/>
  <c r="S61" i="32"/>
  <c r="O61" i="32"/>
  <c r="N61" i="32"/>
  <c r="M61" i="32"/>
  <c r="L61" i="32"/>
  <c r="G61" i="32"/>
  <c r="F61" i="32"/>
  <c r="E61" i="32"/>
  <c r="T59" i="32"/>
  <c r="K59" i="32"/>
  <c r="O59" i="32" s="1"/>
  <c r="J59" i="32"/>
  <c r="L59" i="32"/>
  <c r="T58" i="32"/>
  <c r="J58" i="32"/>
  <c r="K58" i="32"/>
  <c r="L58" i="32"/>
  <c r="N58" i="32"/>
  <c r="T57" i="32"/>
  <c r="L57" i="32"/>
  <c r="K57" i="32"/>
  <c r="T56" i="32"/>
  <c r="S56" i="32"/>
  <c r="K56" i="32"/>
  <c r="J56" i="32"/>
  <c r="L56" i="32"/>
  <c r="T55" i="32"/>
  <c r="K55" i="32"/>
  <c r="J55" i="32"/>
  <c r="L55" i="32"/>
  <c r="M55" i="32"/>
  <c r="T54" i="32"/>
  <c r="J54" i="32"/>
  <c r="K54" i="32"/>
  <c r="L54" i="32"/>
  <c r="M54" i="32"/>
  <c r="S53" i="32"/>
  <c r="T53" i="32"/>
  <c r="L53" i="32"/>
  <c r="K53" i="32"/>
  <c r="T52" i="32"/>
  <c r="K52" i="32"/>
  <c r="O52" i="32" s="1"/>
  <c r="J52" i="32"/>
  <c r="L52" i="32"/>
  <c r="T51" i="32"/>
  <c r="K51" i="32"/>
  <c r="J51" i="32"/>
  <c r="L51" i="32"/>
  <c r="M51" i="32"/>
  <c r="T50" i="32"/>
  <c r="J50" i="32"/>
  <c r="K50" i="32"/>
  <c r="L50" i="32"/>
  <c r="N50" i="32"/>
  <c r="T49" i="32"/>
  <c r="L49" i="32"/>
  <c r="K49" i="32"/>
  <c r="T48" i="32"/>
  <c r="K48" i="32"/>
  <c r="J48" i="32"/>
  <c r="L48" i="32"/>
  <c r="T47" i="32"/>
  <c r="K47" i="32"/>
  <c r="O47" i="32" s="1"/>
  <c r="J47" i="32"/>
  <c r="L47" i="32"/>
  <c r="T46" i="32"/>
  <c r="J46" i="32"/>
  <c r="K46" i="32"/>
  <c r="O46" i="32" s="1"/>
  <c r="L46" i="32"/>
  <c r="M46" i="32"/>
  <c r="T45" i="32"/>
  <c r="L45" i="32"/>
  <c r="K45" i="32"/>
  <c r="T44" i="32"/>
  <c r="K44" i="32"/>
  <c r="O44" i="32" s="1"/>
  <c r="J44" i="32"/>
  <c r="L44" i="32"/>
  <c r="T43" i="32"/>
  <c r="K43" i="32"/>
  <c r="J43" i="32"/>
  <c r="L43" i="32"/>
  <c r="T42" i="32"/>
  <c r="J42" i="32"/>
  <c r="K42" i="32"/>
  <c r="L42" i="32"/>
  <c r="T41" i="32"/>
  <c r="L41" i="32"/>
  <c r="K41" i="32"/>
  <c r="O41" i="32" s="1"/>
  <c r="T40" i="32"/>
  <c r="S40" i="32"/>
  <c r="K40" i="32"/>
  <c r="J40" i="32"/>
  <c r="L40" i="32"/>
  <c r="T39" i="32"/>
  <c r="K39" i="32"/>
  <c r="O39" i="32" s="1"/>
  <c r="J39" i="32"/>
  <c r="L39" i="32"/>
  <c r="T38" i="32"/>
  <c r="J38" i="32"/>
  <c r="K38" i="32"/>
  <c r="L38" i="32"/>
  <c r="T37" i="32"/>
  <c r="L37" i="32"/>
  <c r="K37" i="32"/>
  <c r="O37" i="32" s="1"/>
  <c r="T36" i="32"/>
  <c r="S36" i="32"/>
  <c r="K36" i="32"/>
  <c r="J36" i="32"/>
  <c r="L36" i="32"/>
  <c r="T35" i="32"/>
  <c r="K35" i="32"/>
  <c r="O35" i="32" s="1"/>
  <c r="J35" i="32"/>
  <c r="L35" i="32"/>
  <c r="T34" i="32"/>
  <c r="J34" i="32"/>
  <c r="K34" i="32"/>
  <c r="L34" i="32"/>
  <c r="T33" i="32"/>
  <c r="L33" i="32"/>
  <c r="K33" i="32"/>
  <c r="O33" i="32" s="1"/>
  <c r="T32" i="32"/>
  <c r="S32" i="32"/>
  <c r="K32" i="32"/>
  <c r="J32" i="32"/>
  <c r="L32" i="32"/>
  <c r="T31" i="32"/>
  <c r="K31" i="32"/>
  <c r="J31" i="32"/>
  <c r="L31" i="32"/>
  <c r="T30" i="32"/>
  <c r="J30" i="32"/>
  <c r="K30" i="32"/>
  <c r="L30" i="32"/>
  <c r="N30" i="32"/>
  <c r="T29" i="32"/>
  <c r="L29" i="32"/>
  <c r="K29" i="32"/>
  <c r="T28" i="32"/>
  <c r="K28" i="32"/>
  <c r="J28" i="32"/>
  <c r="L28" i="32"/>
  <c r="T27" i="32"/>
  <c r="K27" i="32"/>
  <c r="J27" i="32"/>
  <c r="L27" i="32"/>
  <c r="S26" i="32"/>
  <c r="T26" i="32"/>
  <c r="K26" i="32"/>
  <c r="J26" i="32"/>
  <c r="L26" i="32"/>
  <c r="N26" i="32"/>
  <c r="T25" i="32"/>
  <c r="S25" i="32"/>
  <c r="L25" i="32"/>
  <c r="K25" i="32"/>
  <c r="T24" i="32"/>
  <c r="K24" i="32"/>
  <c r="J24" i="32"/>
  <c r="L24" i="32"/>
  <c r="M24" i="32"/>
  <c r="T23" i="32"/>
  <c r="K23" i="32"/>
  <c r="J23" i="32"/>
  <c r="L23" i="32"/>
  <c r="T22" i="32"/>
  <c r="K22" i="32"/>
  <c r="O22" i="32" s="1"/>
  <c r="J22" i="32"/>
  <c r="L22" i="32"/>
  <c r="T21" i="32"/>
  <c r="L21" i="32"/>
  <c r="K21" i="32"/>
  <c r="O21" i="32" s="1"/>
  <c r="T20" i="32"/>
  <c r="K20" i="32"/>
  <c r="J20" i="32"/>
  <c r="L20" i="32"/>
  <c r="M20" i="32"/>
  <c r="T19" i="32"/>
  <c r="S19" i="32"/>
  <c r="K19" i="32"/>
  <c r="J19" i="32"/>
  <c r="L19" i="32"/>
  <c r="T18" i="32"/>
  <c r="K18" i="32"/>
  <c r="O18" i="32" s="1"/>
  <c r="J18" i="32"/>
  <c r="L18" i="32"/>
  <c r="T17" i="32"/>
  <c r="L17" i="32"/>
  <c r="K17" i="32"/>
  <c r="O17" i="32" s="1"/>
  <c r="T16" i="32"/>
  <c r="S16" i="32"/>
  <c r="K16" i="32"/>
  <c r="J16" i="32"/>
  <c r="L16" i="32"/>
  <c r="T15" i="32"/>
  <c r="K15" i="32"/>
  <c r="J15" i="32"/>
  <c r="L15" i="32"/>
  <c r="T14" i="32"/>
  <c r="K14" i="32"/>
  <c r="J14" i="32"/>
  <c r="L14" i="32"/>
  <c r="N14" i="32"/>
  <c r="T13" i="32"/>
  <c r="L13" i="32"/>
  <c r="K13" i="32"/>
  <c r="T12" i="32"/>
  <c r="K12" i="32"/>
  <c r="J12" i="32"/>
  <c r="L12" i="32"/>
  <c r="T11" i="32"/>
  <c r="K11" i="32"/>
  <c r="O11" i="32" s="1"/>
  <c r="J11" i="32"/>
  <c r="L11" i="32"/>
  <c r="T10" i="32"/>
  <c r="J10" i="32"/>
  <c r="K10" i="32"/>
  <c r="L10" i="32"/>
  <c r="T9" i="32"/>
  <c r="S9" i="32"/>
  <c r="L9" i="32"/>
  <c r="K9" i="32"/>
  <c r="G62" i="32"/>
  <c r="L62" i="32" s="1"/>
  <c r="F62" i="32"/>
  <c r="O24" i="32" l="1"/>
  <c r="O27" i="32"/>
  <c r="O30" i="32"/>
  <c r="N36" i="32"/>
  <c r="N40" i="32"/>
  <c r="U40" i="32" s="1"/>
  <c r="O45" i="32"/>
  <c r="O50" i="32"/>
  <c r="O51" i="32"/>
  <c r="V51" i="32" s="1"/>
  <c r="O55" i="32"/>
  <c r="O58" i="32"/>
  <c r="O13" i="32"/>
  <c r="O14" i="32"/>
  <c r="N22" i="32"/>
  <c r="U22" i="32" s="1"/>
  <c r="O29" i="32"/>
  <c r="N44" i="32"/>
  <c r="O49" i="32"/>
  <c r="O54" i="32"/>
  <c r="O57" i="32"/>
  <c r="N12" i="32"/>
  <c r="O20" i="32"/>
  <c r="O23" i="32"/>
  <c r="N43" i="32"/>
  <c r="U43" i="32" s="1"/>
  <c r="N48" i="32"/>
  <c r="O53" i="32"/>
  <c r="N18" i="32"/>
  <c r="O25" i="32"/>
  <c r="O26" i="32"/>
  <c r="N34" i="32"/>
  <c r="N38" i="32"/>
  <c r="N42" i="32"/>
  <c r="U42" i="32" s="1"/>
  <c r="N47" i="32"/>
  <c r="N52" i="32"/>
  <c r="O16" i="32"/>
  <c r="O19" i="32"/>
  <c r="O32" i="32"/>
  <c r="O36" i="32"/>
  <c r="O40" i="32"/>
  <c r="V40" i="32" s="1"/>
  <c r="O12" i="32"/>
  <c r="V12" i="32" s="1"/>
  <c r="O15" i="32"/>
  <c r="O28" i="32"/>
  <c r="O31" i="32"/>
  <c r="O34" i="32"/>
  <c r="O38" i="32"/>
  <c r="O42" i="32"/>
  <c r="V42" i="32" s="1"/>
  <c r="O43" i="32"/>
  <c r="V43" i="32" s="1"/>
  <c r="O48" i="32"/>
  <c r="V48" i="32" s="1"/>
  <c r="O56" i="32"/>
  <c r="V56" i="32" s="1"/>
  <c r="O10" i="32"/>
  <c r="V10" i="32" s="1"/>
  <c r="M10" i="32"/>
  <c r="E62" i="32"/>
  <c r="O9" i="32"/>
  <c r="U10" i="32"/>
  <c r="V13" i="32"/>
  <c r="V20" i="32"/>
  <c r="V24" i="32"/>
  <c r="V28" i="32"/>
  <c r="V46" i="32"/>
  <c r="U46" i="32"/>
  <c r="V50" i="32"/>
  <c r="U50" i="32"/>
  <c r="V55" i="32"/>
  <c r="U12" i="32"/>
  <c r="V44" i="32"/>
  <c r="U44" i="32"/>
  <c r="O62" i="32"/>
  <c r="V16" i="32"/>
  <c r="U48" i="32"/>
  <c r="V34" i="32"/>
  <c r="U34" i="32"/>
  <c r="S62" i="32"/>
  <c r="V39" i="32"/>
  <c r="U51" i="32"/>
  <c r="T62" i="32"/>
  <c r="V18" i="32"/>
  <c r="U18" i="32"/>
  <c r="V22" i="32"/>
  <c r="V26" i="32"/>
  <c r="U26" i="32"/>
  <c r="V30" i="32"/>
  <c r="U30" i="32"/>
  <c r="N31" i="32"/>
  <c r="N32" i="32"/>
  <c r="V36" i="32"/>
  <c r="U36" i="32"/>
  <c r="V58" i="32"/>
  <c r="U58" i="32"/>
  <c r="N59" i="32"/>
  <c r="V47" i="32"/>
  <c r="U47" i="32"/>
  <c r="V52" i="32"/>
  <c r="U52" i="32"/>
  <c r="M62" i="32"/>
  <c r="V14" i="32"/>
  <c r="U14" i="32"/>
  <c r="N19" i="32"/>
  <c r="N20" i="32"/>
  <c r="U20" i="32" s="1"/>
  <c r="N23" i="32"/>
  <c r="N24" i="32"/>
  <c r="U24" i="32" s="1"/>
  <c r="N27" i="32"/>
  <c r="N28" i="32"/>
  <c r="U28" i="32" s="1"/>
  <c r="V54" i="32"/>
  <c r="U54" i="32"/>
  <c r="N55" i="32"/>
  <c r="U55" i="32" s="1"/>
  <c r="N56" i="32"/>
  <c r="U56" i="32" s="1"/>
  <c r="V57" i="32"/>
  <c r="V38" i="32"/>
  <c r="U38" i="32"/>
  <c r="N15" i="32"/>
  <c r="N16" i="32"/>
  <c r="U16" i="32" s="1"/>
  <c r="V32" i="32"/>
  <c r="U32" i="32"/>
  <c r="V59" i="32"/>
  <c r="U59" i="32"/>
  <c r="M9" i="32"/>
  <c r="V9" i="32" s="1"/>
  <c r="M13" i="32"/>
  <c r="M17" i="32"/>
  <c r="V17" i="32" s="1"/>
  <c r="M21" i="32"/>
  <c r="V21" i="32" s="1"/>
  <c r="M25" i="32"/>
  <c r="V25" i="32" s="1"/>
  <c r="M29" i="32"/>
  <c r="V29" i="32" s="1"/>
  <c r="M33" i="32"/>
  <c r="V33" i="32" s="1"/>
  <c r="M37" i="32"/>
  <c r="V37" i="32" s="1"/>
  <c r="M41" i="32"/>
  <c r="V41" i="32" s="1"/>
  <c r="M45" i="32"/>
  <c r="V45" i="32" s="1"/>
  <c r="M49" i="32"/>
  <c r="M53" i="32"/>
  <c r="M57" i="32"/>
  <c r="M11" i="32"/>
  <c r="V11" i="32" s="1"/>
  <c r="M15" i="32"/>
  <c r="V15" i="32" s="1"/>
  <c r="M19" i="32"/>
  <c r="V19" i="32" s="1"/>
  <c r="M23" i="32"/>
  <c r="M27" i="32"/>
  <c r="V27" i="32" s="1"/>
  <c r="M31" i="32"/>
  <c r="V31" i="32" s="1"/>
  <c r="M35" i="32"/>
  <c r="V35" i="32" s="1"/>
  <c r="M39" i="32"/>
  <c r="U39" i="32" s="1"/>
  <c r="J9" i="32"/>
  <c r="N9" i="32" s="1"/>
  <c r="J13" i="32"/>
  <c r="N13" i="32" s="1"/>
  <c r="U13" i="32" s="1"/>
  <c r="J17" i="32"/>
  <c r="N17" i="32" s="1"/>
  <c r="J21" i="32"/>
  <c r="N21" i="32" s="1"/>
  <c r="U21" i="32" s="1"/>
  <c r="J25" i="32"/>
  <c r="N25" i="32" s="1"/>
  <c r="J29" i="32"/>
  <c r="N29" i="32" s="1"/>
  <c r="J33" i="32"/>
  <c r="N33" i="32" s="1"/>
  <c r="J37" i="32"/>
  <c r="N37" i="32" s="1"/>
  <c r="J41" i="32"/>
  <c r="N41" i="32" s="1"/>
  <c r="U41" i="32" s="1"/>
  <c r="J45" i="32"/>
  <c r="N45" i="32" s="1"/>
  <c r="U45" i="32" s="1"/>
  <c r="J49" i="32"/>
  <c r="N49" i="32" s="1"/>
  <c r="J53" i="32"/>
  <c r="N53" i="32" s="1"/>
  <c r="U53" i="32" s="1"/>
  <c r="J57" i="32"/>
  <c r="N57" i="32" s="1"/>
  <c r="U15" i="32" l="1"/>
  <c r="V53" i="32"/>
  <c r="U29" i="32"/>
  <c r="U31" i="32"/>
  <c r="V49" i="32"/>
  <c r="U37" i="32"/>
  <c r="U57" i="32"/>
  <c r="U25" i="32"/>
  <c r="V23" i="32"/>
  <c r="V62" i="32"/>
  <c r="T64" i="32" s="1"/>
  <c r="N62" i="32"/>
  <c r="U62" i="32" s="1"/>
  <c r="U9" i="32"/>
  <c r="U17" i="32"/>
  <c r="U27" i="32"/>
  <c r="U19" i="32"/>
  <c r="U35" i="32"/>
  <c r="U23" i="32"/>
  <c r="U49" i="32"/>
  <c r="U33" i="32"/>
  <c r="U11" i="32"/>
  <c r="E64" i="32" l="1"/>
  <c r="S64" i="32"/>
  <c r="G64" i="32"/>
  <c r="B7" i="29" l="1"/>
  <c r="E139" i="19" l="1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l="1"/>
  <c r="B5" i="28"/>
  <c r="B5" i="12" s="1"/>
  <c r="E118" i="19"/>
  <c r="F118" i="19" s="1"/>
  <c r="G118" i="19" s="1"/>
  <c r="F94" i="19"/>
  <c r="G94" i="19" s="1"/>
  <c r="E87" i="19"/>
  <c r="E91" i="19"/>
  <c r="E124" i="19"/>
  <c r="F124" i="19" s="1"/>
  <c r="G124" i="19" s="1"/>
  <c r="F88" i="19"/>
  <c r="G88" i="19" s="1"/>
  <c r="E92" i="19"/>
  <c r="E119" i="19"/>
  <c r="F119" i="19" s="1"/>
  <c r="G119" i="19" s="1"/>
  <c r="F95" i="19"/>
  <c r="F87" i="19"/>
  <c r="F91" i="19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E126" i="19"/>
  <c r="F126" i="19" s="1"/>
  <c r="G126" i="19" s="1"/>
  <c r="E117" i="19"/>
  <c r="F117" i="19" s="1"/>
  <c r="G117" i="19" s="1"/>
  <c r="E95" i="19"/>
  <c r="F89" i="19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24" i="19" l="1"/>
  <c r="E24" i="19"/>
  <c r="F30" i="19"/>
  <c r="F31" i="19"/>
  <c r="E21" i="19"/>
  <c r="E11" i="19"/>
  <c r="E12" i="19"/>
  <c r="G103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32" i="19" l="1"/>
  <c r="G23" i="19"/>
  <c r="G29" i="19"/>
  <c r="E40" i="19" l="1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E154" i="19" l="1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40" i="19" l="1"/>
  <c r="F56" i="19" s="1"/>
  <c r="F72" i="19" s="1"/>
  <c r="F152" i="19" s="1"/>
  <c r="F39" i="19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<sst xmlns="http://schemas.openxmlformats.org/spreadsheetml/2006/main" count="47076" uniqueCount="1879">
  <si>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</si>
  <si>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</si>
  <si>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</si>
  <si>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</si>
  <si>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</si>
  <si>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</si>
  <si>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</si>
  <si>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</si>
  <si>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</si>
  <si>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</si>
  <si>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</si>
  <si>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</si>
  <si>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</si>
  <si>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</si>
  <si>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</si>
  <si>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</si>
  <si>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</si>
  <si>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</si>
  <si>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</si>
  <si>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</si>
  <si>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</si>
  <si>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</si>
  <si>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</si>
  <si>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</si>
  <si>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</si>
  <si>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</si>
  <si>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</si>
  <si>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</si>
  <si>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</si>
  <si>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</si>
  <si>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</si>
  <si>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</si>
  <si>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</si>
  <si>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</si>
  <si>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</si>
  <si>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</si>
  <si>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</si>
  <si>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</si>
  <si>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</si>
  <si>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</si>
  <si>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</si>
  <si>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</si>
  <si>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</si>
  <si>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</si>
  <si>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</si>
  <si>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</si>
  <si>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</si>
  <si>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</si>
  <si>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</si>
  <si>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</si>
  <si>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</si>
  <si>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</si>
  <si>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</si>
  <si>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</si>
  <si>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</si>
  <si>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</si>
  <si>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</si>
  <si>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</si>
  <si>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</si>
  <si>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</si>
  <si>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</si>
  <si>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</si>
  <si>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</si>
  <si>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</si>
  <si>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</si>
  <si>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</si>
  <si>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</si>
  <si>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</si>
  <si>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</si>
  <si>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</si>
  <si>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</si>
  <si>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</si>
  <si>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</si>
  <si>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</si>
  <si>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</si>
  <si>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</si>
  <si>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</si>
  <si>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</si>
  <si>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</si>
  <si>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</si>
  <si>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</si>
  <si>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</si>
  <si>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</si>
  <si>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</si>
  <si>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</si>
  <si>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</si>
  <si>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</si>
  <si>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</si>
  <si>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</si>
  <si>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</si>
  <si>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</si>
  <si>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</si>
  <si>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</si>
  <si>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</si>
  <si>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</si>
  <si>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</si>
  <si>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</si>
  <si>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</si>
  <si>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</si>
  <si>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</si>
  <si>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</si>
  <si>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</si>
  <si>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</si>
  <si>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</si>
  <si>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</si>
  <si>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</si>
  <si>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</si>
  <si>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</si>
  <si>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</si>
  <si>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</si>
  <si>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</si>
  <si>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</si>
  <si>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</si>
  <si>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</si>
  <si>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</si>
  <si>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</si>
  <si>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</si>
  <si>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</si>
  <si>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</si>
  <si>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</si>
  <si>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</si>
  <si>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</si>
  <si>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</si>
  <si>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</si>
  <si>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</si>
  <si>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</si>
  <si>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</si>
  <si>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</si>
  <si>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</si>
  <si>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</si>
  <si>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</si>
  <si>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</si>
  <si>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</si>
  <si>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</si>
  <si>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</si>
  <si>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</si>
  <si>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</si>
  <si>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</si>
  <si>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</si>
  <si>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</si>
  <si>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</si>
  <si>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</si>
  <si>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</si>
  <si>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</si>
  <si>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</si>
  <si>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</si>
  <si>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</si>
  <si>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</si>
  <si>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</si>
  <si>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</si>
  <si>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</si>
  <si>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</si>
  <si>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</si>
  <si>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</si>
  <si>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</si>
  <si>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</si>
  <si>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</si>
  <si>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</si>
  <si>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</si>
  <si>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</si>
  <si>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</si>
  <si>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</si>
  <si>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</si>
  <si>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</si>
  <si>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</si>
  <si>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</si>
  <si>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</si>
  <si>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</si>
  <si>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</si>
  <si>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</si>
  <si>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</si>
  <si>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</si>
  <si>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</si>
  <si>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</si>
  <si>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</si>
  <si>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</si>
  <si>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</si>
  <si>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</si>
  <si>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</si>
  <si>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</si>
  <si>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</si>
  <si>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</si>
  <si>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</si>
  <si>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</si>
  <si>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</si>
  <si>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</si>
  <si>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</si>
  <si>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</si>
  <si>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</si>
  <si>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</si>
  <si>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</si>
  <si>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</si>
  <si>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</si>
  <si>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</si>
  <si>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</si>
  <si>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</si>
  <si>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</si>
  <si>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</si>
  <si>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</si>
  <si>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</si>
  <si>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</si>
  <si>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</si>
  <si>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</si>
  <si>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</si>
  <si>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</si>
  <si>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</si>
  <si>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</si>
  <si>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</si>
  <si>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</si>
  <si>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</si>
  <si>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</si>
  <si>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</si>
  <si>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</si>
  <si>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</si>
  <si>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</si>
  <si>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</si>
  <si>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</si>
  <si>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</si>
  <si>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</si>
  <si>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</si>
  <si>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</si>
  <si>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</si>
  <si>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</si>
  <si>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</si>
  <si>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</si>
  <si>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</si>
  <si>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</si>
  <si>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</si>
  <si>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</si>
  <si>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</si>
  <si>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</si>
  <si>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</si>
  <si>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</si>
  <si>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</si>
  <si>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</si>
  <si>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</si>
  <si>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</si>
  <si>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</si>
  <si>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</si>
  <si>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</si>
  <si>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</si>
  <si>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</si>
  <si>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</si>
  <si>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</si>
  <si>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</si>
  <si>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</si>
  <si>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</si>
  <si>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</si>
  <si>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</si>
  <si>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</si>
  <si>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</si>
  <si>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</si>
  <si>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</si>
  <si>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</si>
  <si>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</si>
  <si>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</si>
  <si>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</si>
  <si>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</si>
  <si>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</si>
  <si>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</si>
  <si>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</si>
  <si>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</si>
  <si>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</si>
  <si>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</si>
  <si>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</si>
  <si>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</si>
  <si>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</si>
  <si>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</si>
  <si>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</si>
  <si>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</si>
  <si>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</si>
  <si>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</si>
  <si>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</si>
  <si>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</si>
  <si>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</si>
  <si>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</si>
  <si>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</si>
  <si>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</si>
  <si>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</si>
  <si>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</si>
  <si>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</si>
  <si>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</si>
  <si>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</si>
  <si>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</si>
  <si>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</si>
  <si>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</si>
  <si>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</si>
  <si>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</si>
  <si>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</si>
  <si>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</si>
  <si>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</si>
  <si>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</si>
  <si>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</si>
  <si>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</si>
  <si>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</si>
  <si>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</si>
  <si>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</si>
  <si>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</si>
  <si>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</si>
  <si>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</si>
  <si>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</si>
  <si>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</si>
  <si>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</si>
  <si>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</si>
  <si>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</si>
  <si>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</si>
  <si>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</si>
  <si>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</si>
  <si>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</si>
  <si>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</si>
  <si>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</si>
  <si>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</si>
  <si>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</si>
  <si>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</si>
  <si>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</si>
  <si>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</si>
  <si>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</si>
  <si>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</si>
  <si>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</si>
  <si>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</si>
  <si>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</si>
  <si>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</si>
  <si>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</si>
  <si>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</si>
  <si>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</si>
  <si>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</si>
  <si>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</si>
  <si>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</si>
  <si>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</si>
  <si>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</si>
  <si>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</si>
  <si>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</si>
  <si>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</si>
  <si>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</si>
  <si>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</si>
  <si>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</si>
  <si>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</si>
  <si>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</si>
  <si>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</si>
  <si>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</si>
  <si>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</si>
  <si>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</si>
  <si>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</si>
  <si>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</si>
  <si>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</si>
  <si>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</si>
  <si>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</si>
  <si>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</si>
  <si>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</si>
  <si>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</si>
  <si>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</si>
  <si>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</si>
  <si>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</si>
  <si>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</si>
  <si>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</si>
  <si>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</si>
  <si>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</si>
  <si>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</si>
  <si>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</si>
  <si>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</si>
  <si>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</si>
  <si>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</si>
  <si>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</si>
  <si>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</si>
  <si>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</si>
  <si>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</si>
  <si>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</si>
  <si>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</si>
  <si>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</si>
  <si>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</si>
  <si>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</si>
  <si>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</si>
  <si>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</si>
  <si>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</si>
  <si>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</si>
  <si>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</si>
  <si>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</si>
  <si>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</si>
  <si>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</si>
  <si>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</si>
  <si>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</si>
  <si>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</si>
  <si>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</si>
  <si>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</si>
  <si>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</si>
  <si>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</si>
  <si>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</si>
  <si>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</si>
  <si>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</si>
  <si>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</si>
  <si>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</si>
  <si>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</si>
  <si>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</si>
  <si>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</si>
  <si>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</si>
  <si>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</si>
  <si>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</si>
  <si>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</si>
  <si>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</si>
  <si>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</si>
  <si>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</si>
  <si>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</si>
  <si>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</si>
  <si>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</si>
  <si>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</si>
  <si>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</si>
  <si>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</si>
  <si>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</si>
  <si>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</si>
  <si>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</si>
  <si>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</si>
  <si>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</si>
  <si>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</si>
  <si>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</si>
  <si>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</si>
  <si>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</si>
  <si>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</si>
  <si>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</si>
  <si>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</si>
  <si>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</si>
  <si>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</si>
  <si>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</si>
  <si>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</si>
  <si>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</si>
  <si>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</si>
  <si>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</si>
  <si>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</si>
  <si>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</si>
  <si>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</si>
  <si>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</si>
  <si>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</si>
  <si>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</si>
  <si>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</si>
  <si>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</si>
  <si>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</si>
  <si>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</si>
  <si>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</si>
  <si>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</si>
  <si>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</si>
  <si>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</si>
  <si>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</si>
  <si>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</si>
  <si>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</si>
  <si>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</si>
  <si>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</si>
  <si>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</si>
  <si>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</si>
  <si>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</si>
  <si>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</si>
  <si>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</si>
  <si>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</si>
  <si>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</si>
  <si>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</si>
  <si>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</si>
  <si>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</si>
  <si>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</si>
  <si>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</si>
  <si>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</si>
  <si>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</si>
  <si>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</si>
  <si>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</si>
  <si>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</si>
  <si>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</si>
  <si>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</si>
  <si>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</si>
  <si>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</si>
  <si>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</si>
  <si>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</si>
  <si>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</si>
  <si>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</si>
  <si>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</si>
  <si>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</si>
  <si>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</si>
  <si>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</si>
  <si>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</si>
  <si>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</si>
  <si>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</si>
  <si>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</si>
  <si>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</si>
  <si>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</si>
  <si>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</si>
  <si>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</si>
  <si>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</si>
  <si>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</si>
  <si>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</si>
  <si>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</si>
  <si>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</si>
  <si>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</si>
  <si>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</si>
  <si>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</si>
  <si>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</si>
  <si>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</si>
  <si>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</si>
  <si>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</si>
  <si>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</si>
  <si>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</si>
  <si>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</si>
  <si>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</si>
  <si>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</si>
  <si>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</si>
  <si>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</si>
  <si>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</si>
  <si>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</si>
  <si>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</si>
  <si>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</si>
  <si>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</si>
  <si>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</si>
  <si>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</si>
  <si>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</si>
  <si>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</si>
  <si>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</si>
  <si>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</si>
  <si>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</si>
  <si>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</si>
  <si>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</si>
  <si>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</si>
  <si>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</si>
  <si>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</si>
  <si>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</si>
  <si>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</si>
  <si>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</si>
  <si>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</si>
  <si>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</si>
  <si>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</si>
  <si>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</si>
  <si>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</si>
  <si>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</si>
  <si>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</si>
  <si>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</si>
  <si>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</si>
  <si>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</si>
  <si>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</si>
  <si>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</si>
  <si>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</si>
  <si>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</si>
  <si>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</si>
  <si>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</si>
  <si>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</si>
  <si>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</si>
  <si>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</si>
  <si>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</si>
  <si>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</si>
  <si>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</si>
  <si>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</si>
  <si>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</si>
  <si>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</si>
  <si>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</si>
  <si>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</si>
  <si>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</si>
  <si>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</si>
  <si>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</si>
  <si>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</si>
  <si>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</si>
  <si>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</si>
  <si>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</si>
  <si>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</si>
  <si>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</si>
  <si>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</si>
  <si>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</si>
  <si>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</si>
  <si>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</si>
  <si>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</si>
  <si>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</si>
  <si>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</si>
  <si>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</si>
  <si>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</si>
  <si>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</si>
  <si>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</si>
  <si>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</si>
  <si>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</si>
  <si>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</si>
  <si>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</si>
  <si>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</si>
  <si>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</si>
  <si>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</si>
  <si>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</si>
  <si>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</si>
  <si>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</si>
  <si>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</si>
  <si>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</si>
  <si>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</si>
  <si>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</si>
  <si>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</si>
  <si>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</si>
  <si>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</si>
  <si>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</si>
  <si>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</si>
  <si>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</si>
  <si>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</si>
  <si>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</si>
  <si>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</si>
  <si>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</si>
  <si>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</si>
  <si>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</si>
  <si>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</si>
  <si>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</si>
  <si>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</si>
  <si>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</si>
  <si>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</si>
  <si>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</si>
  <si>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</si>
  <si>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</si>
  <si>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</si>
  <si>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</si>
  <si>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</si>
  <si>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</si>
  <si>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</si>
  <si>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</si>
  <si>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</si>
  <si>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</si>
  <si>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</si>
  <si>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</si>
  <si>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</si>
  <si>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</si>
  <si>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</si>
  <si>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</si>
  <si>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</si>
  <si>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</si>
  <si>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</si>
  <si>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</si>
  <si>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</si>
  <si>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</si>
  <si>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</si>
  <si>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</si>
  <si>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</si>
  <si>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</si>
  <si>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</si>
  <si>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</si>
  <si>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</si>
  <si>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</si>
  <si>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</si>
  <si>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</si>
  <si>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</si>
  <si>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</si>
  <si>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</si>
  <si>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</si>
  <si>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</si>
  <si>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</si>
  <si>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</si>
  <si>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</si>
  <si>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</si>
  <si>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</si>
  <si>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</si>
  <si>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</si>
  <si>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</si>
  <si>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</si>
  <si>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</si>
  <si>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</si>
  <si>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</si>
  <si>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</si>
  <si>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</si>
  <si>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</si>
  <si>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</si>
  <si>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</si>
  <si>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</si>
  <si>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</si>
  <si>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</si>
  <si>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</si>
  <si>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</si>
  <si>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</si>
  <si>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</si>
  <si>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</si>
  <si>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</si>
  <si>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</si>
  <si>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</si>
  <si>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</si>
  <si>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</si>
  <si>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</si>
  <si>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</si>
  <si>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</si>
  <si>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</si>
  <si>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</si>
  <si>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</si>
  <si>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</si>
  <si>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</si>
  <si>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</si>
  <si>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</si>
  <si>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</si>
  <si>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</si>
  <si>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</si>
  <si>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</si>
  <si>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</si>
  <si>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</si>
  <si>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</si>
  <si>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</si>
  <si>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</si>
  <si>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</si>
  <si>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</si>
  <si>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</si>
  <si>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</si>
  <si>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</si>
  <si>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</si>
  <si>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</si>
  <si>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</si>
  <si>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</si>
  <si>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</si>
  <si>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</si>
  <si>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</si>
  <si>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</si>
  <si>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</si>
  <si>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</si>
  <si>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</si>
  <si>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</si>
  <si>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</si>
  <si>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</si>
  <si>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</si>
  <si>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</si>
  <si>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</si>
  <si>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</si>
  <si>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</si>
  <si>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</si>
  <si>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</si>
  <si>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</si>
  <si>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</si>
  <si>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</si>
  <si>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</si>
  <si>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</si>
  <si>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</si>
  <si>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</si>
  <si>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</si>
  <si>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</si>
  <si>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</si>
  <si>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</si>
  <si>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</si>
  <si>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</si>
  <si>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</si>
  <si>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</si>
  <si>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</si>
  <si>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</si>
  <si>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</si>
  <si>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</si>
  <si>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</si>
  <si>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</si>
  <si>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</si>
  <si>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</si>
  <si>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</si>
  <si>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</si>
  <si>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</si>
  <si>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</si>
  <si>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</si>
  <si>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</si>
  <si>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</si>
  <si>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</si>
  <si>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</si>
  <si>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</si>
  <si>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</si>
  <si>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</si>
  <si>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</si>
  <si>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</si>
  <si>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</si>
  <si>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</si>
  <si>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</si>
  <si>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</si>
  <si>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</si>
  <si>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</si>
  <si>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</si>
  <si>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</si>
  <si>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</si>
  <si>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</si>
  <si>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</si>
  <si>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</si>
  <si>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</si>
  <si>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</si>
  <si>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</si>
  <si>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</si>
  <si>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</si>
  <si>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</si>
  <si>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</si>
  <si>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</si>
  <si>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</si>
  <si>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</si>
  <si>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</si>
  <si>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</si>
  <si>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</si>
  <si>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</si>
  <si>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</si>
  <si>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</si>
  <si>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</si>
  <si>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</si>
  <si>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</si>
  <si>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</si>
  <si>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</si>
  <si>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</si>
  <si>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</si>
  <si>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</si>
  <si>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</si>
  <si>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</si>
  <si>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</si>
  <si>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</si>
  <si>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</si>
  <si>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</si>
  <si>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</si>
  <si>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</si>
  <si>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</si>
  <si>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</si>
  <si>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</si>
  <si>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</si>
  <si>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</si>
  <si>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</si>
  <si>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</si>
  <si>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</si>
  <si>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</si>
  <si>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</si>
  <si>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</si>
  <si>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</si>
  <si>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</si>
  <si>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</si>
  <si>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</si>
  <si>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</si>
  <si>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</si>
  <si>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</si>
  <si>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</si>
  <si>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</si>
  <si>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</si>
  <si>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</si>
  <si>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</si>
  <si>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</si>
  <si>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</si>
  <si>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</si>
  <si>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</si>
  <si>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</si>
  <si>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</si>
  <si>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</si>
  <si>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</si>
  <si>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</si>
  <si>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</si>
  <si>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</si>
  <si>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</si>
  <si>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</si>
  <si>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</si>
  <si>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</si>
  <si>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</si>
  <si>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</si>
  <si>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</si>
  <si>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</si>
  <si>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</si>
  <si>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</si>
  <si>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</si>
  <si>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</si>
  <si>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</si>
  <si>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</si>
  <si>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</si>
  <si>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</si>
  <si>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</si>
  <si>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</si>
  <si>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</si>
  <si>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</si>
  <si>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</si>
  <si>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</si>
  <si>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</si>
  <si>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</si>
  <si>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</si>
  <si>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</si>
  <si>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</si>
  <si>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</si>
  <si>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</si>
  <si>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</si>
  <si>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</si>
  <si>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</si>
  <si>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</si>
  <si>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</si>
  <si>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</si>
  <si>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</si>
  <si>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</si>
  <si>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</si>
  <si>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</si>
  <si>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</si>
  <si>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</si>
  <si>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</si>
  <si>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</si>
  <si>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</si>
  <si>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</si>
  <si>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</si>
  <si>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</si>
  <si>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</si>
  <si>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</si>
  <si>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</si>
  <si>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</si>
  <si>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</si>
  <si>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</si>
  <si>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</si>
  <si>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</si>
  <si>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</si>
  <si>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</si>
  <si>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</si>
  <si>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</si>
  <si>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</si>
  <si>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</si>
  <si>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</si>
  <si>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</si>
  <si>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</si>
  <si>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</si>
  <si>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</si>
  <si>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</si>
  <si>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</si>
  <si>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</si>
  <si>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</si>
  <si>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</si>
  <si>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</si>
  <si>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</si>
  <si>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</si>
  <si>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</si>
  <si>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</si>
  <si>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</si>
  <si>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</si>
  <si>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</si>
  <si>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</si>
  <si>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</si>
  <si>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</si>
  <si>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</si>
  <si>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</si>
  <si>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</si>
  <si>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</si>
  <si>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</si>
  <si>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</si>
  <si>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</si>
  <si>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</si>
  <si>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</si>
  <si>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</si>
  <si>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</si>
  <si>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</si>
  <si>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</si>
  <si>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</si>
  <si>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</si>
  <si>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</si>
  <si>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</si>
  <si>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</si>
  <si>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</si>
  <si>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</si>
  <si>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</si>
  <si>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</si>
  <si>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</si>
  <si>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</si>
  <si>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</si>
  <si>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</si>
  <si>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</si>
  <si>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</si>
  <si>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</si>
  <si>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</si>
  <si>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</si>
  <si>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</si>
  <si>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</si>
  <si>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</si>
  <si>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</si>
  <si>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</si>
  <si>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</si>
  <si>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</si>
  <si>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</si>
  <si>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</si>
  <si>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</si>
  <si>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</si>
  <si>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</si>
  <si>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</si>
  <si>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</si>
  <si>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</si>
  <si>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</si>
  <si>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</si>
  <si>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</si>
  <si>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</si>
  <si>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</si>
  <si>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</si>
  <si>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</si>
  <si>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</si>
  <si>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</si>
  <si>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</si>
  <si>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</si>
  <si>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</si>
  <si>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</si>
  <si>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</si>
  <si>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</si>
  <si>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</si>
  <si>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</si>
  <si>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</si>
  <si>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</si>
  <si>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</si>
  <si>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</si>
  <si>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</si>
  <si>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</si>
  <si>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</si>
  <si>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</si>
  <si>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</si>
  <si>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</si>
  <si>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</si>
  <si>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</si>
  <si>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</si>
  <si>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</si>
  <si>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</si>
  <si>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</si>
  <si>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</si>
  <si>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</si>
  <si>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</si>
  <si>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</si>
  <si>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</si>
  <si>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</si>
  <si>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</si>
  <si>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</si>
  <si>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</si>
  <si>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</si>
  <si>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</si>
  <si>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</si>
  <si>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</si>
  <si>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</si>
  <si>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</si>
  <si>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</si>
  <si>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</si>
  <si>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</si>
  <si>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</si>
  <si>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</si>
  <si>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</si>
  <si>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</si>
  <si>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</si>
  <si>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</si>
  <si>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</si>
  <si>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</si>
  <si>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</si>
  <si>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</si>
  <si>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</si>
  <si>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</si>
  <si>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</si>
  <si>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</si>
  <si>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</si>
  <si>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</si>
  <si>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</si>
  <si>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</si>
  <si>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</si>
  <si>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</si>
  <si>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</si>
  <si>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</si>
  <si>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</si>
  <si>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</si>
  <si>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</si>
  <si>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</si>
  <si>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</si>
  <si>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</si>
  <si>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</si>
  <si>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</si>
  <si>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</si>
  <si>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</si>
  <si>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</si>
  <si>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</si>
  <si>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</si>
  <si>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</si>
  <si>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</si>
  <si>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</si>
  <si>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</si>
  <si>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</si>
  <si>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</si>
  <si>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</si>
  <si>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</si>
  <si>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</si>
  <si>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</si>
  <si>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</si>
  <si>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</si>
  <si>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</si>
  <si>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</si>
  <si>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</si>
  <si>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</si>
  <si>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</si>
  <si>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</si>
  <si>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</si>
  <si>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</si>
  <si>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</si>
  <si>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</si>
  <si>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</si>
  <si>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</si>
  <si>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</si>
  <si>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</si>
  <si>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</si>
  <si>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</si>
  <si>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</si>
  <si>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</si>
  <si>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</si>
  <si>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</si>
  <si>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</si>
  <si>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</si>
  <si>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</si>
  <si>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</si>
  <si>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</si>
  <si>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</si>
  <si>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</si>
  <si>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</si>
  <si>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</si>
  <si>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</si>
  <si>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</si>
  <si>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</si>
  <si>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</si>
  <si>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</si>
  <si>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</si>
  <si>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</si>
  <si>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</si>
  <si>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</si>
  <si>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</si>
  <si>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</si>
  <si>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</si>
  <si>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</si>
  <si>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</si>
  <si>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</si>
  <si>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</si>
  <si>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</si>
  <si>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</si>
  <si>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</si>
  <si>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</si>
  <si>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</si>
  <si>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</si>
  <si>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</si>
  <si>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</si>
  <si>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</si>
  <si>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</si>
  <si>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</si>
  <si>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</si>
  <si>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</si>
  <si>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</si>
  <si>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</si>
  <si>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</si>
  <si>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</si>
  <si>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</si>
  <si>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</si>
  <si>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</si>
  <si>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</si>
  <si>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</si>
  <si>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</si>
  <si>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</si>
  <si>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</si>
  <si>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</si>
  <si>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</si>
  <si>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</si>
  <si>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</si>
  <si>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</si>
  <si>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</si>
  <si>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</si>
  <si>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</si>
  <si>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</si>
  <si>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</si>
  <si>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</si>
  <si>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</si>
  <si>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</si>
  <si>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</si>
  <si>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</si>
  <si>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</si>
  <si>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</si>
  <si>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</si>
  <si>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</si>
  <si>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</si>
  <si>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</si>
  <si>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</si>
  <si>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</si>
  <si>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</si>
  <si>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</si>
  <si>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</si>
  <si>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</si>
  <si>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</si>
  <si>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</si>
  <si>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</si>
  <si>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</si>
  <si>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</si>
  <si>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</si>
  <si>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</si>
  <si>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</si>
  <si>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</si>
  <si>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</si>
  <si>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</si>
  <si>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</si>
  <si>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</si>
  <si>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</si>
  <si>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</si>
  <si>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</si>
  <si>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</si>
  <si>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</si>
  <si>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</si>
  <si>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</si>
  <si>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</si>
  <si>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</si>
  <si>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</si>
  <si>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</si>
  <si>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</si>
  <si>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</si>
  <si>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</si>
  <si>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</si>
  <si>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</si>
  <si>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</si>
  <si>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</si>
  <si>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</si>
  <si>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</si>
  <si>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</si>
  <si>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</si>
  <si>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</si>
  <si>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</si>
  <si>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</si>
  <si>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</si>
  <si>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</si>
  <si>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</si>
  <si>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</si>
  <si>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</si>
  <si>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</si>
  <si>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</si>
  <si>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</si>
  <si>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</si>
  <si>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</si>
  <si>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</si>
  <si>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</si>
  <si>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</si>
  <si>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</si>
  <si>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</si>
  <si>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</si>
  <si>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</si>
  <si>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</si>
  <si>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</si>
  <si>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</si>
  <si>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</si>
  <si>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</si>
  <si>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</si>
  <si>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</si>
  <si>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</si>
  <si>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</si>
  <si>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</si>
  <si>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</si>
  <si>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</si>
  <si>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</si>
  <si>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</si>
  <si>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</si>
  <si>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</si>
  <si>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</si>
  <si>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</si>
  <si>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</si>
  <si>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</si>
  <si>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</si>
  <si>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</si>
  <si>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</si>
  <si>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</si>
  <si>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</si>
  <si>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</si>
  <si>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</si>
  <si>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</si>
  <si>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</si>
  <si>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</si>
  <si>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</si>
  <si>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</si>
  <si>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</si>
  <si>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</si>
  <si>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</si>
  <si>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</si>
  <si>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</si>
  <si>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</si>
  <si>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</si>
  <si>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</si>
  <si>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</si>
  <si>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</si>
  <si>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</si>
  <si>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</si>
  <si>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</si>
  <si>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</si>
  <si>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</si>
  <si>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</si>
  <si>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</si>
  <si>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</si>
  <si>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</si>
  <si>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</si>
  <si>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</si>
  <si>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</si>
  <si>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</si>
  <si>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</si>
  <si>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</si>
  <si>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</si>
  <si>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</si>
  <si>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</si>
  <si>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</si>
  <si>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</si>
  <si>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</si>
  <si>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</si>
  <si>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</si>
  <si>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</si>
  <si>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</si>
  <si>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</si>
  <si>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</si>
  <si>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</si>
  <si>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</si>
  <si>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</si>
  <si>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</si>
  <si>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</si>
  <si>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</si>
  <si>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</si>
  <si>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</si>
  <si>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</si>
  <si>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</si>
  <si>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</si>
  <si>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</si>
  <si>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</si>
  <si>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</si>
  <si>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</si>
  <si>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</si>
  <si>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</si>
  <si>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</si>
  <si>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</si>
  <si>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</si>
  <si>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</si>
  <si>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</si>
  <si>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</si>
  <si>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</si>
  <si>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</si>
  <si>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</si>
  <si>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</si>
  <si>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</si>
  <si>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</si>
  <si>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</si>
  <si>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</si>
  <si>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</si>
  <si>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</si>
  <si>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</si>
  <si>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</si>
  <si>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</si>
  <si>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</si>
  <si>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</si>
  <si>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</si>
  <si>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</si>
  <si>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</si>
  <si>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</si>
  <si>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</si>
  <si>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</si>
  <si>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</si>
  <si>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</si>
  <si>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</si>
  <si>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</si>
  <si>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</si>
  <si>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</si>
  <si>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</si>
  <si>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</si>
  <si>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</si>
  <si>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</si>
  <si>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</si>
  <si>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</si>
  <si>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</si>
  <si>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</si>
  <si>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</si>
  <si>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</si>
  <si>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</si>
  <si>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</si>
  <si>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</si>
  <si>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</si>
  <si>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</si>
  <si>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</si>
  <si>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</si>
  <si>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</si>
  <si>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</si>
  <si>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</si>
  <si>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</si>
  <si>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</si>
  <si>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</si>
  <si>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</si>
  <si>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</si>
  <si>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</si>
  <si>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</si>
  <si>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</si>
  <si>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</si>
  <si>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</si>
  <si>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</si>
  <si>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</si>
  <si>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</si>
  <si>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</si>
  <si>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</si>
  <si>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</si>
  <si>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</si>
  <si>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</si>
  <si>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</si>
  <si>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</si>
  <si>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</si>
  <si>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</si>
  <si>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</si>
  <si>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</si>
  <si>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</si>
  <si>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</si>
  <si>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</si>
  <si>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</si>
  <si>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</si>
  <si>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</si>
  <si>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</si>
  <si>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</si>
  <si>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</si>
  <si>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</si>
  <si>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</si>
  <si>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</si>
  <si>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</si>
  <si>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</si>
  <si>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</si>
  <si>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</si>
  <si>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</si>
  <si>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</si>
  <si>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</si>
  <si>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</si>
  <si>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</si>
  <si>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</si>
  <si>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</si>
  <si>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</si>
  <si>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</si>
  <si>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</si>
  <si>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</si>
  <si>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</si>
  <si>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</si>
  <si>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</si>
  <si>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</si>
  <si>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</si>
  <si>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</si>
  <si>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</si>
  <si>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</si>
  <si>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</si>
  <si>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</si>
  <si>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</si>
  <si>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</si>
  <si>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</si>
  <si>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</si>
  <si>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</si>
  <si>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</si>
  <si>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</si>
  <si>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</si>
  <si>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</si>
  <si>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</si>
  <si>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</si>
  <si>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</si>
  <si>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</si>
  <si>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</si>
  <si>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</si>
  <si>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</si>
  <si>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</si>
  <si>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</si>
  <si>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</si>
  <si>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</si>
  <si>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</si>
  <si>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</si>
  <si>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</si>
  <si>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</si>
  <si>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</si>
  <si>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</si>
  <si>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</si>
  <si>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</si>
  <si>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</si>
  <si>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</si>
  <si>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</si>
  <si>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</si>
  <si>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</si>
  <si>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</si>
  <si>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</si>
  <si>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</si>
  <si>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</si>
  <si>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</si>
  <si>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</si>
  <si>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</si>
  <si>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</si>
  <si>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</si>
  <si>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</si>
  <si>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</si>
  <si>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</si>
  <si>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</si>
  <si>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</si>
  <si>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</si>
  <si>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</si>
  <si>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</si>
  <si>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</si>
  <si>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</si>
  <si>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</si>
  <si>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</si>
  <si>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</si>
  <si>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</si>
  <si>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</si>
  <si>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</si>
  <si>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</si>
  <si>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</si>
  <si>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</si>
  <si>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</si>
  <si>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</si>
  <si>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</si>
  <si>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</si>
  <si>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</si>
  <si>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</si>
  <si>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</si>
  <si>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</si>
  <si>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</si>
  <si>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</si>
  <si>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</si>
  <si>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</si>
  <si>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</si>
  <si>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</si>
  <si>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</si>
  <si>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</si>
  <si>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</si>
  <si>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</si>
  <si>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</si>
  <si>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</si>
  <si>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</si>
  <si>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</si>
  <si>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</si>
  <si>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</si>
  <si>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</si>
  <si>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</si>
  <si>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</si>
  <si>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</si>
  <si>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</si>
  <si>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</si>
  <si>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</si>
  <si>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</si>
  <si>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</si>
  <si>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</si>
  <si>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</si>
  <si>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</si>
  <si>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</si>
  <si>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</si>
  <si>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</si>
  <si>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</si>
  <si>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</si>
  <si>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</si>
  <si>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</si>
  <si>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</si>
  <si>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</si>
  <si>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</si>
  <si>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</si>
  <si>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</si>
  <si>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</si>
  <si>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</si>
  <si>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</si>
  <si>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</si>
  <si>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</si>
  <si>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</si>
  <si>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</si>
  <si>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</si>
  <si>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</si>
  <si>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</si>
  <si>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</si>
  <si>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</si>
  <si>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</si>
  <si>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</si>
  <si>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</si>
  <si>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</si>
  <si>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</si>
  <si>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</si>
  <si>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</si>
  <si>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</si>
  <si>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</si>
  <si>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</si>
  <si>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</si>
  <si>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</si>
  <si>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</si>
  <si>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</si>
  <si>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</si>
  <si>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</si>
  <si>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</si>
  <si>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</si>
  <si>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</si>
  <si>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</si>
  <si>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</si>
  <si>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</si>
  <si>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</si>
  <si>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</si>
  <si>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</si>
  <si>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</si>
  <si>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</si>
  <si>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</si>
  <si>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</si>
  <si>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</si>
  <si>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</si>
  <si>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</si>
  <si>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</si>
  <si>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</si>
  <si>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</si>
  <si>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</si>
  <si>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</si>
  <si>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</si>
  <si>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</si>
  <si>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</si>
  <si>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</si>
  <si>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</si>
  <si>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</si>
  <si>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</si>
  <si>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</si>
  <si>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</si>
  <si>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</si>
  <si>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</si>
  <si>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</si>
  <si>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</si>
  <si>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</si>
  <si>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</si>
  <si>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</si>
  <si>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</si>
  <si>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</si>
  <si>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</si>
  <si>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</si>
  <si>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</si>
  <si>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</si>
  <si>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</si>
  <si>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</si>
  <si>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</si>
  <si>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</si>
  <si>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</si>
  <si>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</si>
  <si>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</si>
  <si>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</si>
  <si>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</si>
  <si>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</si>
  <si>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</si>
  <si>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</si>
  <si>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</si>
  <si>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</si>
  <si>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</si>
  <si>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</si>
  <si>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</si>
  <si>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DO</t>
  </si>
  <si>
    <t/>
  </si>
  <si>
    <t>HR</t>
  </si>
  <si>
    <t>PT</t>
  </si>
  <si>
    <t>New Jersey Transit Corporation</t>
  </si>
  <si>
    <t>Newark</t>
  </si>
  <si>
    <t>Other Publicly-Owned or Privately Chartered Corporation</t>
  </si>
  <si>
    <t>LR</t>
  </si>
  <si>
    <t>CR</t>
  </si>
  <si>
    <t>Los Angeles</t>
  </si>
  <si>
    <t>Independent Public Agency or Authority of Transit Service</t>
  </si>
  <si>
    <t>Washington Metropolitan Area Transit Authority</t>
  </si>
  <si>
    <t>Seattle</t>
  </si>
  <si>
    <t>City, County or Local Government Unit or Department of Transportation</t>
  </si>
  <si>
    <t>W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</si>
  <si>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</si>
  <si>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</si>
  <si>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</si>
  <si>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</si>
  <si>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</si>
  <si>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</si>
  <si>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>Houston</t>
  </si>
  <si>
    <t>Maryland Transit Administration</t>
  </si>
  <si>
    <t>Baltimore</t>
  </si>
  <si>
    <t>State Government Unit or Department of Transportation</t>
  </si>
  <si>
    <t>Denver Regional Transportation District</t>
  </si>
  <si>
    <t>Denver</t>
  </si>
  <si>
    <t>San Juan</t>
  </si>
  <si>
    <t>Miami</t>
  </si>
  <si>
    <t>Metro-North Commuter Railroad Company, dba: MTA Metro-North Railroad</t>
  </si>
  <si>
    <t>Utah Transit Authority</t>
  </si>
  <si>
    <t>Salt Lake City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</si>
  <si>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</si>
  <si>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</si>
  <si>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</si>
  <si>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</si>
  <si>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</si>
  <si>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Phoenix</t>
  </si>
  <si>
    <t>San Francisco</t>
  </si>
  <si>
    <t>Portland</t>
  </si>
  <si>
    <t>San Diego Metropolitan Transit System</t>
  </si>
  <si>
    <t>San Diego</t>
  </si>
  <si>
    <t>Port Authority of Allegheny County</t>
  </si>
  <si>
    <t>Pittsburgh</t>
  </si>
  <si>
    <t>Minneapolis</t>
  </si>
  <si>
    <t>Metropolitan Atlanta Rapid Transit Authority</t>
  </si>
  <si>
    <t>Atlanta</t>
  </si>
  <si>
    <t>Oakland</t>
  </si>
  <si>
    <t>Santa Clara Valley Transportation Authority</t>
  </si>
  <si>
    <t>San Jose</t>
  </si>
  <si>
    <t>San Francisco Bay Area Rapid Transit District</t>
  </si>
  <si>
    <t>Q</t>
  </si>
  <si>
    <t>The Greater Cleveland Regional Transit Authority</t>
  </si>
  <si>
    <t>Cleveland</t>
  </si>
  <si>
    <t>City of Charlotte North Carolina, dba: Charlotte Area Transit System</t>
  </si>
  <si>
    <t>Charlotte</t>
  </si>
  <si>
    <t>Transportation District Commission of Hampton Roads, dba: Hampton Roads Transit</t>
  </si>
  <si>
    <t>Hampton</t>
  </si>
  <si>
    <t>Central Puget Sound Regional Transit Authority, dba: Sound Transit</t>
  </si>
  <si>
    <t>San Carlos</t>
  </si>
  <si>
    <t>Niagara Frontier Transportation Authority</t>
  </si>
  <si>
    <t>Buffalo</t>
  </si>
  <si>
    <t>Fort Worth Transportation Authority, dba: Trinity Metro</t>
  </si>
  <si>
    <t>Fort Worth</t>
  </si>
  <si>
    <t>Port Authority Trans-Hudson Corporation</t>
  </si>
  <si>
    <t>Sacramento Regional Transit District, dba: Sacramento RT</t>
  </si>
  <si>
    <t>Sacramento</t>
  </si>
  <si>
    <t>Madison</t>
  </si>
  <si>
    <t>North County Transit District</t>
  </si>
  <si>
    <t>Oceanside</t>
  </si>
  <si>
    <t>Southern California Regional Rail Authority, dba: Metrolink</t>
  </si>
  <si>
    <t>Albuquerque</t>
  </si>
  <si>
    <t>Alexandria</t>
  </si>
  <si>
    <t>Peninsula Corridor Joint Powers Board, dba: Caltrain</t>
  </si>
  <si>
    <t>Harrisburg</t>
  </si>
  <si>
    <t>Tallahassee</t>
  </si>
  <si>
    <t>Stockton</t>
  </si>
  <si>
    <t>Virginia Railway Express</t>
  </si>
  <si>
    <t>Port Authority Transit Corporation</t>
  </si>
  <si>
    <t>Lindenwold</t>
  </si>
  <si>
    <t>Pompano Beach</t>
  </si>
  <si>
    <t>Northern Indiana Commuter Transportation District</t>
  </si>
  <si>
    <t>Chesterton</t>
  </si>
  <si>
    <t>Rio Metro Regional Transit District</t>
  </si>
  <si>
    <t>Regional Transportation Authority</t>
  </si>
  <si>
    <t>Alternativa de Transporte Integrado -ATI</t>
  </si>
  <si>
    <t>Connecticut Department of Transportation</t>
  </si>
  <si>
    <t>Newington</t>
  </si>
  <si>
    <t>Staten Island</t>
  </si>
  <si>
    <t>Pennsylvania Department of Transportation</t>
  </si>
  <si>
    <t>Valley Metro Rail, Inc.</t>
  </si>
  <si>
    <t>Altamont Corridor Express</t>
  </si>
  <si>
    <t>Northern New England Passenger Rail Authority</t>
  </si>
  <si>
    <t>Petaluma</t>
  </si>
  <si>
    <t>Sonoma-Marin Area Rail Transit District</t>
  </si>
  <si>
    <t>Brooklyn</t>
  </si>
  <si>
    <t>Passenger Rail Scaling</t>
  </si>
  <si>
    <t>https://www.apta.com/research-technical-resources/transit-statistics/ntd-data-tables/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</si>
  <si>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</si>
  <si>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</si>
  <si>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</si>
  <si>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</si>
  <si>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</si>
  <si>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</si>
  <si>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</si>
  <si>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</si>
  <si>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</si>
  <si>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</si>
  <si>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</si>
  <si>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</si>
  <si>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</si>
  <si>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</si>
  <si>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</si>
  <si>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</si>
  <si>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</si>
  <si>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</si>
  <si>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</si>
  <si>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</si>
  <si>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</si>
  <si>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</si>
  <si>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</si>
  <si>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</si>
  <si>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</si>
  <si>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</si>
  <si>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</si>
  <si>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</si>
  <si>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</si>
  <si>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</si>
  <si>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</si>
  <si>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</si>
  <si>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</si>
  <si>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</si>
  <si>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</si>
  <si>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</si>
  <si>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</si>
  <si>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</si>
  <si>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</si>
  <si>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</si>
  <si>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</si>
  <si>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</si>
  <si>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</si>
  <si>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</si>
  <si>
    <t>National Transit Database Tables</t>
  </si>
  <si>
    <t>American Public Transportation Association</t>
  </si>
  <si>
    <t>No</t>
  </si>
  <si>
    <t>Los Angeles County Metropolitan Transportation Authority, dba: Metro</t>
  </si>
  <si>
    <t>Yes</t>
  </si>
  <si>
    <t>Metropolitan Transit Authority of Harris County, Texas, dba: Metro</t>
  </si>
  <si>
    <t>County of Miami-Dade, dba: Transportation &amp; Public Work</t>
  </si>
  <si>
    <t>City and County of San Francisco, dba: San Francisco Municipal Transportation Agency (MUNI)</t>
  </si>
  <si>
    <t>Tri-County Metropolitan Transportation District of Oregon, dba: TriMet</t>
  </si>
  <si>
    <t>Metro Transit, dba: Metro Transit</t>
  </si>
  <si>
    <t>Bi-State Development Agency of the Missouri-Illinois Metropolitan District, dba: St. Louis Metro</t>
  </si>
  <si>
    <t>Saint Louis</t>
  </si>
  <si>
    <t>South Florida Regional Transportation Authority, dba: TRI-Rail</t>
  </si>
  <si>
    <t>Staten Island Rapid Transit Operating Authority, dba: MTA Staten Island Railway</t>
  </si>
  <si>
    <t>Central Florida Commuter Rail, dba: SunRail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</si>
  <si>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</si>
  <si>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</si>
  <si>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</si>
  <si>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</si>
  <si>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</si>
  <si>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</si>
  <si>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</si>
  <si>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</si>
  <si>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</si>
  <si>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</si>
  <si>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</si>
  <si>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</si>
  <si>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</si>
  <si>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</si>
  <si>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</si>
  <si>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</si>
  <si>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</si>
  <si>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</si>
  <si>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</si>
  <si>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</si>
  <si>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</si>
  <si>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</si>
  <si>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</si>
  <si>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</si>
  <si>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</si>
  <si>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</si>
  <si>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</si>
  <si>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</si>
  <si>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</si>
  <si>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</si>
  <si>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</si>
  <si>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</si>
  <si>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</si>
  <si>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</si>
  <si>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</si>
  <si>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</si>
  <si>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</si>
  <si>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</si>
  <si>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</si>
  <si>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</si>
  <si>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</si>
  <si>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</si>
  <si>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</si>
  <si>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</si>
  <si>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</si>
  <si>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</si>
  <si>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</si>
  <si>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</si>
  <si>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</si>
  <si>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btu/gallon diesel</t>
  </si>
  <si>
    <t>btu/kwh</t>
  </si>
  <si>
    <t>Rail types</t>
  </si>
  <si>
    <t>Number of Vehicles and Miles</t>
  </si>
  <si>
    <t>Vehicle Fuel Use</t>
  </si>
  <si>
    <t>subregion</t>
  </si>
  <si>
    <t>% of miles diesel</t>
  </si>
  <si>
    <t>% of miles electric</t>
  </si>
  <si>
    <t>calc AVLO</t>
  </si>
  <si>
    <t>calc BAADTVBT</t>
  </si>
  <si>
    <t>SYVBT-diesel</t>
  </si>
  <si>
    <t>SYVBT-electric</t>
  </si>
  <si>
    <t>diesel (btus)</t>
  </si>
  <si>
    <t>electric (btu)</t>
  </si>
  <si>
    <t>calc SYFAFE-diesel</t>
  </si>
  <si>
    <t>calc SYFAFE-electric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</si>
  <si>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</si>
  <si>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</si>
  <si>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</si>
  <si>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</si>
  <si>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</si>
  <si>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</si>
  <si>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</si>
  <si>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</si>
  <si>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NA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</si>
  <si>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</si>
  <si>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</si>
  <si>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</si>
  <si>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</si>
  <si>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</si>
  <si>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</si>
  <si>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</si>
  <si>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</si>
  <si>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</si>
  <si>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</si>
  <si>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</si>
  <si>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</si>
  <si>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</si>
  <si>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</si>
  <si>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</si>
  <si>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</si>
  <si>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</si>
  <si>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</si>
  <si>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</si>
  <si>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</si>
  <si>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</si>
  <si>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</si>
  <si>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</si>
  <si>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</si>
  <si>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</si>
  <si>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</si>
  <si>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</si>
  <si>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</si>
  <si>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</si>
  <si>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</si>
  <si>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</si>
  <si>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</si>
  <si>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</si>
  <si>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</si>
  <si>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</si>
  <si>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</si>
  <si>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</si>
  <si>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</si>
  <si>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</si>
  <si>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</si>
  <si>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</si>
  <si>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</si>
  <si>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totals</t>
  </si>
  <si>
    <t>CHECK</t>
  </si>
  <si>
    <t>SYFAFE-psgr</t>
  </si>
  <si>
    <t>SYFAFE-frgt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</si>
</sst>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  <xf numFmtId="43" fontId="5" fillId="0" borderId="0" applyFont="0" applyFill="0" applyBorder="0" applyAlignment="0" applyProtection="0"/>
    <xf numFmtId="43" fontId="3" fillId="0" borderId="0"/>
    <xf numFmtId="9" fontId="5" fillId="0" borderId="0" applyFont="0" applyFill="0" applyBorder="0" applyAlignment="0" applyProtection="0"/>
    <xf numFmtId="43" fontId="3" fillId="0" borderId="0"/>
  </cellStyleXfs>
  <cellXfs count="194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" fontId="54" fillId="0" borderId="0" xfId="0" applyNumberFormat="1" applyFont="1"/>
    <xf numFmtId="169" fontId="54" fillId="0" borderId="0" xfId="0" applyNumberFormat="1" applyFont="1"/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0" fontId="2" fillId="0" borderId="0" xfId="1" applyAlignment="1">
      <alignment horizontal="left"/>
    </xf>
    <xf numFmtId="3" fontId="53" fillId="42" borderId="0" xfId="0" applyNumberFormat="1" applyFont="1" applyFill="1" applyAlignment="1">
      <alignment wrapText="1"/>
    </xf>
    <xf numFmtId="0" fontId="53" fillId="42" borderId="0" xfId="0" applyFont="1" applyFill="1" applyAlignment="1">
      <alignment wrapText="1"/>
    </xf>
    <xf numFmtId="165" fontId="53" fillId="41" borderId="0" xfId="157" applyNumberFormat="1" applyFont="1" applyFill="1" applyBorder="1" applyAlignment="1">
      <alignment wrapText="1"/>
    </xf>
    <xf numFmtId="37" fontId="53" fillId="41" borderId="0" xfId="157" applyNumberFormat="1" applyFont="1" applyFill="1" applyBorder="1" applyAlignment="1">
      <alignment wrapText="1"/>
    </xf>
    <xf numFmtId="37" fontId="53" fillId="42" borderId="0" xfId="157" applyNumberFormat="1" applyFont="1" applyFill="1" applyBorder="1" applyAlignment="1">
      <alignment wrapText="1"/>
    </xf>
    <xf numFmtId="37" fontId="54" fillId="0" borderId="0" xfId="157" applyNumberFormat="1" applyFont="1"/>
    <xf numFmtId="165" fontId="54" fillId="0" borderId="0" xfId="157" applyNumberFormat="1" applyFont="1"/>
    <xf numFmtId="3" fontId="54" fillId="42" borderId="0" xfId="157" applyNumberFormat="1" applyFont="1" applyFill="1"/>
    <xf numFmtId="43" fontId="54" fillId="0" borderId="0" xfId="157" applyFont="1"/>
    <xf numFmtId="37" fontId="54" fillId="42" borderId="0" xfId="157" applyNumberFormat="1" applyFont="1" applyFill="1"/>
    <xf numFmtId="37" fontId="54" fillId="0" borderId="0" xfId="157" applyNumberFormat="1" applyFont="1" applyBorder="1"/>
    <xf numFmtId="3" fontId="0" fillId="42" borderId="0" xfId="0" applyNumberFormat="1" applyFill="1"/>
    <xf numFmtId="0" fontId="0" fillId="42" borderId="0" xfId="0" applyFill="1"/>
    <xf numFmtId="3" fontId="0" fillId="0" borderId="0" xfId="0" applyNumberFormat="1"/>
    <xf numFmtId="9" fontId="0" fillId="0" borderId="0" xfId="159" applyFont="1"/>
    <xf numFmtId="0" fontId="1" fillId="42" borderId="0" xfId="0" applyFont="1" applyFill="1"/>
    <xf numFmtId="0" fontId="1" fillId="44" borderId="0" xfId="0" applyFont="1" applyFill="1"/>
    <xf numFmtId="0" fontId="0" fillId="44" borderId="0" xfId="0" applyFill="1"/>
    <xf numFmtId="0" fontId="1" fillId="45" borderId="0" xfId="0" applyFont="1" applyFill="1"/>
    <xf numFmtId="0" fontId="0" fillId="45" borderId="0" xfId="0" applyFill="1"/>
    <xf numFmtId="165" fontId="0" fillId="0" borderId="0" xfId="157" applyNumberFormat="1" applyFont="1"/>
    <xf numFmtId="0" fontId="1" fillId="46" borderId="0" xfId="0" applyFont="1" applyFill="1"/>
    <xf numFmtId="166" fontId="0" fillId="46" borderId="0" xfId="157" applyNumberFormat="1" applyFont="1" applyFill="1"/>
    <xf numFmtId="165" fontId="0" fillId="46" borderId="0" xfId="157" applyNumberFormat="1" applyFont="1" applyFill="1"/>
    <xf numFmtId="0" fontId="0" fillId="46" borderId="0" xfId="0" applyFill="1"/>
    <xf numFmtId="166" fontId="1" fillId="2" borderId="0" xfId="157" applyNumberFormat="1" applyFont="1" applyFill="1"/>
    <xf numFmtId="165" fontId="1" fillId="2" borderId="0" xfId="157" applyNumberFormat="1" applyFont="1" applyFill="1"/>
    <xf numFmtId="165" fontId="5" fillId="2" borderId="0" xfId="157" applyNumberFormat="1" applyFont="1" applyFill="1"/>
    <xf numFmtId="11" fontId="1" fillId="2" borderId="0" xfId="0" applyNumberFormat="1" applyFont="1" applyFill="1"/>
    <xf numFmtId="43" fontId="0" fillId="0" borderId="0" xfId="157" applyFont="1"/>
    <xf numFmtId="0" fontId="53" fillId="43" borderId="0" xfId="2" applyFont="1" applyFill="1"/>
    <xf numFmtId="0" fontId="53" fillId="43" borderId="0" xfId="2" applyFont="1" applyFill="1" applyAlignment="1">
      <alignment horizontal="left" wrapText="1"/>
    </xf>
    <xf numFmtId="170" fontId="53" fillId="43" borderId="0" xfId="2" applyNumberFormat="1" applyFont="1" applyFill="1" applyAlignment="1">
      <alignment horizontal="left" wrapText="1"/>
    </xf>
    <xf numFmtId="171" fontId="53" fillId="43" borderId="0" xfId="2" applyNumberFormat="1" applyFont="1" applyFill="1" applyAlignment="1">
      <alignment horizontal="left" wrapText="1"/>
    </xf>
    <xf numFmtId="0" fontId="53" fillId="43" borderId="0" xfId="2" applyFont="1" applyFill="1" applyAlignment="1">
      <alignment wrapText="1"/>
    </xf>
    <xf numFmtId="3" fontId="53" fillId="43" borderId="0" xfId="2" applyNumberFormat="1" applyFont="1" applyFill="1" applyAlignment="1">
      <alignment wrapText="1"/>
    </xf>
    <xf numFmtId="3" fontId="57" fillId="38" borderId="24" xfId="2" applyNumberFormat="1" applyFont="1" applyFill="1" applyBorder="1" applyAlignment="1">
      <alignment wrapText="1"/>
    </xf>
    <xf numFmtId="3" fontId="57" fillId="38" borderId="0" xfId="2" applyNumberFormat="1" applyFont="1" applyFill="1" applyAlignment="1">
      <alignment wrapText="1"/>
    </xf>
    <xf numFmtId="0" fontId="53" fillId="43" borderId="24" xfId="2" applyFont="1" applyFill="1" applyBorder="1" applyAlignment="1">
      <alignment wrapText="1"/>
    </xf>
    <xf numFmtId="2" fontId="53" fillId="43" borderId="0" xfId="2" applyNumberFormat="1" applyFont="1" applyFill="1" applyAlignment="1">
      <alignment wrapText="1"/>
    </xf>
    <xf numFmtId="0" fontId="58" fillId="0" borderId="0" xfId="2" applyFont="1"/>
    <xf numFmtId="0" fontId="58" fillId="0" borderId="0" xfId="2" applyFont="1" applyAlignment="1">
      <alignment horizontal="left"/>
    </xf>
    <xf numFmtId="170" fontId="58" fillId="0" borderId="0" xfId="2" quotePrefix="1" applyNumberFormat="1" applyFont="1" applyAlignment="1">
      <alignment horizontal="left"/>
    </xf>
    <xf numFmtId="171" fontId="58" fillId="0" borderId="0" xfId="2" quotePrefix="1" applyNumberFormat="1" applyFont="1" applyAlignment="1">
      <alignment horizontal="left"/>
    </xf>
    <xf numFmtId="3" fontId="58" fillId="0" borderId="0" xfId="2" applyNumberFormat="1" applyFont="1" applyAlignment="1">
      <alignment horizontal="right" wrapText="1"/>
    </xf>
    <xf numFmtId="3" fontId="58" fillId="0" borderId="0" xfId="2" applyNumberFormat="1" applyFont="1" applyAlignment="1">
      <alignment horizontal="right"/>
    </xf>
    <xf numFmtId="165" fontId="58" fillId="0" borderId="0" xfId="160" applyNumberFormat="1" applyFont="1"/>
    <xf numFmtId="169" fontId="58" fillId="0" borderId="0" xfId="160" applyNumberFormat="1" applyFont="1"/>
    <xf numFmtId="3" fontId="58" fillId="0" borderId="0" xfId="160" applyNumberFormat="1" applyFont="1" applyAlignment="1">
      <alignment horizontal="right"/>
    </xf>
    <xf numFmtId="3" fontId="58" fillId="0" borderId="0" xfId="2" applyNumberFormat="1" applyFont="1"/>
    <xf numFmtId="3" fontId="58" fillId="0" borderId="24" xfId="2" applyNumberFormat="1" applyFont="1" applyBorder="1"/>
    <xf numFmtId="0" fontId="58" fillId="0" borderId="24" xfId="2" applyFont="1" applyBorder="1"/>
    <xf numFmtId="2" fontId="58" fillId="0" borderId="0" xfId="2" applyNumberFormat="1" applyFont="1"/>
  </cellXfs>
  <cellStyles count="161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2 3" xfId="160" xr:uid="{4C697D29-3CF0-4B8F-8891-2E97A8146A72}"/>
    <cellStyle name="Comma 2 4" xfId="158" xr:uid="{FED514EC-329C-4E0F-8A10-FA4E21030B04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mma 9" xfId="157" xr:uid="{BFDF5FF0-B1F5-4CFB-AB6A-C8223C7B1B92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Percent 5" xfId="159" xr:uid="{73E91ACF-E1C1-4E54-B086-32DA7382F67F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pta.com/research-technical-resources/transit-statistics/ntd-data-tables/" TargetMode="External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ColWidth="8.86328125" defaultRowHeight="14.75"/>
  <cols>
    <col min="1" max="1" width="11" bestFit="1" customWidth="1"/>
    <col min="2" max="2" width="51.7265625" customWidth="1"/>
    <col min="4" max="4" width="38.40625" customWidth="1"/>
  </cols>
  <sheetData>
    <row r="1" spans="1:6">
      <c r="A1" s="16" t="s">
        <v>0</v>
      </c>
      <c r="B1" s="75" t="s">
        <v>111</v>
      </c>
      <c r="C1" s="35">
        <v>45310</v>
      </c>
      <c r="E1" s="74" t="s">
        <v>130</v>
      </c>
      <c r="F1" s="74" t="s">
        <v>130</v>
      </c>
    </row>
    <row r="2" spans="1:6">
      <c r="B2" t="str">
        <f>LOOKUP(B1,E2:F51,F2:F51)</f>
        <v>WI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1698</v>
      </c>
      <c r="E10" s="75" t="s">
        <v>91</v>
      </c>
      <c r="F10" s="75" t="s">
        <v>356</v>
      </c>
    </row>
    <row r="11" spans="1:6">
      <c r="B11" t="s">
        <v>11</v>
      </c>
      <c r="D11" s="7" t="s">
        <v>1744</v>
      </c>
      <c r="E11" s="75" t="s">
        <v>92</v>
      </c>
      <c r="F11" s="75" t="s">
        <v>357</v>
      </c>
    </row>
    <row r="12" spans="1:6">
      <c r="B12" s="7">
        <v>2016</v>
      </c>
      <c r="D12" s="7" t="s">
        <v>1745</v>
      </c>
      <c r="E12" s="75" t="s">
        <v>125</v>
      </c>
      <c r="F12" s="75" t="s">
        <v>358</v>
      </c>
    </row>
    <row r="13" spans="1:6">
      <c r="B13" t="s">
        <v>12</v>
      </c>
      <c r="D13" s="7">
        <v>2020</v>
      </c>
      <c r="E13" s="75" t="s">
        <v>119</v>
      </c>
      <c r="F13" s="75" t="s">
        <v>360</v>
      </c>
    </row>
    <row r="14" spans="1:6">
      <c r="B14" s="1" t="s">
        <v>13</v>
      </c>
      <c r="D14" s="140" t="s">
        <v>1699</v>
      </c>
      <c r="E14" s="75" t="s">
        <v>97</v>
      </c>
      <c r="F14" s="75" t="s">
        <v>361</v>
      </c>
    </row>
    <row r="15" spans="1:6">
      <c r="B15" t="s">
        <v>14</v>
      </c>
      <c r="D15" s="131"/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  <hyperlink ref="D14" r:id="rId2" xr:uid="{31027297-9229-493C-842D-264D9EC74837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workbookViewId="0">
      <selection activeCell="M6" sqref="M6"/>
    </sheetView>
  </sheetViews>
  <sheetFormatPr defaultRowHeight="14.75"/>
  <sheetData>
    <row r="1" spans="1:11">
      <c r="A1" s="16"/>
      <c r="B1" s="16" t="s">
        <v>30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1431</v>
      </c>
      <c r="D2" s="16">
        <v>159</v>
      </c>
      <c r="E2" s="16">
        <v>414543</v>
      </c>
      <c r="F2" s="16">
        <v>1766</v>
      </c>
      <c r="G2" s="16">
        <v>991</v>
      </c>
      <c r="H2" s="16">
        <v>134</v>
      </c>
      <c r="I2" s="16">
        <v>12</v>
      </c>
      <c r="J2" s="16" t="s">
        <v>132</v>
      </c>
      <c r="K2" s="16" t="s">
        <v>1743</v>
      </c>
    </row>
    <row r="3" spans="1:11">
      <c r="A3" s="16">
        <v>1</v>
      </c>
      <c r="B3" s="16" t="s">
        <v>39</v>
      </c>
      <c r="C3" s="16">
        <v>3</v>
      </c>
      <c r="D3" s="16">
        <v>1217</v>
      </c>
      <c r="E3" s="16">
        <v>857</v>
      </c>
      <c r="F3" s="16">
        <v>6485</v>
      </c>
      <c r="G3" s="16">
        <v>0</v>
      </c>
      <c r="H3" s="16">
        <v>62</v>
      </c>
      <c r="I3" s="16">
        <v>1</v>
      </c>
      <c r="J3" s="16" t="s">
        <v>132</v>
      </c>
      <c r="K3" s="16" t="s">
        <v>1743</v>
      </c>
    </row>
    <row r="4" spans="1:11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32</v>
      </c>
      <c r="G4" s="16">
        <v>0</v>
      </c>
      <c r="H4" s="16">
        <v>0</v>
      </c>
      <c r="I4" s="16">
        <v>0</v>
      </c>
      <c r="J4" s="16" t="s">
        <v>132</v>
      </c>
      <c r="K4" s="16" t="s">
        <v>1743</v>
      </c>
    </row>
    <row r="5" spans="1:11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1743</v>
      </c>
    </row>
    <row r="6" spans="1:11">
      <c r="A6" s="16">
        <v>4</v>
      </c>
      <c r="B6" s="16" t="s">
        <v>42</v>
      </c>
      <c r="C6" s="16">
        <v>0</v>
      </c>
      <c r="D6" s="16">
        <v>0</v>
      </c>
      <c r="E6" s="16">
        <v>45698</v>
      </c>
      <c r="F6" s="16">
        <v>10776</v>
      </c>
      <c r="G6" s="16">
        <v>0</v>
      </c>
      <c r="H6" s="16">
        <v>0</v>
      </c>
      <c r="I6" s="16">
        <v>0</v>
      </c>
      <c r="J6" s="16" t="s">
        <v>132</v>
      </c>
      <c r="K6" s="16" t="s">
        <v>1743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24699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1743</v>
      </c>
    </row>
    <row r="8" spans="1:11">
      <c r="A8" s="16">
        <v>0</v>
      </c>
      <c r="B8" s="16" t="s">
        <v>38</v>
      </c>
      <c r="C8" s="16">
        <v>17015</v>
      </c>
      <c r="D8" s="16">
        <v>1897</v>
      </c>
      <c r="E8" s="16">
        <v>4930062</v>
      </c>
      <c r="F8" s="16">
        <v>21000</v>
      </c>
      <c r="G8" s="16">
        <v>11790</v>
      </c>
      <c r="H8" s="16">
        <v>1588</v>
      </c>
      <c r="I8" s="16">
        <v>148</v>
      </c>
      <c r="J8" s="16" t="s">
        <v>348</v>
      </c>
      <c r="K8" s="16" t="s">
        <v>1743</v>
      </c>
    </row>
    <row r="9" spans="1:11">
      <c r="A9" s="16">
        <v>1</v>
      </c>
      <c r="B9" s="16" t="s">
        <v>39</v>
      </c>
      <c r="C9" s="16">
        <v>2</v>
      </c>
      <c r="D9" s="16">
        <v>794</v>
      </c>
      <c r="E9" s="16">
        <v>559</v>
      </c>
      <c r="F9" s="16">
        <v>4231</v>
      </c>
      <c r="G9" s="16">
        <v>0</v>
      </c>
      <c r="H9" s="16">
        <v>40</v>
      </c>
      <c r="I9" s="16">
        <v>0</v>
      </c>
      <c r="J9" s="16" t="s">
        <v>348</v>
      </c>
      <c r="K9" s="16" t="s">
        <v>1743</v>
      </c>
    </row>
    <row r="10" spans="1:11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17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1743</v>
      </c>
    </row>
    <row r="11" spans="1:11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1743</v>
      </c>
    </row>
    <row r="12" spans="1:11">
      <c r="A12" s="16">
        <v>4</v>
      </c>
      <c r="B12" s="16" t="s">
        <v>42</v>
      </c>
      <c r="C12" s="16">
        <v>0</v>
      </c>
      <c r="D12" s="16">
        <v>0</v>
      </c>
      <c r="E12" s="16">
        <v>219653</v>
      </c>
      <c r="F12" s="16">
        <v>51798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1743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165746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1743</v>
      </c>
    </row>
    <row r="14" spans="1:11">
      <c r="A14" s="16">
        <v>0</v>
      </c>
      <c r="B14" s="16" t="s">
        <v>38</v>
      </c>
      <c r="C14" s="16">
        <v>7293</v>
      </c>
      <c r="D14" s="16">
        <v>813</v>
      </c>
      <c r="E14" s="16">
        <v>2113206</v>
      </c>
      <c r="F14" s="16">
        <v>9001</v>
      </c>
      <c r="G14" s="16">
        <v>5053</v>
      </c>
      <c r="H14" s="16">
        <v>681</v>
      </c>
      <c r="I14" s="16">
        <v>63</v>
      </c>
      <c r="J14" s="16" t="s">
        <v>349</v>
      </c>
      <c r="K14" s="16" t="s">
        <v>1743</v>
      </c>
    </row>
    <row r="15" spans="1:11">
      <c r="A15" s="16">
        <v>1</v>
      </c>
      <c r="B15" s="16" t="s">
        <v>39</v>
      </c>
      <c r="C15" s="16">
        <v>4</v>
      </c>
      <c r="D15" s="16">
        <v>1700</v>
      </c>
      <c r="E15" s="16">
        <v>1197</v>
      </c>
      <c r="F15" s="16">
        <v>9061</v>
      </c>
      <c r="G15" s="16">
        <v>0</v>
      </c>
      <c r="H15" s="16">
        <v>86</v>
      </c>
      <c r="I15" s="16">
        <v>1</v>
      </c>
      <c r="J15" s="16" t="s">
        <v>349</v>
      </c>
      <c r="K15" s="16" t="s">
        <v>1743</v>
      </c>
    </row>
    <row r="16" spans="1:11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13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1743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1743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173973</v>
      </c>
      <c r="F18" s="16">
        <v>41026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1743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90761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1743</v>
      </c>
    </row>
    <row r="20" spans="1:11">
      <c r="A20" s="16">
        <v>0</v>
      </c>
      <c r="B20" s="16" t="s">
        <v>38</v>
      </c>
      <c r="C20" s="16">
        <v>20147</v>
      </c>
      <c r="D20" s="16">
        <v>2246</v>
      </c>
      <c r="E20" s="16">
        <v>5837516</v>
      </c>
      <c r="F20" s="16">
        <v>24865</v>
      </c>
      <c r="G20" s="16">
        <v>13960</v>
      </c>
      <c r="H20" s="16">
        <v>1880</v>
      </c>
      <c r="I20" s="16">
        <v>175</v>
      </c>
      <c r="J20" s="16" t="s">
        <v>350</v>
      </c>
      <c r="K20" s="16" t="s">
        <v>1743</v>
      </c>
    </row>
    <row r="21" spans="1:11">
      <c r="A21" s="16">
        <v>1</v>
      </c>
      <c r="B21" s="16" t="s">
        <v>39</v>
      </c>
      <c r="C21" s="16">
        <v>3</v>
      </c>
      <c r="D21" s="16">
        <v>1198</v>
      </c>
      <c r="E21" s="16">
        <v>843</v>
      </c>
      <c r="F21" s="16">
        <v>6384</v>
      </c>
      <c r="G21" s="16">
        <v>0</v>
      </c>
      <c r="H21" s="16">
        <v>61</v>
      </c>
      <c r="I21" s="16">
        <v>1</v>
      </c>
      <c r="J21" s="16" t="s">
        <v>350</v>
      </c>
      <c r="K21" s="16" t="s">
        <v>1743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154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1743</v>
      </c>
    </row>
    <row r="23" spans="1:11">
      <c r="A23" s="16">
        <v>3</v>
      </c>
      <c r="B23" s="16" t="s">
        <v>41</v>
      </c>
      <c r="C23" s="16">
        <v>17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1743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116612</v>
      </c>
      <c r="F24" s="16">
        <v>27499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1743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188595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1743</v>
      </c>
    </row>
    <row r="26" spans="1:11">
      <c r="A26" s="16">
        <v>0</v>
      </c>
      <c r="B26" s="16" t="s">
        <v>38</v>
      </c>
      <c r="C26" s="16">
        <v>118719</v>
      </c>
      <c r="D26" s="16">
        <v>13233</v>
      </c>
      <c r="E26" s="16">
        <v>34398455</v>
      </c>
      <c r="F26" s="16">
        <v>146521</v>
      </c>
      <c r="G26" s="16">
        <v>82259</v>
      </c>
      <c r="H26" s="16">
        <v>11078</v>
      </c>
      <c r="I26" s="16">
        <v>1032</v>
      </c>
      <c r="J26" s="16" t="s">
        <v>351</v>
      </c>
      <c r="K26" s="16" t="s">
        <v>1743</v>
      </c>
    </row>
    <row r="27" spans="1:11">
      <c r="A27" s="16">
        <v>1</v>
      </c>
      <c r="B27" s="16" t="s">
        <v>39</v>
      </c>
      <c r="C27" s="16">
        <v>30</v>
      </c>
      <c r="D27" s="16">
        <v>14233</v>
      </c>
      <c r="E27" s="16">
        <v>10020</v>
      </c>
      <c r="F27" s="16">
        <v>75852</v>
      </c>
      <c r="G27" s="16">
        <v>0</v>
      </c>
      <c r="H27" s="16">
        <v>723</v>
      </c>
      <c r="I27" s="16">
        <v>9</v>
      </c>
      <c r="J27" s="16" t="s">
        <v>351</v>
      </c>
      <c r="K27" s="16" t="s">
        <v>1743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717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1743</v>
      </c>
    </row>
    <row r="29" spans="1:11">
      <c r="A29" s="16">
        <v>3</v>
      </c>
      <c r="B29" s="16" t="s">
        <v>41</v>
      </c>
      <c r="C29" s="16">
        <v>421</v>
      </c>
      <c r="D29" s="16">
        <v>0</v>
      </c>
      <c r="E29" s="16">
        <v>0</v>
      </c>
      <c r="F29" s="16">
        <v>20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1743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705565</v>
      </c>
      <c r="F30" s="16">
        <v>166386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1743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947004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1743</v>
      </c>
    </row>
    <row r="32" spans="1:11">
      <c r="A32" s="16">
        <v>0</v>
      </c>
      <c r="B32" s="16" t="s">
        <v>38</v>
      </c>
      <c r="C32" s="16">
        <v>13702</v>
      </c>
      <c r="D32" s="16">
        <v>1527</v>
      </c>
      <c r="E32" s="16">
        <v>3970033</v>
      </c>
      <c r="F32" s="16">
        <v>16910</v>
      </c>
      <c r="G32" s="16">
        <v>9494</v>
      </c>
      <c r="H32" s="16">
        <v>1279</v>
      </c>
      <c r="I32" s="16">
        <v>119</v>
      </c>
      <c r="J32" s="16" t="s">
        <v>352</v>
      </c>
      <c r="K32" s="16" t="s">
        <v>1743</v>
      </c>
    </row>
    <row r="33" spans="1:11">
      <c r="A33" s="16">
        <v>1</v>
      </c>
      <c r="B33" s="16" t="s">
        <v>39</v>
      </c>
      <c r="C33" s="16">
        <v>4</v>
      </c>
      <c r="D33" s="16">
        <v>1937</v>
      </c>
      <c r="E33" s="16">
        <v>1363</v>
      </c>
      <c r="F33" s="16">
        <v>10321</v>
      </c>
      <c r="G33" s="16">
        <v>0</v>
      </c>
      <c r="H33" s="16">
        <v>98</v>
      </c>
      <c r="I33" s="16">
        <v>1</v>
      </c>
      <c r="J33" s="16" t="s">
        <v>352</v>
      </c>
      <c r="K33" s="16" t="s">
        <v>1743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212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1743</v>
      </c>
    </row>
    <row r="35" spans="1:11">
      <c r="A35" s="16">
        <v>3</v>
      </c>
      <c r="B35" s="16" t="s">
        <v>41</v>
      </c>
      <c r="C35" s="16">
        <v>56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1743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73078</v>
      </c>
      <c r="F36" s="16">
        <v>17233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1743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166692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1743</v>
      </c>
    </row>
    <row r="38" spans="1:11">
      <c r="A38" s="16">
        <v>0</v>
      </c>
      <c r="B38" s="16" t="s">
        <v>38</v>
      </c>
      <c r="C38" s="16">
        <v>10125</v>
      </c>
      <c r="D38" s="16">
        <v>1129</v>
      </c>
      <c r="E38" s="16">
        <v>2933683</v>
      </c>
      <c r="F38" s="16">
        <v>12496</v>
      </c>
      <c r="G38" s="16">
        <v>7015</v>
      </c>
      <c r="H38" s="16">
        <v>945</v>
      </c>
      <c r="I38" s="16">
        <v>88</v>
      </c>
      <c r="J38" s="16" t="s">
        <v>353</v>
      </c>
      <c r="K38" s="16" t="s">
        <v>1743</v>
      </c>
    </row>
    <row r="39" spans="1:11">
      <c r="A39" s="16">
        <v>1</v>
      </c>
      <c r="B39" s="16" t="s">
        <v>39</v>
      </c>
      <c r="C39" s="16">
        <v>3</v>
      </c>
      <c r="D39" s="16">
        <v>1662</v>
      </c>
      <c r="E39" s="16">
        <v>1170</v>
      </c>
      <c r="F39" s="16">
        <v>8857</v>
      </c>
      <c r="G39" s="16">
        <v>0</v>
      </c>
      <c r="H39" s="16">
        <v>84</v>
      </c>
      <c r="I39" s="16">
        <v>1</v>
      </c>
      <c r="J39" s="16" t="s">
        <v>353</v>
      </c>
      <c r="K39" s="16" t="s">
        <v>1743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20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1743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5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1743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94183</v>
      </c>
      <c r="F42" s="16">
        <v>22210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1743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89334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1743</v>
      </c>
    </row>
    <row r="44" spans="1:11">
      <c r="A44" s="16">
        <v>0</v>
      </c>
      <c r="B44" s="16" t="s">
        <v>38</v>
      </c>
      <c r="C44" s="16">
        <v>3477</v>
      </c>
      <c r="D44" s="16">
        <v>388</v>
      </c>
      <c r="E44" s="16">
        <v>1007424</v>
      </c>
      <c r="F44" s="16">
        <v>4291</v>
      </c>
      <c r="G44" s="16">
        <v>2409</v>
      </c>
      <c r="H44" s="16">
        <v>324</v>
      </c>
      <c r="I44" s="16">
        <v>30</v>
      </c>
      <c r="J44" s="16" t="s">
        <v>355</v>
      </c>
      <c r="K44" s="16" t="s">
        <v>1743</v>
      </c>
    </row>
    <row r="45" spans="1:11">
      <c r="A45" s="16">
        <v>1</v>
      </c>
      <c r="B45" s="16" t="s">
        <v>39</v>
      </c>
      <c r="C45" s="16">
        <v>1</v>
      </c>
      <c r="D45" s="16">
        <v>545</v>
      </c>
      <c r="E45" s="16">
        <v>384</v>
      </c>
      <c r="F45" s="16">
        <v>2903</v>
      </c>
      <c r="G45" s="16">
        <v>0</v>
      </c>
      <c r="H45" s="16">
        <v>28</v>
      </c>
      <c r="I45" s="16">
        <v>0</v>
      </c>
      <c r="J45" s="16" t="s">
        <v>355</v>
      </c>
      <c r="K45" s="16" t="s">
        <v>1743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1743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1743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52913</v>
      </c>
      <c r="F48" s="16">
        <v>12478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1743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31945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1743</v>
      </c>
    </row>
    <row r="50" spans="1:11">
      <c r="A50" s="16">
        <v>0</v>
      </c>
      <c r="B50" s="16" t="s">
        <v>38</v>
      </c>
      <c r="C50" s="16">
        <v>65553</v>
      </c>
      <c r="D50" s="16">
        <v>7307</v>
      </c>
      <c r="E50" s="16">
        <v>18993712</v>
      </c>
      <c r="F50" s="16">
        <v>80904</v>
      </c>
      <c r="G50" s="16">
        <v>45421</v>
      </c>
      <c r="H50" s="16">
        <v>6117</v>
      </c>
      <c r="I50" s="16">
        <v>570</v>
      </c>
      <c r="J50" s="16" t="s">
        <v>356</v>
      </c>
      <c r="K50" s="16" t="s">
        <v>1743</v>
      </c>
    </row>
    <row r="51" spans="1:11">
      <c r="A51" s="16">
        <v>1</v>
      </c>
      <c r="B51" s="16" t="s">
        <v>39</v>
      </c>
      <c r="C51" s="16">
        <v>18</v>
      </c>
      <c r="D51" s="16">
        <v>8494</v>
      </c>
      <c r="E51" s="16">
        <v>5980</v>
      </c>
      <c r="F51" s="16">
        <v>45267</v>
      </c>
      <c r="G51" s="16">
        <v>0</v>
      </c>
      <c r="H51" s="16">
        <v>431</v>
      </c>
      <c r="I51" s="16">
        <v>5</v>
      </c>
      <c r="J51" s="16" t="s">
        <v>356</v>
      </c>
      <c r="K51" s="16" t="s">
        <v>1743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569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1743</v>
      </c>
    </row>
    <row r="53" spans="1:11">
      <c r="A53" s="16">
        <v>3</v>
      </c>
      <c r="B53" s="16" t="s">
        <v>41</v>
      </c>
      <c r="C53" s="16">
        <v>9</v>
      </c>
      <c r="D53" s="16">
        <v>0</v>
      </c>
      <c r="E53" s="16">
        <v>0</v>
      </c>
      <c r="F53" s="16">
        <v>26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1743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763903</v>
      </c>
      <c r="F54" s="16">
        <v>180143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1743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575229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1743</v>
      </c>
    </row>
    <row r="56" spans="1:11">
      <c r="A56" s="16">
        <v>0</v>
      </c>
      <c r="B56" s="16" t="s">
        <v>38</v>
      </c>
      <c r="C56" s="16">
        <v>29221</v>
      </c>
      <c r="D56" s="16">
        <v>3257</v>
      </c>
      <c r="E56" s="16">
        <v>8466565</v>
      </c>
      <c r="F56" s="16">
        <v>36064</v>
      </c>
      <c r="G56" s="16">
        <v>20247</v>
      </c>
      <c r="H56" s="16">
        <v>2727</v>
      </c>
      <c r="I56" s="16">
        <v>254</v>
      </c>
      <c r="J56" s="16" t="s">
        <v>357</v>
      </c>
      <c r="K56" s="16" t="s">
        <v>1743</v>
      </c>
    </row>
    <row r="57" spans="1:11">
      <c r="A57" s="16">
        <v>1</v>
      </c>
      <c r="B57" s="16" t="s">
        <v>39</v>
      </c>
      <c r="C57" s="16">
        <v>11</v>
      </c>
      <c r="D57" s="16">
        <v>5209</v>
      </c>
      <c r="E57" s="16">
        <v>3667</v>
      </c>
      <c r="F57" s="16">
        <v>27761</v>
      </c>
      <c r="G57" s="16">
        <v>0</v>
      </c>
      <c r="H57" s="16">
        <v>265</v>
      </c>
      <c r="I57" s="16">
        <v>3</v>
      </c>
      <c r="J57" s="16" t="s">
        <v>357</v>
      </c>
      <c r="K57" s="16" t="s">
        <v>1743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330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1743</v>
      </c>
    </row>
    <row r="59" spans="1:11">
      <c r="A59" s="16">
        <v>3</v>
      </c>
      <c r="B59" s="16" t="s">
        <v>41</v>
      </c>
      <c r="C59" s="16">
        <v>39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1743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283941</v>
      </c>
      <c r="F60" s="16">
        <v>66959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1743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275071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1743</v>
      </c>
    </row>
    <row r="62" spans="1:11">
      <c r="A62" s="16">
        <v>0</v>
      </c>
      <c r="B62" s="16" t="s">
        <v>38</v>
      </c>
      <c r="C62" s="16">
        <v>3971</v>
      </c>
      <c r="D62" s="16">
        <v>443</v>
      </c>
      <c r="E62" s="16">
        <v>1150488</v>
      </c>
      <c r="F62" s="16">
        <v>4901</v>
      </c>
      <c r="G62" s="16">
        <v>2751</v>
      </c>
      <c r="H62" s="16">
        <v>371</v>
      </c>
      <c r="I62" s="16">
        <v>35</v>
      </c>
      <c r="J62" s="16" t="s">
        <v>358</v>
      </c>
      <c r="K62" s="16" t="s">
        <v>1743</v>
      </c>
    </row>
    <row r="63" spans="1:11">
      <c r="A63" s="16">
        <v>1</v>
      </c>
      <c r="B63" s="16" t="s">
        <v>39</v>
      </c>
      <c r="C63" s="16">
        <v>1</v>
      </c>
      <c r="D63" s="16">
        <v>407</v>
      </c>
      <c r="E63" s="16">
        <v>287</v>
      </c>
      <c r="F63" s="16">
        <v>2170</v>
      </c>
      <c r="G63" s="16">
        <v>0</v>
      </c>
      <c r="H63" s="16">
        <v>21</v>
      </c>
      <c r="I63" s="16">
        <v>0</v>
      </c>
      <c r="J63" s="16" t="s">
        <v>358</v>
      </c>
      <c r="K63" s="16" t="s">
        <v>1743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107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1743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1743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11822</v>
      </c>
      <c r="F66" s="16">
        <v>2788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1743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38784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1743</v>
      </c>
    </row>
    <row r="68" spans="1:11">
      <c r="A68" s="16">
        <v>0</v>
      </c>
      <c r="B68" s="16" t="s">
        <v>38</v>
      </c>
      <c r="C68" s="16">
        <v>9729</v>
      </c>
      <c r="D68" s="16">
        <v>1084</v>
      </c>
      <c r="E68" s="16">
        <v>2818823</v>
      </c>
      <c r="F68" s="16">
        <v>12007</v>
      </c>
      <c r="G68" s="16">
        <v>6741</v>
      </c>
      <c r="H68" s="16">
        <v>908</v>
      </c>
      <c r="I68" s="16">
        <v>85</v>
      </c>
      <c r="J68" s="16" t="s">
        <v>359</v>
      </c>
      <c r="K68" s="16" t="s">
        <v>1743</v>
      </c>
    </row>
    <row r="69" spans="1:11">
      <c r="A69" s="16">
        <v>1</v>
      </c>
      <c r="B69" s="16" t="s">
        <v>39</v>
      </c>
      <c r="C69" s="16">
        <v>3</v>
      </c>
      <c r="D69" s="16">
        <v>1295</v>
      </c>
      <c r="E69" s="16">
        <v>912</v>
      </c>
      <c r="F69" s="16">
        <v>6901</v>
      </c>
      <c r="G69" s="16">
        <v>0</v>
      </c>
      <c r="H69" s="16">
        <v>66</v>
      </c>
      <c r="I69" s="16">
        <v>1</v>
      </c>
      <c r="J69" s="16" t="s">
        <v>359</v>
      </c>
      <c r="K69" s="16" t="s">
        <v>1743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13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1743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0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1743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152451</v>
      </c>
      <c r="F72" s="16">
        <v>35951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1743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117984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1743</v>
      </c>
    </row>
    <row r="74" spans="1:11">
      <c r="A74" s="16">
        <v>0</v>
      </c>
      <c r="B74" s="16" t="s">
        <v>38</v>
      </c>
      <c r="C74" s="16">
        <v>4919</v>
      </c>
      <c r="D74" s="16">
        <v>548</v>
      </c>
      <c r="E74" s="16">
        <v>1425123</v>
      </c>
      <c r="F74" s="16">
        <v>6070</v>
      </c>
      <c r="G74" s="16">
        <v>3408</v>
      </c>
      <c r="H74" s="16">
        <v>459</v>
      </c>
      <c r="I74" s="16">
        <v>43</v>
      </c>
      <c r="J74" s="16" t="s">
        <v>360</v>
      </c>
      <c r="K74" s="16" t="s">
        <v>1743</v>
      </c>
    </row>
    <row r="75" spans="1:11">
      <c r="A75" s="16">
        <v>1</v>
      </c>
      <c r="B75" s="16" t="s">
        <v>39</v>
      </c>
      <c r="C75" s="16">
        <v>1</v>
      </c>
      <c r="D75" s="16">
        <v>556</v>
      </c>
      <c r="E75" s="16">
        <v>391</v>
      </c>
      <c r="F75" s="16">
        <v>2963</v>
      </c>
      <c r="G75" s="16">
        <v>0</v>
      </c>
      <c r="H75" s="16">
        <v>28</v>
      </c>
      <c r="I75" s="16">
        <v>0</v>
      </c>
      <c r="J75" s="16" t="s">
        <v>360</v>
      </c>
      <c r="K75" s="16" t="s">
        <v>1743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15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1743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0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1743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76900</v>
      </c>
      <c r="F78" s="16">
        <v>18135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1743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59746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1743</v>
      </c>
    </row>
    <row r="80" spans="1:11">
      <c r="A80" s="16">
        <v>0</v>
      </c>
      <c r="B80" s="16" t="s">
        <v>38</v>
      </c>
      <c r="C80" s="16">
        <v>34790</v>
      </c>
      <c r="D80" s="16">
        <v>3878</v>
      </c>
      <c r="E80" s="16">
        <v>10080309</v>
      </c>
      <c r="F80" s="16">
        <v>42937</v>
      </c>
      <c r="G80" s="16">
        <v>24106</v>
      </c>
      <c r="H80" s="16">
        <v>3246</v>
      </c>
      <c r="I80" s="16">
        <v>302</v>
      </c>
      <c r="J80" s="16" t="s">
        <v>361</v>
      </c>
      <c r="K80" s="16" t="s">
        <v>1743</v>
      </c>
    </row>
    <row r="81" spans="1:11">
      <c r="A81" s="16">
        <v>1</v>
      </c>
      <c r="B81" s="16" t="s">
        <v>39</v>
      </c>
      <c r="C81" s="16">
        <v>10</v>
      </c>
      <c r="D81" s="16">
        <v>4845</v>
      </c>
      <c r="E81" s="16">
        <v>3411</v>
      </c>
      <c r="F81" s="16">
        <v>25821</v>
      </c>
      <c r="G81" s="16">
        <v>0</v>
      </c>
      <c r="H81" s="16">
        <v>246</v>
      </c>
      <c r="I81" s="16">
        <v>3</v>
      </c>
      <c r="J81" s="16" t="s">
        <v>361</v>
      </c>
      <c r="K81" s="16" t="s">
        <v>1743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311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1743</v>
      </c>
    </row>
    <row r="83" spans="1:11">
      <c r="A83" s="16">
        <v>3</v>
      </c>
      <c r="B83" s="16" t="s">
        <v>41</v>
      </c>
      <c r="C83" s="16">
        <v>233</v>
      </c>
      <c r="D83" s="16">
        <v>0</v>
      </c>
      <c r="E83" s="16">
        <v>0</v>
      </c>
      <c r="F83" s="16">
        <v>18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1743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230083</v>
      </c>
      <c r="F84" s="16">
        <v>54258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1743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329889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1743</v>
      </c>
    </row>
    <row r="86" spans="1:11">
      <c r="A86" s="16">
        <v>0</v>
      </c>
      <c r="B86" s="16" t="s">
        <v>38</v>
      </c>
      <c r="C86" s="16">
        <v>17754</v>
      </c>
      <c r="D86" s="16">
        <v>1979</v>
      </c>
      <c r="E86" s="16">
        <v>5144116</v>
      </c>
      <c r="F86" s="16">
        <v>21912</v>
      </c>
      <c r="G86" s="16">
        <v>12301</v>
      </c>
      <c r="H86" s="16">
        <v>1657</v>
      </c>
      <c r="I86" s="16">
        <v>154</v>
      </c>
      <c r="J86" s="16" t="s">
        <v>362</v>
      </c>
      <c r="K86" s="16" t="s">
        <v>1743</v>
      </c>
    </row>
    <row r="87" spans="1:11">
      <c r="A87" s="16">
        <v>1</v>
      </c>
      <c r="B87" s="16" t="s">
        <v>39</v>
      </c>
      <c r="C87" s="16">
        <v>6</v>
      </c>
      <c r="D87" s="16">
        <v>2946</v>
      </c>
      <c r="E87" s="16">
        <v>2074</v>
      </c>
      <c r="F87" s="16">
        <v>15700</v>
      </c>
      <c r="G87" s="16">
        <v>0</v>
      </c>
      <c r="H87" s="16">
        <v>150</v>
      </c>
      <c r="I87" s="16">
        <v>2</v>
      </c>
      <c r="J87" s="16" t="s">
        <v>362</v>
      </c>
      <c r="K87" s="16" t="s">
        <v>1743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34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1743</v>
      </c>
    </row>
    <row r="89" spans="1:11">
      <c r="A89" s="16">
        <v>3</v>
      </c>
      <c r="B89" s="16" t="s">
        <v>41</v>
      </c>
      <c r="C89" s="16">
        <v>17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1743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198201</v>
      </c>
      <c r="F90" s="16">
        <v>46740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1743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193147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1743</v>
      </c>
    </row>
    <row r="92" spans="1:11">
      <c r="A92" s="16">
        <v>0</v>
      </c>
      <c r="B92" s="16" t="s">
        <v>38</v>
      </c>
      <c r="C92" s="16">
        <v>7432</v>
      </c>
      <c r="D92" s="16">
        <v>828</v>
      </c>
      <c r="E92" s="16">
        <v>2153526</v>
      </c>
      <c r="F92" s="16">
        <v>9173</v>
      </c>
      <c r="G92" s="16">
        <v>5150</v>
      </c>
      <c r="H92" s="16">
        <v>694</v>
      </c>
      <c r="I92" s="16">
        <v>65</v>
      </c>
      <c r="J92" s="16" t="s">
        <v>363</v>
      </c>
      <c r="K92" s="16" t="s">
        <v>1743</v>
      </c>
    </row>
    <row r="93" spans="1:11">
      <c r="A93" s="16">
        <v>1</v>
      </c>
      <c r="B93" s="16" t="s">
        <v>39</v>
      </c>
      <c r="C93" s="16">
        <v>2</v>
      </c>
      <c r="D93" s="16">
        <v>932</v>
      </c>
      <c r="E93" s="16">
        <v>656</v>
      </c>
      <c r="F93" s="16">
        <v>4966</v>
      </c>
      <c r="G93" s="16">
        <v>0</v>
      </c>
      <c r="H93" s="16">
        <v>47</v>
      </c>
      <c r="I93" s="16">
        <v>1</v>
      </c>
      <c r="J93" s="16" t="s">
        <v>363</v>
      </c>
      <c r="K93" s="16" t="s">
        <v>1743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6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1743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1743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74107</v>
      </c>
      <c r="F96" s="16">
        <v>17476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1743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81109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1743</v>
      </c>
    </row>
    <row r="98" spans="1:11">
      <c r="A98" s="16">
        <v>0</v>
      </c>
      <c r="B98" s="16" t="s">
        <v>38</v>
      </c>
      <c r="C98" s="16">
        <v>13747</v>
      </c>
      <c r="D98" s="16">
        <v>1532</v>
      </c>
      <c r="E98" s="16">
        <v>3983280</v>
      </c>
      <c r="F98" s="16">
        <v>16967</v>
      </c>
      <c r="G98" s="16">
        <v>9525</v>
      </c>
      <c r="H98" s="16">
        <v>1283</v>
      </c>
      <c r="I98" s="16">
        <v>119</v>
      </c>
      <c r="J98" s="16" t="s">
        <v>364</v>
      </c>
      <c r="K98" s="16" t="s">
        <v>1743</v>
      </c>
    </row>
    <row r="99" spans="1:11">
      <c r="A99" s="16">
        <v>1</v>
      </c>
      <c r="B99" s="16" t="s">
        <v>39</v>
      </c>
      <c r="C99" s="16">
        <v>3</v>
      </c>
      <c r="D99" s="16">
        <v>1551</v>
      </c>
      <c r="E99" s="16">
        <v>1092</v>
      </c>
      <c r="F99" s="16">
        <v>8266</v>
      </c>
      <c r="G99" s="16">
        <v>0</v>
      </c>
      <c r="H99" s="16">
        <v>79</v>
      </c>
      <c r="I99" s="16">
        <v>1</v>
      </c>
      <c r="J99" s="16" t="s">
        <v>364</v>
      </c>
      <c r="K99" s="16" t="s">
        <v>1743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43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1743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1743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148819</v>
      </c>
      <c r="F102" s="16">
        <v>35094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1743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138934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1743</v>
      </c>
    </row>
    <row r="104" spans="1:11">
      <c r="A104" s="16">
        <v>0</v>
      </c>
      <c r="B104" s="16" t="s">
        <v>38</v>
      </c>
      <c r="C104" s="16">
        <v>10999</v>
      </c>
      <c r="D104" s="16">
        <v>1226</v>
      </c>
      <c r="E104" s="16">
        <v>3186850</v>
      </c>
      <c r="F104" s="16">
        <v>13574</v>
      </c>
      <c r="G104" s="16">
        <v>7621</v>
      </c>
      <c r="H104" s="16">
        <v>1026</v>
      </c>
      <c r="I104" s="16">
        <v>96</v>
      </c>
      <c r="J104" s="16" t="s">
        <v>365</v>
      </c>
      <c r="K104" s="16" t="s">
        <v>1743</v>
      </c>
    </row>
    <row r="105" spans="1:11">
      <c r="A105" s="16">
        <v>1</v>
      </c>
      <c r="B105" s="16" t="s">
        <v>39</v>
      </c>
      <c r="C105" s="16">
        <v>9</v>
      </c>
      <c r="D105" s="16">
        <v>4247</v>
      </c>
      <c r="E105" s="16">
        <v>2990</v>
      </c>
      <c r="F105" s="16">
        <v>22631</v>
      </c>
      <c r="G105" s="16">
        <v>0</v>
      </c>
      <c r="H105" s="16">
        <v>216</v>
      </c>
      <c r="I105" s="16">
        <v>3</v>
      </c>
      <c r="J105" s="16" t="s">
        <v>365</v>
      </c>
      <c r="K105" s="16" t="s">
        <v>1743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49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1743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1743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285415</v>
      </c>
      <c r="F108" s="16">
        <v>67306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1743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120289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1743</v>
      </c>
    </row>
    <row r="110" spans="1:11">
      <c r="A110" s="16">
        <v>0</v>
      </c>
      <c r="B110" s="16" t="s">
        <v>38</v>
      </c>
      <c r="C110" s="16">
        <v>16748</v>
      </c>
      <c r="D110" s="16">
        <v>1867</v>
      </c>
      <c r="E110" s="16">
        <v>4852545</v>
      </c>
      <c r="F110" s="16">
        <v>20670</v>
      </c>
      <c r="G110" s="16">
        <v>11604</v>
      </c>
      <c r="H110" s="16">
        <v>1563</v>
      </c>
      <c r="I110" s="16">
        <v>146</v>
      </c>
      <c r="J110" s="16" t="s">
        <v>366</v>
      </c>
      <c r="K110" s="16" t="s">
        <v>1743</v>
      </c>
    </row>
    <row r="111" spans="1:11">
      <c r="A111" s="16">
        <v>1</v>
      </c>
      <c r="B111" s="16" t="s">
        <v>39</v>
      </c>
      <c r="C111" s="16">
        <v>4</v>
      </c>
      <c r="D111" s="16">
        <v>1941</v>
      </c>
      <c r="E111" s="16">
        <v>1367</v>
      </c>
      <c r="F111" s="16">
        <v>10345</v>
      </c>
      <c r="G111" s="16">
        <v>0</v>
      </c>
      <c r="H111" s="16">
        <v>99</v>
      </c>
      <c r="I111" s="16">
        <v>1</v>
      </c>
      <c r="J111" s="16" t="s">
        <v>366</v>
      </c>
      <c r="K111" s="16" t="s">
        <v>1743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125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1743</v>
      </c>
    </row>
    <row r="113" spans="1:11">
      <c r="A113" s="16">
        <v>3</v>
      </c>
      <c r="B113" s="16" t="s">
        <v>41</v>
      </c>
      <c r="C113" s="16">
        <v>181</v>
      </c>
      <c r="D113" s="16">
        <v>0</v>
      </c>
      <c r="E113" s="16">
        <v>0</v>
      </c>
      <c r="F113" s="16">
        <v>28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1743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117483</v>
      </c>
      <c r="F114" s="16">
        <v>27705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1743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156909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1743</v>
      </c>
    </row>
    <row r="116" spans="1:11">
      <c r="A116" s="16">
        <v>0</v>
      </c>
      <c r="B116" s="16" t="s">
        <v>38</v>
      </c>
      <c r="C116" s="16">
        <v>15244</v>
      </c>
      <c r="D116" s="16">
        <v>1699</v>
      </c>
      <c r="E116" s="16">
        <v>4416987</v>
      </c>
      <c r="F116" s="16">
        <v>18814</v>
      </c>
      <c r="G116" s="16">
        <v>10563</v>
      </c>
      <c r="H116" s="16">
        <v>1423</v>
      </c>
      <c r="I116" s="16">
        <v>132</v>
      </c>
      <c r="J116" s="16" t="s">
        <v>367</v>
      </c>
      <c r="K116" s="16" t="s">
        <v>1743</v>
      </c>
    </row>
    <row r="117" spans="1:11">
      <c r="A117" s="16">
        <v>1</v>
      </c>
      <c r="B117" s="16" t="s">
        <v>39</v>
      </c>
      <c r="C117" s="16">
        <v>7</v>
      </c>
      <c r="D117" s="16">
        <v>3304</v>
      </c>
      <c r="E117" s="16">
        <v>2326</v>
      </c>
      <c r="F117" s="16">
        <v>17609</v>
      </c>
      <c r="G117" s="16">
        <v>0</v>
      </c>
      <c r="H117" s="16">
        <v>168</v>
      </c>
      <c r="I117" s="16">
        <v>2</v>
      </c>
      <c r="J117" s="16" t="s">
        <v>367</v>
      </c>
      <c r="K117" s="16" t="s">
        <v>1743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79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1743</v>
      </c>
    </row>
    <row r="119" spans="1:11">
      <c r="A119" s="16">
        <v>3</v>
      </c>
      <c r="B119" s="16" t="s">
        <v>41</v>
      </c>
      <c r="C119" s="16">
        <v>43</v>
      </c>
      <c r="D119" s="16">
        <v>0</v>
      </c>
      <c r="E119" s="16">
        <v>0</v>
      </c>
      <c r="F119" s="16">
        <v>12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1743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162231</v>
      </c>
      <c r="F120" s="16">
        <v>38257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1743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131225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1743</v>
      </c>
    </row>
    <row r="122" spans="1:11">
      <c r="A122" s="16">
        <v>0</v>
      </c>
      <c r="B122" s="16" t="s">
        <v>38</v>
      </c>
      <c r="C122" s="16">
        <v>2977</v>
      </c>
      <c r="D122" s="16">
        <v>332</v>
      </c>
      <c r="E122" s="16">
        <v>862490</v>
      </c>
      <c r="F122" s="16">
        <v>3674</v>
      </c>
      <c r="G122" s="16">
        <v>2063</v>
      </c>
      <c r="H122" s="16">
        <v>278</v>
      </c>
      <c r="I122" s="16">
        <v>26</v>
      </c>
      <c r="J122" s="16" t="s">
        <v>368</v>
      </c>
      <c r="K122" s="16" t="s">
        <v>1743</v>
      </c>
    </row>
    <row r="123" spans="1:11">
      <c r="A123" s="16">
        <v>1</v>
      </c>
      <c r="B123" s="16" t="s">
        <v>39</v>
      </c>
      <c r="C123" s="16">
        <v>1</v>
      </c>
      <c r="D123" s="16">
        <v>653</v>
      </c>
      <c r="E123" s="16">
        <v>459</v>
      </c>
      <c r="F123" s="16">
        <v>3478</v>
      </c>
      <c r="G123" s="16">
        <v>0</v>
      </c>
      <c r="H123" s="16">
        <v>33</v>
      </c>
      <c r="I123" s="16">
        <v>0</v>
      </c>
      <c r="J123" s="16" t="s">
        <v>368</v>
      </c>
      <c r="K123" s="16" t="s">
        <v>1743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9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1743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1743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98810</v>
      </c>
      <c r="F126" s="16">
        <v>23301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1743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34926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1743</v>
      </c>
    </row>
    <row r="128" spans="1:11">
      <c r="A128" s="16">
        <v>0</v>
      </c>
      <c r="B128" s="16" t="s">
        <v>38</v>
      </c>
      <c r="C128" s="16">
        <v>22502</v>
      </c>
      <c r="D128" s="16">
        <v>2508</v>
      </c>
      <c r="E128" s="16">
        <v>6519812</v>
      </c>
      <c r="F128" s="16">
        <v>27771</v>
      </c>
      <c r="G128" s="16">
        <v>15591</v>
      </c>
      <c r="H128" s="16">
        <v>2100</v>
      </c>
      <c r="I128" s="16">
        <v>196</v>
      </c>
      <c r="J128" s="16" t="s">
        <v>369</v>
      </c>
      <c r="K128" s="16" t="s">
        <v>1743</v>
      </c>
    </row>
    <row r="129" spans="1:11">
      <c r="A129" s="16">
        <v>1</v>
      </c>
      <c r="B129" s="16" t="s">
        <v>39</v>
      </c>
      <c r="C129" s="16">
        <v>3</v>
      </c>
      <c r="D129" s="16">
        <v>1262</v>
      </c>
      <c r="E129" s="16">
        <v>889</v>
      </c>
      <c r="F129" s="16">
        <v>6727</v>
      </c>
      <c r="G129" s="16">
        <v>0</v>
      </c>
      <c r="H129" s="16">
        <v>64</v>
      </c>
      <c r="I129" s="16">
        <v>1</v>
      </c>
      <c r="J129" s="16" t="s">
        <v>369</v>
      </c>
      <c r="K129" s="16" t="s">
        <v>1743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126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1743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1743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690515</v>
      </c>
      <c r="F132" s="16">
        <v>162837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1743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263346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1743</v>
      </c>
    </row>
    <row r="134" spans="1:11">
      <c r="A134" s="16">
        <v>0</v>
      </c>
      <c r="B134" s="16" t="s">
        <v>38</v>
      </c>
      <c r="C134" s="16">
        <v>15396</v>
      </c>
      <c r="D134" s="16">
        <v>1716</v>
      </c>
      <c r="E134" s="16">
        <v>4460919</v>
      </c>
      <c r="F134" s="16">
        <v>19001</v>
      </c>
      <c r="G134" s="16">
        <v>10668</v>
      </c>
      <c r="H134" s="16">
        <v>1437</v>
      </c>
      <c r="I134" s="16">
        <v>134</v>
      </c>
      <c r="J134" s="16" t="s">
        <v>370</v>
      </c>
      <c r="K134" s="16" t="s">
        <v>1743</v>
      </c>
    </row>
    <row r="135" spans="1:11">
      <c r="A135" s="16">
        <v>1</v>
      </c>
      <c r="B135" s="16" t="s">
        <v>39</v>
      </c>
      <c r="C135" s="16">
        <v>6</v>
      </c>
      <c r="D135" s="16">
        <v>2709</v>
      </c>
      <c r="E135" s="16">
        <v>1907</v>
      </c>
      <c r="F135" s="16">
        <v>14438</v>
      </c>
      <c r="G135" s="16">
        <v>0</v>
      </c>
      <c r="H135" s="16">
        <v>138</v>
      </c>
      <c r="I135" s="16">
        <v>2</v>
      </c>
      <c r="J135" s="16" t="s">
        <v>370</v>
      </c>
      <c r="K135" s="16" t="s">
        <v>1743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117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1743</v>
      </c>
    </row>
    <row r="137" spans="1:11">
      <c r="A137" s="16">
        <v>3</v>
      </c>
      <c r="B137" s="16" t="s">
        <v>41</v>
      </c>
      <c r="C137" s="16">
        <v>27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1743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546431</v>
      </c>
      <c r="F138" s="16">
        <v>128859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1743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177285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1743</v>
      </c>
    </row>
    <row r="140" spans="1:11">
      <c r="A140" s="16">
        <v>0</v>
      </c>
      <c r="B140" s="16" t="s">
        <v>38</v>
      </c>
      <c r="C140" s="16">
        <v>16647</v>
      </c>
      <c r="D140" s="16">
        <v>1856</v>
      </c>
      <c r="E140" s="16">
        <v>4823486</v>
      </c>
      <c r="F140" s="16">
        <v>20546</v>
      </c>
      <c r="G140" s="16">
        <v>11535</v>
      </c>
      <c r="H140" s="16">
        <v>1553</v>
      </c>
      <c r="I140" s="16">
        <v>145</v>
      </c>
      <c r="J140" s="16" t="s">
        <v>371</v>
      </c>
      <c r="K140" s="16" t="s">
        <v>1743</v>
      </c>
    </row>
    <row r="141" spans="1:11">
      <c r="A141" s="16">
        <v>1</v>
      </c>
      <c r="B141" s="16" t="s">
        <v>39</v>
      </c>
      <c r="C141" s="16">
        <v>10</v>
      </c>
      <c r="D141" s="16">
        <v>4764</v>
      </c>
      <c r="E141" s="16">
        <v>3354</v>
      </c>
      <c r="F141" s="16">
        <v>25390</v>
      </c>
      <c r="G141" s="16">
        <v>0</v>
      </c>
      <c r="H141" s="16">
        <v>242</v>
      </c>
      <c r="I141" s="16">
        <v>3</v>
      </c>
      <c r="J141" s="16" t="s">
        <v>371</v>
      </c>
      <c r="K141" s="16" t="s">
        <v>1743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85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1743</v>
      </c>
    </row>
    <row r="143" spans="1:11">
      <c r="A143" s="16">
        <v>3</v>
      </c>
      <c r="B143" s="16" t="s">
        <v>41</v>
      </c>
      <c r="C143" s="16">
        <v>25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1743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274289</v>
      </c>
      <c r="F144" s="16">
        <v>64683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1743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174054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1743</v>
      </c>
    </row>
    <row r="146" spans="1:11">
      <c r="A146" s="16">
        <v>0</v>
      </c>
      <c r="B146" s="16" t="s">
        <v>38</v>
      </c>
      <c r="C146" s="16">
        <v>6591</v>
      </c>
      <c r="D146" s="16">
        <v>735</v>
      </c>
      <c r="E146" s="16">
        <v>1909713</v>
      </c>
      <c r="F146" s="16">
        <v>8134</v>
      </c>
      <c r="G146" s="16">
        <v>4567</v>
      </c>
      <c r="H146" s="16">
        <v>615</v>
      </c>
      <c r="I146" s="16">
        <v>57</v>
      </c>
      <c r="J146" s="16" t="s">
        <v>372</v>
      </c>
      <c r="K146" s="16" t="s">
        <v>1743</v>
      </c>
    </row>
    <row r="147" spans="1:11">
      <c r="A147" s="16">
        <v>1</v>
      </c>
      <c r="B147" s="16" t="s">
        <v>39</v>
      </c>
      <c r="C147" s="16">
        <v>2</v>
      </c>
      <c r="D147" s="16">
        <v>1043</v>
      </c>
      <c r="E147" s="16">
        <v>734</v>
      </c>
      <c r="F147" s="16">
        <v>5556</v>
      </c>
      <c r="G147" s="16">
        <v>0</v>
      </c>
      <c r="H147" s="16">
        <v>53</v>
      </c>
      <c r="I147" s="16">
        <v>1</v>
      </c>
      <c r="J147" s="16" t="s">
        <v>372</v>
      </c>
      <c r="K147" s="16" t="s">
        <v>1743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6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1743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1743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121027</v>
      </c>
      <c r="F150" s="16">
        <v>28541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1743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64144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1743</v>
      </c>
    </row>
    <row r="152" spans="1:11">
      <c r="A152" s="16">
        <v>0</v>
      </c>
      <c r="B152" s="16" t="s">
        <v>38</v>
      </c>
      <c r="C152" s="16">
        <v>3838</v>
      </c>
      <c r="D152" s="16">
        <v>428</v>
      </c>
      <c r="E152" s="16">
        <v>1111980</v>
      </c>
      <c r="F152" s="16">
        <v>4737</v>
      </c>
      <c r="G152" s="16">
        <v>2659</v>
      </c>
      <c r="H152" s="16">
        <v>358</v>
      </c>
      <c r="I152" s="16">
        <v>33</v>
      </c>
      <c r="J152" s="16" t="s">
        <v>373</v>
      </c>
      <c r="K152" s="16" t="s">
        <v>1743</v>
      </c>
    </row>
    <row r="153" spans="1:11">
      <c r="A153" s="16">
        <v>1</v>
      </c>
      <c r="B153" s="16" t="s">
        <v>39</v>
      </c>
      <c r="C153" s="16">
        <v>2</v>
      </c>
      <c r="D153" s="16">
        <v>733</v>
      </c>
      <c r="E153" s="16">
        <v>516</v>
      </c>
      <c r="F153" s="16">
        <v>3908</v>
      </c>
      <c r="G153" s="16">
        <v>0</v>
      </c>
      <c r="H153" s="16">
        <v>37</v>
      </c>
      <c r="I153" s="16">
        <v>0</v>
      </c>
      <c r="J153" s="16" t="s">
        <v>373</v>
      </c>
      <c r="K153" s="16" t="s">
        <v>1743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14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1743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1743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58037</v>
      </c>
      <c r="F156" s="16">
        <v>13686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1743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60828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1743</v>
      </c>
    </row>
    <row r="158" spans="1:11">
      <c r="A158" s="16">
        <v>0</v>
      </c>
      <c r="B158" s="16" t="s">
        <v>38</v>
      </c>
      <c r="C158" s="16">
        <v>28410</v>
      </c>
      <c r="D158" s="16">
        <v>3167</v>
      </c>
      <c r="E158" s="16">
        <v>8231732</v>
      </c>
      <c r="F158" s="16">
        <v>35063</v>
      </c>
      <c r="G158" s="16">
        <v>19685</v>
      </c>
      <c r="H158" s="16">
        <v>2651</v>
      </c>
      <c r="I158" s="16">
        <v>247</v>
      </c>
      <c r="J158" s="16" t="s">
        <v>374</v>
      </c>
      <c r="K158" s="16" t="s">
        <v>1743</v>
      </c>
    </row>
    <row r="159" spans="1:11">
      <c r="A159" s="16">
        <v>1</v>
      </c>
      <c r="B159" s="16" t="s">
        <v>39</v>
      </c>
      <c r="C159" s="16">
        <v>10</v>
      </c>
      <c r="D159" s="16">
        <v>4705</v>
      </c>
      <c r="E159" s="16">
        <v>3313</v>
      </c>
      <c r="F159" s="16">
        <v>25075</v>
      </c>
      <c r="G159" s="16">
        <v>0</v>
      </c>
      <c r="H159" s="16">
        <v>239</v>
      </c>
      <c r="I159" s="16">
        <v>3</v>
      </c>
      <c r="J159" s="16" t="s">
        <v>374</v>
      </c>
      <c r="K159" s="16" t="s">
        <v>1743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204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1743</v>
      </c>
    </row>
    <row r="161" spans="1:11">
      <c r="A161" s="16">
        <v>3</v>
      </c>
      <c r="B161" s="16" t="s">
        <v>41</v>
      </c>
      <c r="C161" s="16">
        <v>16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1743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353925</v>
      </c>
      <c r="F162" s="16">
        <v>83462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1743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272257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1743</v>
      </c>
    </row>
    <row r="164" spans="1:11">
      <c r="A164" s="16">
        <v>0</v>
      </c>
      <c r="B164" s="16" t="s">
        <v>38</v>
      </c>
      <c r="C164" s="16">
        <v>1803</v>
      </c>
      <c r="D164" s="16">
        <v>201</v>
      </c>
      <c r="E164" s="16">
        <v>522354</v>
      </c>
      <c r="F164" s="16">
        <v>2225</v>
      </c>
      <c r="G164" s="16">
        <v>1249</v>
      </c>
      <c r="H164" s="16">
        <v>168</v>
      </c>
      <c r="I164" s="16">
        <v>16</v>
      </c>
      <c r="J164" s="16" t="s">
        <v>375</v>
      </c>
      <c r="K164" s="16" t="s">
        <v>1743</v>
      </c>
    </row>
    <row r="165" spans="1:11">
      <c r="A165" s="16">
        <v>1</v>
      </c>
      <c r="B165" s="16" t="s">
        <v>39</v>
      </c>
      <c r="C165" s="16">
        <v>1</v>
      </c>
      <c r="D165" s="16">
        <v>517</v>
      </c>
      <c r="E165" s="16">
        <v>364</v>
      </c>
      <c r="F165" s="16">
        <v>2756</v>
      </c>
      <c r="G165" s="16">
        <v>0</v>
      </c>
      <c r="H165" s="16">
        <v>26</v>
      </c>
      <c r="I165" s="16">
        <v>0</v>
      </c>
      <c r="J165" s="16" t="s">
        <v>375</v>
      </c>
      <c r="K165" s="16" t="s">
        <v>1743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7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1743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1743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63259</v>
      </c>
      <c r="F168" s="16">
        <v>14918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1743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28009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1743</v>
      </c>
    </row>
    <row r="170" spans="1:11">
      <c r="A170" s="16">
        <v>0</v>
      </c>
      <c r="B170" s="16" t="s">
        <v>38</v>
      </c>
      <c r="C170" s="16">
        <v>5224</v>
      </c>
      <c r="D170" s="16">
        <v>582</v>
      </c>
      <c r="E170" s="16">
        <v>1513642</v>
      </c>
      <c r="F170" s="16">
        <v>6447</v>
      </c>
      <c r="G170" s="16">
        <v>3620</v>
      </c>
      <c r="H170" s="16">
        <v>487</v>
      </c>
      <c r="I170" s="16">
        <v>45</v>
      </c>
      <c r="J170" s="16" t="s">
        <v>376</v>
      </c>
      <c r="K170" s="16" t="s">
        <v>1743</v>
      </c>
    </row>
    <row r="171" spans="1:11">
      <c r="A171" s="16">
        <v>1</v>
      </c>
      <c r="B171" s="16" t="s">
        <v>39</v>
      </c>
      <c r="C171" s="16">
        <v>5</v>
      </c>
      <c r="D171" s="16">
        <v>2441</v>
      </c>
      <c r="E171" s="16">
        <v>1718</v>
      </c>
      <c r="F171" s="16">
        <v>13006</v>
      </c>
      <c r="G171" s="16">
        <v>0</v>
      </c>
      <c r="H171" s="16">
        <v>124</v>
      </c>
      <c r="I171" s="16">
        <v>1</v>
      </c>
      <c r="J171" s="16" t="s">
        <v>376</v>
      </c>
      <c r="K171" s="16" t="s">
        <v>1743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16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1743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1743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77141</v>
      </c>
      <c r="F174" s="16">
        <v>18191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1743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60293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1743</v>
      </c>
    </row>
    <row r="176" spans="1:11">
      <c r="A176" s="16">
        <v>0</v>
      </c>
      <c r="B176" s="16" t="s">
        <v>38</v>
      </c>
      <c r="C176" s="16">
        <v>3852</v>
      </c>
      <c r="D176" s="16">
        <v>429</v>
      </c>
      <c r="E176" s="16">
        <v>1116205</v>
      </c>
      <c r="F176" s="16">
        <v>4755</v>
      </c>
      <c r="G176" s="16">
        <v>2669</v>
      </c>
      <c r="H176" s="16">
        <v>359</v>
      </c>
      <c r="I176" s="16">
        <v>33</v>
      </c>
      <c r="J176" s="16" t="s">
        <v>377</v>
      </c>
      <c r="K176" s="16" t="s">
        <v>1743</v>
      </c>
    </row>
    <row r="177" spans="1:11">
      <c r="A177" s="16">
        <v>1</v>
      </c>
      <c r="B177" s="16" t="s">
        <v>39</v>
      </c>
      <c r="C177" s="16">
        <v>1</v>
      </c>
      <c r="D177" s="16">
        <v>435</v>
      </c>
      <c r="E177" s="16">
        <v>306</v>
      </c>
      <c r="F177" s="16">
        <v>2317</v>
      </c>
      <c r="G177" s="16">
        <v>0</v>
      </c>
      <c r="H177" s="16">
        <v>22</v>
      </c>
      <c r="I177" s="16">
        <v>0</v>
      </c>
      <c r="J177" s="16" t="s">
        <v>377</v>
      </c>
      <c r="K177" s="16" t="s">
        <v>1743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6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1743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1743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82231</v>
      </c>
      <c r="F180" s="16">
        <v>19392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1743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42292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1743</v>
      </c>
    </row>
    <row r="182" spans="1:11">
      <c r="A182" s="16">
        <v>0</v>
      </c>
      <c r="B182" s="16" t="s">
        <v>38</v>
      </c>
      <c r="C182" s="16">
        <v>21243</v>
      </c>
      <c r="D182" s="16">
        <v>2368</v>
      </c>
      <c r="E182" s="16">
        <v>6155081</v>
      </c>
      <c r="F182" s="16">
        <v>26218</v>
      </c>
      <c r="G182" s="16">
        <v>14719</v>
      </c>
      <c r="H182" s="16">
        <v>1982</v>
      </c>
      <c r="I182" s="16">
        <v>185</v>
      </c>
      <c r="J182" s="16" t="s">
        <v>378</v>
      </c>
      <c r="K182" s="16" t="s">
        <v>1743</v>
      </c>
    </row>
    <row r="183" spans="1:11">
      <c r="A183" s="16">
        <v>1</v>
      </c>
      <c r="B183" s="16" t="s">
        <v>39</v>
      </c>
      <c r="C183" s="16">
        <v>8</v>
      </c>
      <c r="D183" s="16">
        <v>3664</v>
      </c>
      <c r="E183" s="16">
        <v>2580</v>
      </c>
      <c r="F183" s="16">
        <v>19528</v>
      </c>
      <c r="G183" s="16">
        <v>0</v>
      </c>
      <c r="H183" s="16">
        <v>186</v>
      </c>
      <c r="I183" s="16">
        <v>2</v>
      </c>
      <c r="J183" s="16" t="s">
        <v>378</v>
      </c>
      <c r="K183" s="16" t="s">
        <v>1743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144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1743</v>
      </c>
    </row>
    <row r="185" spans="1:11">
      <c r="A185" s="16">
        <v>3</v>
      </c>
      <c r="B185" s="16" t="s">
        <v>41</v>
      </c>
      <c r="C185" s="16">
        <v>169</v>
      </c>
      <c r="D185" s="16">
        <v>0</v>
      </c>
      <c r="E185" s="16">
        <v>0</v>
      </c>
      <c r="F185" s="16">
        <v>15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1743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139844</v>
      </c>
      <c r="F186" s="16">
        <v>32978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1743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187114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1743</v>
      </c>
    </row>
    <row r="188" spans="1:11">
      <c r="A188" s="16">
        <v>0</v>
      </c>
      <c r="B188" s="16" t="s">
        <v>38</v>
      </c>
      <c r="C188" s="16">
        <v>5216</v>
      </c>
      <c r="D188" s="16">
        <v>581</v>
      </c>
      <c r="E188" s="16">
        <v>1511336</v>
      </c>
      <c r="F188" s="16">
        <v>6438</v>
      </c>
      <c r="G188" s="16">
        <v>3614</v>
      </c>
      <c r="H188" s="16">
        <v>487</v>
      </c>
      <c r="I188" s="16">
        <v>45</v>
      </c>
      <c r="J188" s="16" t="s">
        <v>379</v>
      </c>
      <c r="K188" s="16" t="s">
        <v>1743</v>
      </c>
    </row>
    <row r="189" spans="1:11">
      <c r="A189" s="16">
        <v>1</v>
      </c>
      <c r="B189" s="16" t="s">
        <v>39</v>
      </c>
      <c r="C189" s="16">
        <v>3</v>
      </c>
      <c r="D189" s="16">
        <v>1382</v>
      </c>
      <c r="E189" s="16">
        <v>973</v>
      </c>
      <c r="F189" s="16">
        <v>7366</v>
      </c>
      <c r="G189" s="16">
        <v>0</v>
      </c>
      <c r="H189" s="16">
        <v>70</v>
      </c>
      <c r="I189" s="16">
        <v>1</v>
      </c>
      <c r="J189" s="16" t="s">
        <v>379</v>
      </c>
      <c r="K189" s="16" t="s">
        <v>1743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17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1743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7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1743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31408</v>
      </c>
      <c r="F192" s="16">
        <v>7407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1743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55551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1743</v>
      </c>
    </row>
    <row r="194" spans="1:11">
      <c r="A194" s="16">
        <v>0</v>
      </c>
      <c r="B194" s="16" t="s">
        <v>38</v>
      </c>
      <c r="C194" s="16">
        <v>8590</v>
      </c>
      <c r="D194" s="16">
        <v>957</v>
      </c>
      <c r="E194" s="16">
        <v>2488805</v>
      </c>
      <c r="F194" s="16">
        <v>10601</v>
      </c>
      <c r="G194" s="16">
        <v>5952</v>
      </c>
      <c r="H194" s="16">
        <v>802</v>
      </c>
      <c r="I194" s="16">
        <v>75</v>
      </c>
      <c r="J194" s="16" t="s">
        <v>380</v>
      </c>
      <c r="K194" s="16" t="s">
        <v>1743</v>
      </c>
    </row>
    <row r="195" spans="1:11">
      <c r="A195" s="16">
        <v>1</v>
      </c>
      <c r="B195" s="16" t="s">
        <v>39</v>
      </c>
      <c r="C195" s="16">
        <v>1</v>
      </c>
      <c r="D195" s="16">
        <v>602</v>
      </c>
      <c r="E195" s="16">
        <v>424</v>
      </c>
      <c r="F195" s="16">
        <v>3209</v>
      </c>
      <c r="G195" s="16">
        <v>0</v>
      </c>
      <c r="H195" s="16">
        <v>31</v>
      </c>
      <c r="I195" s="16">
        <v>0</v>
      </c>
      <c r="J195" s="16" t="s">
        <v>380</v>
      </c>
      <c r="K195" s="16" t="s">
        <v>1743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161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1743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1743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41569</v>
      </c>
      <c r="F198" s="16">
        <v>9803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1743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79454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1743</v>
      </c>
    </row>
    <row r="200" spans="1:11">
      <c r="A200" s="16">
        <v>0</v>
      </c>
      <c r="B200" s="16" t="s">
        <v>38</v>
      </c>
      <c r="C200" s="16">
        <v>35384</v>
      </c>
      <c r="D200" s="16">
        <v>3944</v>
      </c>
      <c r="E200" s="16">
        <v>10252510</v>
      </c>
      <c r="F200" s="16">
        <v>43671</v>
      </c>
      <c r="G200" s="16">
        <v>24517</v>
      </c>
      <c r="H200" s="16">
        <v>3302</v>
      </c>
      <c r="I200" s="16">
        <v>308</v>
      </c>
      <c r="J200" s="16" t="s">
        <v>381</v>
      </c>
      <c r="K200" s="16" t="s">
        <v>1743</v>
      </c>
    </row>
    <row r="201" spans="1:11">
      <c r="A201" s="16">
        <v>1</v>
      </c>
      <c r="B201" s="16" t="s">
        <v>39</v>
      </c>
      <c r="C201" s="16">
        <v>24</v>
      </c>
      <c r="D201" s="16">
        <v>11531</v>
      </c>
      <c r="E201" s="16">
        <v>8117</v>
      </c>
      <c r="F201" s="16">
        <v>61448</v>
      </c>
      <c r="G201" s="16">
        <v>0</v>
      </c>
      <c r="H201" s="16">
        <v>586</v>
      </c>
      <c r="I201" s="16">
        <v>7</v>
      </c>
      <c r="J201" s="16" t="s">
        <v>381</v>
      </c>
      <c r="K201" s="16" t="s">
        <v>1743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329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1743</v>
      </c>
    </row>
    <row r="203" spans="1:11">
      <c r="A203" s="16">
        <v>3</v>
      </c>
      <c r="B203" s="16" t="s">
        <v>41</v>
      </c>
      <c r="C203" s="16">
        <v>786</v>
      </c>
      <c r="D203" s="16">
        <v>0</v>
      </c>
      <c r="E203" s="16">
        <v>0</v>
      </c>
      <c r="F203" s="16">
        <v>1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1743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424132</v>
      </c>
      <c r="F204" s="16">
        <v>100019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1743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352803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1743</v>
      </c>
    </row>
    <row r="206" spans="1:11">
      <c r="A206" s="16">
        <v>0</v>
      </c>
      <c r="B206" s="16" t="s">
        <v>38</v>
      </c>
      <c r="C206" s="16">
        <v>35511</v>
      </c>
      <c r="D206" s="16">
        <v>3958</v>
      </c>
      <c r="E206" s="16">
        <v>10289073</v>
      </c>
      <c r="F206" s="16">
        <v>43827</v>
      </c>
      <c r="G206" s="16">
        <v>24605</v>
      </c>
      <c r="H206" s="16">
        <v>3314</v>
      </c>
      <c r="I206" s="16">
        <v>309</v>
      </c>
      <c r="J206" s="16" t="s">
        <v>382</v>
      </c>
      <c r="K206" s="16" t="s">
        <v>1743</v>
      </c>
    </row>
    <row r="207" spans="1:11">
      <c r="A207" s="16">
        <v>1</v>
      </c>
      <c r="B207" s="16" t="s">
        <v>39</v>
      </c>
      <c r="C207" s="16">
        <v>12</v>
      </c>
      <c r="D207" s="16">
        <v>5856</v>
      </c>
      <c r="E207" s="16">
        <v>4122</v>
      </c>
      <c r="F207" s="16">
        <v>31206</v>
      </c>
      <c r="G207" s="16">
        <v>0</v>
      </c>
      <c r="H207" s="16">
        <v>297</v>
      </c>
      <c r="I207" s="16">
        <v>4</v>
      </c>
      <c r="J207" s="16" t="s">
        <v>382</v>
      </c>
      <c r="K207" s="16" t="s">
        <v>1743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63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1743</v>
      </c>
    </row>
    <row r="209" spans="1:11">
      <c r="A209" s="16">
        <v>3</v>
      </c>
      <c r="B209" s="16" t="s">
        <v>41</v>
      </c>
      <c r="C209" s="16">
        <v>14</v>
      </c>
      <c r="D209" s="16">
        <v>0</v>
      </c>
      <c r="E209" s="16">
        <v>0</v>
      </c>
      <c r="F209" s="16">
        <v>0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1743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283652</v>
      </c>
      <c r="F210" s="16">
        <v>66891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1743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329985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1743</v>
      </c>
    </row>
    <row r="212" spans="1:11">
      <c r="A212" s="16">
        <v>0</v>
      </c>
      <c r="B212" s="16" t="s">
        <v>38</v>
      </c>
      <c r="C212" s="16">
        <v>10231</v>
      </c>
      <c r="D212" s="16">
        <v>1140</v>
      </c>
      <c r="E212" s="16">
        <v>2964389</v>
      </c>
      <c r="F212" s="16">
        <v>12627</v>
      </c>
      <c r="G212" s="16">
        <v>7089</v>
      </c>
      <c r="H212" s="16">
        <v>955</v>
      </c>
      <c r="I212" s="16">
        <v>89</v>
      </c>
      <c r="J212" s="16" t="s">
        <v>383</v>
      </c>
      <c r="K212" s="16" t="s">
        <v>1743</v>
      </c>
    </row>
    <row r="213" spans="1:11">
      <c r="A213" s="16">
        <v>1</v>
      </c>
      <c r="B213" s="16" t="s">
        <v>39</v>
      </c>
      <c r="C213" s="16">
        <v>1</v>
      </c>
      <c r="D213" s="16">
        <v>401</v>
      </c>
      <c r="E213" s="16">
        <v>282</v>
      </c>
      <c r="F213" s="16">
        <v>2137</v>
      </c>
      <c r="G213" s="16">
        <v>0</v>
      </c>
      <c r="H213" s="16">
        <v>20</v>
      </c>
      <c r="I213" s="16">
        <v>0</v>
      </c>
      <c r="J213" s="16" t="s">
        <v>383</v>
      </c>
      <c r="K213" s="16" t="s">
        <v>1743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22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1743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1743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180831</v>
      </c>
      <c r="F216" s="16">
        <v>42643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1743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116209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1743</v>
      </c>
    </row>
    <row r="218" spans="1:11">
      <c r="A218" s="16">
        <v>0</v>
      </c>
      <c r="B218" s="16" t="s">
        <v>38</v>
      </c>
      <c r="C218" s="16">
        <v>12045</v>
      </c>
      <c r="D218" s="16">
        <v>1343</v>
      </c>
      <c r="E218" s="16">
        <v>3490004</v>
      </c>
      <c r="F218" s="16">
        <v>14866</v>
      </c>
      <c r="G218" s="16">
        <v>8346</v>
      </c>
      <c r="H218" s="16">
        <v>1124</v>
      </c>
      <c r="I218" s="16">
        <v>105</v>
      </c>
      <c r="J218" s="16" t="s">
        <v>384</v>
      </c>
      <c r="K218" s="16" t="s">
        <v>1743</v>
      </c>
    </row>
    <row r="219" spans="1:11">
      <c r="A219" s="16">
        <v>1</v>
      </c>
      <c r="B219" s="16" t="s">
        <v>39</v>
      </c>
      <c r="C219" s="16">
        <v>5</v>
      </c>
      <c r="D219" s="16">
        <v>2519</v>
      </c>
      <c r="E219" s="16">
        <v>1773</v>
      </c>
      <c r="F219" s="16">
        <v>13422</v>
      </c>
      <c r="G219" s="16">
        <v>0</v>
      </c>
      <c r="H219" s="16">
        <v>128</v>
      </c>
      <c r="I219" s="16">
        <v>2</v>
      </c>
      <c r="J219" s="16" t="s">
        <v>384</v>
      </c>
      <c r="K219" s="16" t="s">
        <v>1743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68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1743</v>
      </c>
    </row>
    <row r="221" spans="1:11">
      <c r="A221" s="16">
        <v>3</v>
      </c>
      <c r="B221" s="16" t="s">
        <v>41</v>
      </c>
      <c r="C221" s="16">
        <v>55</v>
      </c>
      <c r="D221" s="16">
        <v>0</v>
      </c>
      <c r="E221" s="16">
        <v>0</v>
      </c>
      <c r="F221" s="16">
        <v>0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1743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152781</v>
      </c>
      <c r="F222" s="16">
        <v>36029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1743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127586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1743</v>
      </c>
    </row>
    <row r="224" spans="1:11">
      <c r="A224" s="16">
        <v>0</v>
      </c>
      <c r="B224" s="16" t="s">
        <v>38</v>
      </c>
      <c r="C224" s="16">
        <v>33804</v>
      </c>
      <c r="D224" s="16">
        <v>3768</v>
      </c>
      <c r="E224" s="16">
        <v>9794636</v>
      </c>
      <c r="F224" s="16">
        <v>41721</v>
      </c>
      <c r="G224" s="16">
        <v>23422</v>
      </c>
      <c r="H224" s="16">
        <v>3154</v>
      </c>
      <c r="I224" s="16">
        <v>294</v>
      </c>
      <c r="J224" s="16" t="s">
        <v>385</v>
      </c>
      <c r="K224" s="16" t="s">
        <v>1743</v>
      </c>
    </row>
    <row r="225" spans="1:11">
      <c r="A225" s="16">
        <v>1</v>
      </c>
      <c r="B225" s="16" t="s">
        <v>39</v>
      </c>
      <c r="C225" s="16">
        <v>16</v>
      </c>
      <c r="D225" s="16">
        <v>7802</v>
      </c>
      <c r="E225" s="16">
        <v>5492</v>
      </c>
      <c r="F225" s="16">
        <v>41577</v>
      </c>
      <c r="G225" s="16">
        <v>0</v>
      </c>
      <c r="H225" s="16">
        <v>396</v>
      </c>
      <c r="I225" s="16">
        <v>5</v>
      </c>
      <c r="J225" s="16" t="s">
        <v>385</v>
      </c>
      <c r="K225" s="16" t="s">
        <v>1743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135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1743</v>
      </c>
    </row>
    <row r="227" spans="1:11">
      <c r="A227" s="16">
        <v>3</v>
      </c>
      <c r="B227" s="16" t="s">
        <v>41</v>
      </c>
      <c r="C227" s="16">
        <v>176</v>
      </c>
      <c r="D227" s="16">
        <v>0</v>
      </c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1743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269406</v>
      </c>
      <c r="F228" s="16">
        <v>63531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1743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333034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1743</v>
      </c>
    </row>
    <row r="230" spans="1:11">
      <c r="A230" s="16">
        <v>0</v>
      </c>
      <c r="B230" s="16" t="s">
        <v>38</v>
      </c>
      <c r="C230" s="16">
        <v>3191</v>
      </c>
      <c r="D230" s="16">
        <v>356</v>
      </c>
      <c r="E230" s="16">
        <v>924711</v>
      </c>
      <c r="F230" s="16">
        <v>3939</v>
      </c>
      <c r="G230" s="16">
        <v>2211</v>
      </c>
      <c r="H230" s="16">
        <v>298</v>
      </c>
      <c r="I230" s="16">
        <v>28</v>
      </c>
      <c r="J230" s="16" t="s">
        <v>386</v>
      </c>
      <c r="K230" s="16" t="s">
        <v>1743</v>
      </c>
    </row>
    <row r="231" spans="1:11">
      <c r="A231" s="16">
        <v>1</v>
      </c>
      <c r="B231" s="16" t="s">
        <v>39</v>
      </c>
      <c r="C231" s="16">
        <v>1</v>
      </c>
      <c r="D231" s="16">
        <v>321</v>
      </c>
      <c r="E231" s="16">
        <v>226</v>
      </c>
      <c r="F231" s="16">
        <v>1713</v>
      </c>
      <c r="G231" s="16">
        <v>0</v>
      </c>
      <c r="H231" s="16">
        <v>16</v>
      </c>
      <c r="I231" s="16">
        <v>0</v>
      </c>
      <c r="J231" s="16" t="s">
        <v>386</v>
      </c>
      <c r="K231" s="16" t="s">
        <v>1743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12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1743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0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1743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35172</v>
      </c>
      <c r="F234" s="16">
        <v>8294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1743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26997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1743</v>
      </c>
    </row>
    <row r="236" spans="1:11">
      <c r="A236" s="16">
        <v>0</v>
      </c>
      <c r="B236" s="16" t="s">
        <v>38</v>
      </c>
      <c r="C236" s="16">
        <v>14774</v>
      </c>
      <c r="D236" s="16">
        <v>1647</v>
      </c>
      <c r="E236" s="16">
        <v>4280848</v>
      </c>
      <c r="F236" s="16">
        <v>18234</v>
      </c>
      <c r="G236" s="16">
        <v>10237</v>
      </c>
      <c r="H236" s="16">
        <v>1379</v>
      </c>
      <c r="I236" s="16">
        <v>128</v>
      </c>
      <c r="J236" s="16" t="s">
        <v>387</v>
      </c>
      <c r="K236" s="16" t="s">
        <v>1743</v>
      </c>
    </row>
    <row r="237" spans="1:11">
      <c r="A237" s="16">
        <v>1</v>
      </c>
      <c r="B237" s="16" t="s">
        <v>39</v>
      </c>
      <c r="C237" s="16">
        <v>5</v>
      </c>
      <c r="D237" s="16">
        <v>2324</v>
      </c>
      <c r="E237" s="16">
        <v>1636</v>
      </c>
      <c r="F237" s="16">
        <v>12387</v>
      </c>
      <c r="G237" s="16">
        <v>0</v>
      </c>
      <c r="H237" s="16">
        <v>118</v>
      </c>
      <c r="I237" s="16">
        <v>1</v>
      </c>
      <c r="J237" s="16" t="s">
        <v>387</v>
      </c>
      <c r="K237" s="16" t="s">
        <v>1743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34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1743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1743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409232</v>
      </c>
      <c r="F240" s="16">
        <v>96505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1743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142099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1743</v>
      </c>
    </row>
    <row r="242" spans="1:11">
      <c r="A242" s="16">
        <v>0</v>
      </c>
      <c r="B242" s="16" t="s">
        <v>38</v>
      </c>
      <c r="C242" s="16">
        <v>2717</v>
      </c>
      <c r="D242" s="16">
        <v>303</v>
      </c>
      <c r="E242" s="16">
        <v>787213</v>
      </c>
      <c r="F242" s="16">
        <v>3353</v>
      </c>
      <c r="G242" s="16">
        <v>1883</v>
      </c>
      <c r="H242" s="16">
        <v>254</v>
      </c>
      <c r="I242" s="16">
        <v>24</v>
      </c>
      <c r="J242" s="16" t="s">
        <v>388</v>
      </c>
      <c r="K242" s="16" t="s">
        <v>1743</v>
      </c>
    </row>
    <row r="243" spans="1:11">
      <c r="A243" s="16">
        <v>1</v>
      </c>
      <c r="B243" s="16" t="s">
        <v>39</v>
      </c>
      <c r="C243" s="16">
        <v>1</v>
      </c>
      <c r="D243" s="16">
        <v>377</v>
      </c>
      <c r="E243" s="16">
        <v>265</v>
      </c>
      <c r="F243" s="16">
        <v>2008</v>
      </c>
      <c r="G243" s="16">
        <v>0</v>
      </c>
      <c r="H243" s="16">
        <v>19</v>
      </c>
      <c r="I243" s="16">
        <v>0</v>
      </c>
      <c r="J243" s="16" t="s">
        <v>388</v>
      </c>
      <c r="K243" s="16" t="s">
        <v>1743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6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1743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1743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49201</v>
      </c>
      <c r="F246" s="16">
        <v>11603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1743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40321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1743</v>
      </c>
    </row>
    <row r="248" spans="1:11">
      <c r="A248" s="16">
        <v>0</v>
      </c>
      <c r="B248" s="16" t="s">
        <v>38</v>
      </c>
      <c r="C248" s="16">
        <v>17686</v>
      </c>
      <c r="D248" s="16">
        <v>1971</v>
      </c>
      <c r="E248" s="16">
        <v>5124458</v>
      </c>
      <c r="F248" s="16">
        <v>21828</v>
      </c>
      <c r="G248" s="16">
        <v>12254</v>
      </c>
      <c r="H248" s="16">
        <v>1650</v>
      </c>
      <c r="I248" s="16">
        <v>154</v>
      </c>
      <c r="J248" s="16" t="s">
        <v>389</v>
      </c>
      <c r="K248" s="16" t="s">
        <v>1743</v>
      </c>
    </row>
    <row r="249" spans="1:11">
      <c r="A249" s="16">
        <v>1</v>
      </c>
      <c r="B249" s="16" t="s">
        <v>39</v>
      </c>
      <c r="C249" s="16">
        <v>9</v>
      </c>
      <c r="D249" s="16">
        <v>4173</v>
      </c>
      <c r="E249" s="16">
        <v>2938</v>
      </c>
      <c r="F249" s="16">
        <v>22238</v>
      </c>
      <c r="G249" s="16">
        <v>0</v>
      </c>
      <c r="H249" s="16">
        <v>212</v>
      </c>
      <c r="I249" s="16">
        <v>3</v>
      </c>
      <c r="J249" s="16" t="s">
        <v>389</v>
      </c>
      <c r="K249" s="16" t="s">
        <v>1743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79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1743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2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1743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238465</v>
      </c>
      <c r="F252" s="16">
        <v>56235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1743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182414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1743</v>
      </c>
    </row>
    <row r="254" spans="1:11">
      <c r="A254" s="16">
        <v>0</v>
      </c>
      <c r="B254" s="16" t="s">
        <v>38</v>
      </c>
      <c r="C254" s="16">
        <v>67614</v>
      </c>
      <c r="D254" s="16">
        <v>7537</v>
      </c>
      <c r="E254" s="16">
        <v>19590794</v>
      </c>
      <c r="F254" s="16">
        <v>83448</v>
      </c>
      <c r="G254" s="16">
        <v>46848</v>
      </c>
      <c r="H254" s="16">
        <v>6309</v>
      </c>
      <c r="I254" s="16">
        <v>588</v>
      </c>
      <c r="J254" s="16" t="s">
        <v>390</v>
      </c>
      <c r="K254" s="16" t="s">
        <v>1743</v>
      </c>
    </row>
    <row r="255" spans="1:11">
      <c r="A255" s="16">
        <v>1</v>
      </c>
      <c r="B255" s="16" t="s">
        <v>39</v>
      </c>
      <c r="C255" s="16">
        <v>21</v>
      </c>
      <c r="D255" s="16">
        <v>10013</v>
      </c>
      <c r="E255" s="16">
        <v>7049</v>
      </c>
      <c r="F255" s="16">
        <v>53361</v>
      </c>
      <c r="G255" s="16">
        <v>0</v>
      </c>
      <c r="H255" s="16">
        <v>508</v>
      </c>
      <c r="I255" s="16">
        <v>6</v>
      </c>
      <c r="J255" s="16" t="s">
        <v>390</v>
      </c>
      <c r="K255" s="16" t="s">
        <v>1743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544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1743</v>
      </c>
    </row>
    <row r="257" spans="1:11">
      <c r="A257" s="16">
        <v>3</v>
      </c>
      <c r="B257" s="16" t="s">
        <v>41</v>
      </c>
      <c r="C257" s="16">
        <v>67</v>
      </c>
      <c r="D257" s="16">
        <v>0</v>
      </c>
      <c r="E257" s="16">
        <v>0</v>
      </c>
      <c r="F257" s="16">
        <v>14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1743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524737</v>
      </c>
      <c r="F258" s="16">
        <v>123743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1743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698440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1743</v>
      </c>
    </row>
    <row r="260" spans="1:11">
      <c r="A260" s="16">
        <v>0</v>
      </c>
      <c r="B260" s="16" t="s">
        <v>38</v>
      </c>
      <c r="C260" s="16">
        <v>7546</v>
      </c>
      <c r="D260" s="16">
        <v>841</v>
      </c>
      <c r="E260" s="16">
        <v>2186564</v>
      </c>
      <c r="F260" s="16">
        <v>9314</v>
      </c>
      <c r="G260" s="16">
        <v>5229</v>
      </c>
      <c r="H260" s="16">
        <v>704</v>
      </c>
      <c r="I260" s="16">
        <v>66</v>
      </c>
      <c r="J260" s="16" t="s">
        <v>395</v>
      </c>
      <c r="K260" s="16" t="s">
        <v>1743</v>
      </c>
    </row>
    <row r="261" spans="1:11">
      <c r="A261" s="16">
        <v>1</v>
      </c>
      <c r="B261" s="16" t="s">
        <v>39</v>
      </c>
      <c r="C261" s="16">
        <v>2</v>
      </c>
      <c r="D261" s="16">
        <v>906</v>
      </c>
      <c r="E261" s="16">
        <v>638</v>
      </c>
      <c r="F261" s="16">
        <v>4830</v>
      </c>
      <c r="G261" s="16">
        <v>0</v>
      </c>
      <c r="H261" s="16">
        <v>46</v>
      </c>
      <c r="I261" s="16">
        <v>1</v>
      </c>
      <c r="J261" s="16" t="s">
        <v>395</v>
      </c>
      <c r="K261" s="16" t="s">
        <v>1743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78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1743</v>
      </c>
    </row>
    <row r="263" spans="1:11">
      <c r="A263" s="16">
        <v>3</v>
      </c>
      <c r="B263" s="16" t="s">
        <v>41</v>
      </c>
      <c r="C263" s="16">
        <v>27</v>
      </c>
      <c r="D263" s="16">
        <v>0</v>
      </c>
      <c r="E263" s="16">
        <v>0</v>
      </c>
      <c r="F263" s="16">
        <v>4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1743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60457</v>
      </c>
      <c r="F264" s="16">
        <v>14257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1743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77248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1743</v>
      </c>
    </row>
    <row r="266" spans="1:11">
      <c r="A266" s="16">
        <v>0</v>
      </c>
      <c r="B266" s="16" t="s">
        <v>38</v>
      </c>
      <c r="C266" s="16">
        <v>25558</v>
      </c>
      <c r="D266" s="16">
        <v>2849</v>
      </c>
      <c r="E266" s="16">
        <v>7405243</v>
      </c>
      <c r="F266" s="16">
        <v>31543</v>
      </c>
      <c r="G266" s="16">
        <v>17709</v>
      </c>
      <c r="H266" s="16">
        <v>2385</v>
      </c>
      <c r="I266" s="16">
        <v>222</v>
      </c>
      <c r="J266" s="16" t="s">
        <v>396</v>
      </c>
      <c r="K266" s="16" t="s">
        <v>1743</v>
      </c>
    </row>
    <row r="267" spans="1:11">
      <c r="A267" s="16">
        <v>1</v>
      </c>
      <c r="B267" s="16" t="s">
        <v>39</v>
      </c>
      <c r="C267" s="16">
        <v>11</v>
      </c>
      <c r="D267" s="16">
        <v>5006</v>
      </c>
      <c r="E267" s="16">
        <v>3524</v>
      </c>
      <c r="F267" s="16">
        <v>26678</v>
      </c>
      <c r="G267" s="16">
        <v>0</v>
      </c>
      <c r="H267" s="16">
        <v>254</v>
      </c>
      <c r="I267" s="16">
        <v>3</v>
      </c>
      <c r="J267" s="16" t="s">
        <v>396</v>
      </c>
      <c r="K267" s="16" t="s">
        <v>1743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171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1743</v>
      </c>
    </row>
    <row r="269" spans="1:11">
      <c r="A269" s="16">
        <v>3</v>
      </c>
      <c r="B269" s="16" t="s">
        <v>41</v>
      </c>
      <c r="C269" s="16">
        <v>19</v>
      </c>
      <c r="D269" s="16">
        <v>0</v>
      </c>
      <c r="E269" s="16">
        <v>0</v>
      </c>
      <c r="F269" s="16">
        <v>19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1743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216250</v>
      </c>
      <c r="F270" s="16">
        <v>50996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1743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236966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1743</v>
      </c>
    </row>
    <row r="272" spans="1:11">
      <c r="A272" s="16">
        <v>0</v>
      </c>
      <c r="B272" s="16" t="s">
        <v>38</v>
      </c>
      <c r="C272" s="16">
        <v>1617</v>
      </c>
      <c r="D272" s="16">
        <v>180</v>
      </c>
      <c r="E272" s="16">
        <v>468468</v>
      </c>
      <c r="F272" s="16">
        <v>1995</v>
      </c>
      <c r="G272" s="16">
        <v>1120</v>
      </c>
      <c r="H272" s="16">
        <v>151</v>
      </c>
      <c r="I272" s="16">
        <v>14</v>
      </c>
      <c r="J272" s="16" t="s">
        <v>397</v>
      </c>
      <c r="K272" s="16" t="s">
        <v>1743</v>
      </c>
    </row>
    <row r="273" spans="1:11">
      <c r="A273" s="16">
        <v>1</v>
      </c>
      <c r="B273" s="16" t="s">
        <v>39</v>
      </c>
      <c r="C273" s="16">
        <v>0</v>
      </c>
      <c r="D273" s="16">
        <v>196</v>
      </c>
      <c r="E273" s="16">
        <v>138</v>
      </c>
      <c r="F273" s="16">
        <v>1043</v>
      </c>
      <c r="G273" s="16">
        <v>0</v>
      </c>
      <c r="H273" s="16">
        <v>10</v>
      </c>
      <c r="I273" s="16">
        <v>0</v>
      </c>
      <c r="J273" s="16" t="s">
        <v>397</v>
      </c>
      <c r="K273" s="16" t="s">
        <v>1743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4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1743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0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1743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27856</v>
      </c>
      <c r="F276" s="16">
        <v>6569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1743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18947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1743</v>
      </c>
    </row>
    <row r="278" spans="1:11">
      <c r="A278" s="16">
        <v>0</v>
      </c>
      <c r="B278" s="16" t="s">
        <v>38</v>
      </c>
      <c r="C278" s="16">
        <v>23410</v>
      </c>
      <c r="D278" s="16">
        <v>2609</v>
      </c>
      <c r="E278" s="16">
        <v>6783021</v>
      </c>
      <c r="F278" s="16">
        <v>28892</v>
      </c>
      <c r="G278" s="16">
        <v>16221</v>
      </c>
      <c r="H278" s="16">
        <v>2185</v>
      </c>
      <c r="I278" s="16">
        <v>203</v>
      </c>
      <c r="J278" s="16" t="s">
        <v>398</v>
      </c>
      <c r="K278" s="16" t="s">
        <v>1743</v>
      </c>
    </row>
    <row r="279" spans="1:11">
      <c r="A279" s="16">
        <v>1</v>
      </c>
      <c r="B279" s="16" t="s">
        <v>39</v>
      </c>
      <c r="C279" s="16">
        <v>7</v>
      </c>
      <c r="D279" s="16">
        <v>3412</v>
      </c>
      <c r="E279" s="16">
        <v>2402</v>
      </c>
      <c r="F279" s="16">
        <v>18184</v>
      </c>
      <c r="G279" s="16">
        <v>0</v>
      </c>
      <c r="H279" s="16">
        <v>173</v>
      </c>
      <c r="I279" s="16">
        <v>2</v>
      </c>
      <c r="J279" s="16" t="s">
        <v>398</v>
      </c>
      <c r="K279" s="16" t="s">
        <v>1743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169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1743</v>
      </c>
    </row>
    <row r="281" spans="1:11">
      <c r="A281" s="16">
        <v>3</v>
      </c>
      <c r="B281" s="16" t="s">
        <v>41</v>
      </c>
      <c r="C281" s="16">
        <v>37</v>
      </c>
      <c r="D281" s="16">
        <v>0</v>
      </c>
      <c r="E281" s="16">
        <v>0</v>
      </c>
      <c r="F281" s="16">
        <v>3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1743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212952</v>
      </c>
      <c r="F282" s="16">
        <v>50218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1743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226092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1743</v>
      </c>
    </row>
    <row r="284" spans="1:11">
      <c r="A284" s="16">
        <v>0</v>
      </c>
      <c r="B284" s="16" t="s">
        <v>38</v>
      </c>
      <c r="C284" s="16">
        <v>15896</v>
      </c>
      <c r="D284" s="16">
        <v>1772</v>
      </c>
      <c r="E284" s="16">
        <v>4605782</v>
      </c>
      <c r="F284" s="16">
        <v>19618</v>
      </c>
      <c r="G284" s="16">
        <v>11014</v>
      </c>
      <c r="H284" s="16">
        <v>1483</v>
      </c>
      <c r="I284" s="16">
        <v>138</v>
      </c>
      <c r="J284" s="16" t="s">
        <v>399</v>
      </c>
      <c r="K284" s="16" t="s">
        <v>1743</v>
      </c>
    </row>
    <row r="285" spans="1:11">
      <c r="A285" s="16">
        <v>1</v>
      </c>
      <c r="B285" s="16" t="s">
        <v>39</v>
      </c>
      <c r="C285" s="16">
        <v>4</v>
      </c>
      <c r="D285" s="16">
        <v>2109</v>
      </c>
      <c r="E285" s="16">
        <v>1485</v>
      </c>
      <c r="F285" s="16">
        <v>11240</v>
      </c>
      <c r="G285" s="16">
        <v>0</v>
      </c>
      <c r="H285" s="16">
        <v>107</v>
      </c>
      <c r="I285" s="16">
        <v>1</v>
      </c>
      <c r="J285" s="16" t="s">
        <v>399</v>
      </c>
      <c r="K285" s="16" t="s">
        <v>1743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33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1743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0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1743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545931</v>
      </c>
      <c r="F288" s="16">
        <v>128741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1743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174965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1743</v>
      </c>
    </row>
    <row r="290" spans="1:11">
      <c r="A290" s="16">
        <v>0</v>
      </c>
      <c r="B290" s="16" t="s">
        <v>38</v>
      </c>
      <c r="C290" s="16">
        <v>4252</v>
      </c>
      <c r="D290" s="16">
        <v>474</v>
      </c>
      <c r="E290" s="16">
        <v>1232077</v>
      </c>
      <c r="F290" s="16">
        <v>5248</v>
      </c>
      <c r="G290" s="16">
        <v>2946</v>
      </c>
      <c r="H290" s="16">
        <v>397</v>
      </c>
      <c r="I290" s="16">
        <v>37</v>
      </c>
      <c r="J290" s="16" t="s">
        <v>400</v>
      </c>
      <c r="K290" s="16" t="s">
        <v>1743</v>
      </c>
    </row>
    <row r="291" spans="1:11">
      <c r="A291" s="16">
        <v>1</v>
      </c>
      <c r="B291" s="16" t="s">
        <v>39</v>
      </c>
      <c r="C291" s="16">
        <v>1</v>
      </c>
      <c r="D291" s="16">
        <v>445</v>
      </c>
      <c r="E291" s="16">
        <v>314</v>
      </c>
      <c r="F291" s="16">
        <v>2373</v>
      </c>
      <c r="G291" s="16">
        <v>0</v>
      </c>
      <c r="H291" s="16">
        <v>23</v>
      </c>
      <c r="I291" s="16">
        <v>0</v>
      </c>
      <c r="J291" s="16" t="s">
        <v>400</v>
      </c>
      <c r="K291" s="16" t="s">
        <v>1743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2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1743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0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1743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57518</v>
      </c>
      <c r="F294" s="16">
        <v>13564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1743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51632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1743</v>
      </c>
    </row>
    <row r="296" spans="1:11">
      <c r="A296" s="16">
        <v>0</v>
      </c>
      <c r="B296" s="16" t="s">
        <v>38</v>
      </c>
      <c r="C296" s="16">
        <v>1599</v>
      </c>
      <c r="D296" s="16">
        <v>178</v>
      </c>
      <c r="E296" s="16">
        <v>463442</v>
      </c>
      <c r="F296" s="16">
        <v>1974</v>
      </c>
      <c r="G296" s="16">
        <v>1108</v>
      </c>
      <c r="H296" s="16">
        <v>149</v>
      </c>
      <c r="I296" s="16">
        <v>14</v>
      </c>
      <c r="J296" s="16" t="s">
        <v>401</v>
      </c>
      <c r="K296" s="16" t="s">
        <v>1743</v>
      </c>
    </row>
    <row r="297" spans="1:11">
      <c r="A297" s="16">
        <v>1</v>
      </c>
      <c r="B297" s="16" t="s">
        <v>39</v>
      </c>
      <c r="C297" s="16">
        <v>1</v>
      </c>
      <c r="D297" s="16">
        <v>579</v>
      </c>
      <c r="E297" s="16">
        <v>408</v>
      </c>
      <c r="F297" s="16">
        <v>3085</v>
      </c>
      <c r="G297" s="16">
        <v>0</v>
      </c>
      <c r="H297" s="16">
        <v>29</v>
      </c>
      <c r="I297" s="16">
        <v>0</v>
      </c>
      <c r="J297" s="16" t="s">
        <v>401</v>
      </c>
      <c r="K297" s="16" t="s">
        <v>1743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4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1743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0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1743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24588</v>
      </c>
      <c r="F300" s="16">
        <v>5798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1743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26824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activeCell="M10" sqref="M10"/>
    </sheetView>
  </sheetViews>
  <sheetFormatPr defaultRowHeight="14.75"/>
  <cols>
    <col min="14" max="14" width="10.5429687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1739</v>
      </c>
      <c r="N1" s="78"/>
    </row>
    <row r="2" spans="1:14">
      <c r="A2" s="16">
        <v>0</v>
      </c>
      <c r="B2" s="16" t="s">
        <v>38</v>
      </c>
      <c r="C2" s="16">
        <v>5</v>
      </c>
      <c r="D2" s="16">
        <v>55</v>
      </c>
      <c r="E2" s="16">
        <v>45018</v>
      </c>
      <c r="F2" s="16">
        <v>36744</v>
      </c>
      <c r="G2" s="16">
        <v>10</v>
      </c>
      <c r="H2" s="16">
        <v>20</v>
      </c>
      <c r="I2" s="16">
        <v>1</v>
      </c>
      <c r="J2" s="16" t="s">
        <v>132</v>
      </c>
      <c r="K2" s="16" t="s">
        <v>1742</v>
      </c>
    </row>
    <row r="3" spans="1:14">
      <c r="A3" s="16">
        <v>1</v>
      </c>
      <c r="B3" s="16" t="s">
        <v>39</v>
      </c>
      <c r="C3" s="16">
        <v>0</v>
      </c>
      <c r="D3" s="16">
        <v>161</v>
      </c>
      <c r="E3" s="16">
        <v>173</v>
      </c>
      <c r="F3" s="16">
        <v>17894</v>
      </c>
      <c r="G3" s="16">
        <v>2</v>
      </c>
      <c r="H3" s="16">
        <v>14</v>
      </c>
      <c r="I3" s="16">
        <v>1</v>
      </c>
      <c r="J3" s="16" t="s">
        <v>132</v>
      </c>
      <c r="K3" s="16" t="s">
        <v>1742</v>
      </c>
      <c r="N3" s="34"/>
    </row>
    <row r="4" spans="1:14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117</v>
      </c>
      <c r="G4" s="16">
        <v>0</v>
      </c>
      <c r="H4" s="16">
        <v>0</v>
      </c>
      <c r="I4" s="16">
        <v>0</v>
      </c>
      <c r="J4" s="16" t="s">
        <v>132</v>
      </c>
      <c r="K4" s="16" t="s">
        <v>1742</v>
      </c>
    </row>
    <row r="5" spans="1:14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1742</v>
      </c>
    </row>
    <row r="6" spans="1:14">
      <c r="A6" s="16">
        <v>4</v>
      </c>
      <c r="B6" s="16" t="s">
        <v>42</v>
      </c>
      <c r="C6" s="16">
        <v>0</v>
      </c>
      <c r="D6" s="16">
        <v>0</v>
      </c>
      <c r="E6" s="16">
        <v>0</v>
      </c>
      <c r="F6" s="16">
        <v>122</v>
      </c>
      <c r="G6" s="16">
        <v>0</v>
      </c>
      <c r="H6" s="16">
        <v>0</v>
      </c>
      <c r="I6" s="16">
        <v>0</v>
      </c>
      <c r="J6" s="16" t="s">
        <v>132</v>
      </c>
      <c r="K6" s="16" t="s">
        <v>1742</v>
      </c>
    </row>
    <row r="7" spans="1:14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1742</v>
      </c>
    </row>
    <row r="8" spans="1:14">
      <c r="A8" s="16">
        <v>0</v>
      </c>
      <c r="B8" s="16" t="s">
        <v>38</v>
      </c>
      <c r="C8" s="16">
        <v>29</v>
      </c>
      <c r="D8" s="16">
        <v>297</v>
      </c>
      <c r="E8" s="16">
        <v>242985</v>
      </c>
      <c r="F8" s="16">
        <v>198327</v>
      </c>
      <c r="G8" s="16">
        <v>56</v>
      </c>
      <c r="H8" s="16">
        <v>108</v>
      </c>
      <c r="I8" s="16">
        <v>6</v>
      </c>
      <c r="J8" s="16" t="s">
        <v>348</v>
      </c>
      <c r="K8" s="16" t="s">
        <v>1742</v>
      </c>
    </row>
    <row r="9" spans="1:14">
      <c r="A9" s="16">
        <v>1</v>
      </c>
      <c r="B9" s="16" t="s">
        <v>39</v>
      </c>
      <c r="C9" s="16">
        <v>2</v>
      </c>
      <c r="D9" s="16">
        <v>870</v>
      </c>
      <c r="E9" s="16">
        <v>934</v>
      </c>
      <c r="F9" s="16">
        <v>96581</v>
      </c>
      <c r="G9" s="16">
        <v>10</v>
      </c>
      <c r="H9" s="16">
        <v>73</v>
      </c>
      <c r="I9" s="16">
        <v>6</v>
      </c>
      <c r="J9" s="16" t="s">
        <v>348</v>
      </c>
      <c r="K9" s="16" t="s">
        <v>1742</v>
      </c>
    </row>
    <row r="10" spans="1:14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5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1742</v>
      </c>
    </row>
    <row r="11" spans="1:14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377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1742</v>
      </c>
    </row>
    <row r="12" spans="1:14">
      <c r="A12" s="16">
        <v>4</v>
      </c>
      <c r="B12" s="16" t="s">
        <v>42</v>
      </c>
      <c r="C12" s="16">
        <v>0</v>
      </c>
      <c r="D12" s="16">
        <v>0</v>
      </c>
      <c r="E12" s="16">
        <v>0</v>
      </c>
      <c r="F12" s="16">
        <v>259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1742</v>
      </c>
    </row>
    <row r="13" spans="1:14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1742</v>
      </c>
    </row>
    <row r="14" spans="1:14">
      <c r="A14" s="16">
        <v>0</v>
      </c>
      <c r="B14" s="16" t="s">
        <v>38</v>
      </c>
      <c r="C14" s="16">
        <v>17</v>
      </c>
      <c r="D14" s="16">
        <v>174</v>
      </c>
      <c r="E14" s="16">
        <v>142752</v>
      </c>
      <c r="F14" s="16">
        <v>116516</v>
      </c>
      <c r="G14" s="16">
        <v>33</v>
      </c>
      <c r="H14" s="16">
        <v>63</v>
      </c>
      <c r="I14" s="16">
        <v>3</v>
      </c>
      <c r="J14" s="16" t="s">
        <v>349</v>
      </c>
      <c r="K14" s="16" t="s">
        <v>1742</v>
      </c>
    </row>
    <row r="15" spans="1:14">
      <c r="A15" s="16">
        <v>1</v>
      </c>
      <c r="B15" s="16" t="s">
        <v>39</v>
      </c>
      <c r="C15" s="16">
        <v>1</v>
      </c>
      <c r="D15" s="16">
        <v>511</v>
      </c>
      <c r="E15" s="16">
        <v>548</v>
      </c>
      <c r="F15" s="16">
        <v>56741</v>
      </c>
      <c r="G15" s="16">
        <v>6</v>
      </c>
      <c r="H15" s="16">
        <v>43</v>
      </c>
      <c r="I15" s="16">
        <v>3</v>
      </c>
      <c r="J15" s="16" t="s">
        <v>349</v>
      </c>
      <c r="K15" s="16" t="s">
        <v>1742</v>
      </c>
    </row>
    <row r="16" spans="1:14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1742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274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1742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1742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1742</v>
      </c>
    </row>
    <row r="20" spans="1:11">
      <c r="A20" s="16">
        <v>0</v>
      </c>
      <c r="B20" s="16" t="s">
        <v>38</v>
      </c>
      <c r="C20" s="16">
        <v>33</v>
      </c>
      <c r="D20" s="16">
        <v>330</v>
      </c>
      <c r="E20" s="16">
        <v>269842</v>
      </c>
      <c r="F20" s="16">
        <v>220248</v>
      </c>
      <c r="G20" s="16">
        <v>62</v>
      </c>
      <c r="H20" s="16">
        <v>120</v>
      </c>
      <c r="I20" s="16">
        <v>6</v>
      </c>
      <c r="J20" s="16" t="s">
        <v>350</v>
      </c>
      <c r="K20" s="16" t="s">
        <v>1742</v>
      </c>
    </row>
    <row r="21" spans="1:11">
      <c r="A21" s="16">
        <v>1</v>
      </c>
      <c r="B21" s="16" t="s">
        <v>39</v>
      </c>
      <c r="C21" s="16">
        <v>2</v>
      </c>
      <c r="D21" s="16">
        <v>967</v>
      </c>
      <c r="E21" s="16">
        <v>1037</v>
      </c>
      <c r="F21" s="16">
        <v>107256</v>
      </c>
      <c r="G21" s="16">
        <v>11</v>
      </c>
      <c r="H21" s="16">
        <v>82</v>
      </c>
      <c r="I21" s="16">
        <v>6</v>
      </c>
      <c r="J21" s="16" t="s">
        <v>350</v>
      </c>
      <c r="K21" s="16" t="s">
        <v>1742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1742</v>
      </c>
    </row>
    <row r="23" spans="1:11">
      <c r="A23" s="16">
        <v>3</v>
      </c>
      <c r="B23" s="16" t="s">
        <v>41</v>
      </c>
      <c r="C23" s="16">
        <v>0</v>
      </c>
      <c r="D23" s="16">
        <v>0</v>
      </c>
      <c r="E23" s="16">
        <v>0</v>
      </c>
      <c r="F23" s="16">
        <v>194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1742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1742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1742</v>
      </c>
    </row>
    <row r="26" spans="1:11">
      <c r="A26" s="16">
        <v>0</v>
      </c>
      <c r="B26" s="16" t="s">
        <v>38</v>
      </c>
      <c r="C26" s="16">
        <v>142</v>
      </c>
      <c r="D26" s="16">
        <v>1437</v>
      </c>
      <c r="E26" s="16">
        <v>1175641</v>
      </c>
      <c r="F26" s="16">
        <v>959570</v>
      </c>
      <c r="G26" s="16">
        <v>270</v>
      </c>
      <c r="H26" s="16">
        <v>522</v>
      </c>
      <c r="I26" s="16">
        <v>27</v>
      </c>
      <c r="J26" s="16" t="s">
        <v>351</v>
      </c>
      <c r="K26" s="16" t="s">
        <v>1742</v>
      </c>
    </row>
    <row r="27" spans="1:11">
      <c r="A27" s="16">
        <v>1</v>
      </c>
      <c r="B27" s="16" t="s">
        <v>39</v>
      </c>
      <c r="C27" s="16">
        <v>11</v>
      </c>
      <c r="D27" s="16">
        <v>4211</v>
      </c>
      <c r="E27" s="16">
        <v>4517</v>
      </c>
      <c r="F27" s="16">
        <v>467290</v>
      </c>
      <c r="G27" s="16">
        <v>48</v>
      </c>
      <c r="H27" s="16">
        <v>355</v>
      </c>
      <c r="I27" s="16">
        <v>28</v>
      </c>
      <c r="J27" s="16" t="s">
        <v>351</v>
      </c>
      <c r="K27" s="16" t="s">
        <v>1742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128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1742</v>
      </c>
    </row>
    <row r="29" spans="1:11">
      <c r="A29" s="16">
        <v>3</v>
      </c>
      <c r="B29" s="16" t="s">
        <v>41</v>
      </c>
      <c r="C29" s="16">
        <v>0</v>
      </c>
      <c r="D29" s="16">
        <v>0</v>
      </c>
      <c r="E29" s="16">
        <v>0</v>
      </c>
      <c r="F29" s="16">
        <v>3159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1742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0</v>
      </c>
      <c r="F30" s="16">
        <v>871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1742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1742</v>
      </c>
    </row>
    <row r="32" spans="1:11">
      <c r="A32" s="16">
        <v>0</v>
      </c>
      <c r="B32" s="16" t="s">
        <v>38</v>
      </c>
      <c r="C32" s="16">
        <v>33</v>
      </c>
      <c r="D32" s="16">
        <v>330</v>
      </c>
      <c r="E32" s="16">
        <v>270200</v>
      </c>
      <c r="F32" s="16">
        <v>220540</v>
      </c>
      <c r="G32" s="16">
        <v>62</v>
      </c>
      <c r="H32" s="16">
        <v>120</v>
      </c>
      <c r="I32" s="16">
        <v>6</v>
      </c>
      <c r="J32" s="16" t="s">
        <v>352</v>
      </c>
      <c r="K32" s="16" t="s">
        <v>1742</v>
      </c>
    </row>
    <row r="33" spans="1:11">
      <c r="A33" s="16">
        <v>1</v>
      </c>
      <c r="B33" s="16" t="s">
        <v>39</v>
      </c>
      <c r="C33" s="16">
        <v>2</v>
      </c>
      <c r="D33" s="16">
        <v>968</v>
      </c>
      <c r="E33" s="16">
        <v>1038</v>
      </c>
      <c r="F33" s="16">
        <v>107398</v>
      </c>
      <c r="G33" s="16">
        <v>11</v>
      </c>
      <c r="H33" s="16">
        <v>82</v>
      </c>
      <c r="I33" s="16">
        <v>6</v>
      </c>
      <c r="J33" s="16" t="s">
        <v>352</v>
      </c>
      <c r="K33" s="16" t="s">
        <v>1742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11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1742</v>
      </c>
    </row>
    <row r="35" spans="1:11">
      <c r="A35" s="16">
        <v>3</v>
      </c>
      <c r="B35" s="16" t="s">
        <v>41</v>
      </c>
      <c r="C35" s="16">
        <v>0</v>
      </c>
      <c r="D35" s="16">
        <v>0</v>
      </c>
      <c r="E35" s="16">
        <v>0</v>
      </c>
      <c r="F35" s="16">
        <v>294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1742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1742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1742</v>
      </c>
    </row>
    <row r="38" spans="1:11">
      <c r="A38" s="16">
        <v>0</v>
      </c>
      <c r="B38" s="16" t="s">
        <v>38</v>
      </c>
      <c r="C38" s="16">
        <v>15</v>
      </c>
      <c r="D38" s="16">
        <v>147</v>
      </c>
      <c r="E38" s="16">
        <v>120067</v>
      </c>
      <c r="F38" s="16">
        <v>98000</v>
      </c>
      <c r="G38" s="16">
        <v>28</v>
      </c>
      <c r="H38" s="16">
        <v>53</v>
      </c>
      <c r="I38" s="16">
        <v>3</v>
      </c>
      <c r="J38" s="16" t="s">
        <v>353</v>
      </c>
      <c r="K38" s="16" t="s">
        <v>1742</v>
      </c>
    </row>
    <row r="39" spans="1:11">
      <c r="A39" s="16">
        <v>1</v>
      </c>
      <c r="B39" s="16" t="s">
        <v>39</v>
      </c>
      <c r="C39" s="16">
        <v>1</v>
      </c>
      <c r="D39" s="16">
        <v>430</v>
      </c>
      <c r="E39" s="16">
        <v>461</v>
      </c>
      <c r="F39" s="16">
        <v>47724</v>
      </c>
      <c r="G39" s="16">
        <v>5</v>
      </c>
      <c r="H39" s="16">
        <v>36</v>
      </c>
      <c r="I39" s="16">
        <v>3</v>
      </c>
      <c r="J39" s="16" t="s">
        <v>353</v>
      </c>
      <c r="K39" s="16" t="s">
        <v>1742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8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1742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13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1742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1742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1742</v>
      </c>
    </row>
    <row r="44" spans="1:11">
      <c r="A44" s="16">
        <v>0</v>
      </c>
      <c r="B44" s="16" t="s">
        <v>38</v>
      </c>
      <c r="C44" s="16">
        <v>5</v>
      </c>
      <c r="D44" s="16">
        <v>55</v>
      </c>
      <c r="E44" s="16">
        <v>44715</v>
      </c>
      <c r="F44" s="16">
        <v>36497</v>
      </c>
      <c r="G44" s="16">
        <v>10</v>
      </c>
      <c r="H44" s="16">
        <v>20</v>
      </c>
      <c r="I44" s="16">
        <v>1</v>
      </c>
      <c r="J44" s="16" t="s">
        <v>355</v>
      </c>
      <c r="K44" s="16" t="s">
        <v>1742</v>
      </c>
    </row>
    <row r="45" spans="1:11">
      <c r="A45" s="16">
        <v>1</v>
      </c>
      <c r="B45" s="16" t="s">
        <v>39</v>
      </c>
      <c r="C45" s="16">
        <v>0</v>
      </c>
      <c r="D45" s="16">
        <v>160</v>
      </c>
      <c r="E45" s="16">
        <v>172</v>
      </c>
      <c r="F45" s="16">
        <v>17773</v>
      </c>
      <c r="G45" s="16">
        <v>2</v>
      </c>
      <c r="H45" s="16">
        <v>14</v>
      </c>
      <c r="I45" s="16">
        <v>1</v>
      </c>
      <c r="J45" s="16" t="s">
        <v>355</v>
      </c>
      <c r="K45" s="16" t="s">
        <v>1742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1742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20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1742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1742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1742</v>
      </c>
    </row>
    <row r="50" spans="1:11">
      <c r="A50" s="16">
        <v>0</v>
      </c>
      <c r="B50" s="16" t="s">
        <v>38</v>
      </c>
      <c r="C50" s="16">
        <v>92</v>
      </c>
      <c r="D50" s="16">
        <v>933</v>
      </c>
      <c r="E50" s="16">
        <v>763461</v>
      </c>
      <c r="F50" s="16">
        <v>623145</v>
      </c>
      <c r="G50" s="16">
        <v>175</v>
      </c>
      <c r="H50" s="16">
        <v>339</v>
      </c>
      <c r="I50" s="16">
        <v>18</v>
      </c>
      <c r="J50" s="16" t="s">
        <v>356</v>
      </c>
      <c r="K50" s="16" t="s">
        <v>1742</v>
      </c>
    </row>
    <row r="51" spans="1:11">
      <c r="A51" s="16">
        <v>1</v>
      </c>
      <c r="B51" s="16" t="s">
        <v>39</v>
      </c>
      <c r="C51" s="16">
        <v>7</v>
      </c>
      <c r="D51" s="16">
        <v>2735</v>
      </c>
      <c r="E51" s="16">
        <v>2933</v>
      </c>
      <c r="F51" s="16">
        <v>303458</v>
      </c>
      <c r="G51" s="16">
        <v>31</v>
      </c>
      <c r="H51" s="16">
        <v>231</v>
      </c>
      <c r="I51" s="16">
        <v>18</v>
      </c>
      <c r="J51" s="16" t="s">
        <v>356</v>
      </c>
      <c r="K51" s="16" t="s">
        <v>1742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83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1742</v>
      </c>
    </row>
    <row r="53" spans="1:11">
      <c r="A53" s="16">
        <v>3</v>
      </c>
      <c r="B53" s="16" t="s">
        <v>41</v>
      </c>
      <c r="C53" s="16">
        <v>0</v>
      </c>
      <c r="D53" s="16">
        <v>0</v>
      </c>
      <c r="E53" s="16">
        <v>0</v>
      </c>
      <c r="F53" s="16">
        <v>725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1742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0</v>
      </c>
      <c r="F54" s="16">
        <v>319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1742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1742</v>
      </c>
    </row>
    <row r="56" spans="1:11">
      <c r="A56" s="16">
        <v>0</v>
      </c>
      <c r="B56" s="16" t="s">
        <v>38</v>
      </c>
      <c r="C56" s="16">
        <v>47</v>
      </c>
      <c r="D56" s="16">
        <v>478</v>
      </c>
      <c r="E56" s="16">
        <v>390812</v>
      </c>
      <c r="F56" s="16">
        <v>318984</v>
      </c>
      <c r="G56" s="16">
        <v>90</v>
      </c>
      <c r="H56" s="16">
        <v>174</v>
      </c>
      <c r="I56" s="16">
        <v>9</v>
      </c>
      <c r="J56" s="16" t="s">
        <v>357</v>
      </c>
      <c r="K56" s="16" t="s">
        <v>1742</v>
      </c>
    </row>
    <row r="57" spans="1:11">
      <c r="A57" s="16">
        <v>1</v>
      </c>
      <c r="B57" s="16" t="s">
        <v>39</v>
      </c>
      <c r="C57" s="16">
        <v>4</v>
      </c>
      <c r="D57" s="16">
        <v>1400</v>
      </c>
      <c r="E57" s="16">
        <v>1502</v>
      </c>
      <c r="F57" s="16">
        <v>155339</v>
      </c>
      <c r="G57" s="16">
        <v>16</v>
      </c>
      <c r="H57" s="16">
        <v>118</v>
      </c>
      <c r="I57" s="16">
        <v>9</v>
      </c>
      <c r="J57" s="16" t="s">
        <v>357</v>
      </c>
      <c r="K57" s="16" t="s">
        <v>1742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21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1742</v>
      </c>
    </row>
    <row r="59" spans="1:11">
      <c r="A59" s="16">
        <v>3</v>
      </c>
      <c r="B59" s="16" t="s">
        <v>41</v>
      </c>
      <c r="C59" s="16">
        <v>0</v>
      </c>
      <c r="D59" s="16">
        <v>0</v>
      </c>
      <c r="E59" s="16">
        <v>0</v>
      </c>
      <c r="F59" s="16">
        <v>1089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1742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0</v>
      </c>
      <c r="F60" s="16">
        <v>211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1742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1742</v>
      </c>
    </row>
    <row r="62" spans="1:11">
      <c r="A62" s="16">
        <v>0</v>
      </c>
      <c r="B62" s="16" t="s">
        <v>38</v>
      </c>
      <c r="C62" s="16">
        <v>7</v>
      </c>
      <c r="D62" s="16">
        <v>69</v>
      </c>
      <c r="E62" s="16">
        <v>56061</v>
      </c>
      <c r="F62" s="16">
        <v>45757</v>
      </c>
      <c r="G62" s="16">
        <v>13</v>
      </c>
      <c r="H62" s="16">
        <v>25</v>
      </c>
      <c r="I62" s="16">
        <v>1</v>
      </c>
      <c r="J62" s="16" t="s">
        <v>358</v>
      </c>
      <c r="K62" s="16" t="s">
        <v>1742</v>
      </c>
    </row>
    <row r="63" spans="1:11">
      <c r="A63" s="16">
        <v>1</v>
      </c>
      <c r="B63" s="16" t="s">
        <v>39</v>
      </c>
      <c r="C63" s="16">
        <v>1</v>
      </c>
      <c r="D63" s="16">
        <v>201</v>
      </c>
      <c r="E63" s="16">
        <v>215</v>
      </c>
      <c r="F63" s="16">
        <v>22283</v>
      </c>
      <c r="G63" s="16">
        <v>2</v>
      </c>
      <c r="H63" s="16">
        <v>17</v>
      </c>
      <c r="I63" s="16">
        <v>1</v>
      </c>
      <c r="J63" s="16" t="s">
        <v>358</v>
      </c>
      <c r="K63" s="16" t="s">
        <v>1742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24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1742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1742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0</v>
      </c>
      <c r="F66" s="16">
        <v>60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1742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1742</v>
      </c>
    </row>
    <row r="68" spans="1:11">
      <c r="A68" s="16">
        <v>0</v>
      </c>
      <c r="B68" s="16" t="s">
        <v>38</v>
      </c>
      <c r="C68" s="16">
        <v>23</v>
      </c>
      <c r="D68" s="16">
        <v>227</v>
      </c>
      <c r="E68" s="16">
        <v>186014</v>
      </c>
      <c r="F68" s="16">
        <v>151826</v>
      </c>
      <c r="G68" s="16">
        <v>43</v>
      </c>
      <c r="H68" s="16">
        <v>83</v>
      </c>
      <c r="I68" s="16">
        <v>4</v>
      </c>
      <c r="J68" s="16" t="s">
        <v>359</v>
      </c>
      <c r="K68" s="16" t="s">
        <v>1742</v>
      </c>
    </row>
    <row r="69" spans="1:11">
      <c r="A69" s="16">
        <v>1</v>
      </c>
      <c r="B69" s="16" t="s">
        <v>39</v>
      </c>
      <c r="C69" s="16">
        <v>2</v>
      </c>
      <c r="D69" s="16">
        <v>666</v>
      </c>
      <c r="E69" s="16">
        <v>715</v>
      </c>
      <c r="F69" s="16">
        <v>73936</v>
      </c>
      <c r="G69" s="16">
        <v>8</v>
      </c>
      <c r="H69" s="16">
        <v>56</v>
      </c>
      <c r="I69" s="16">
        <v>4</v>
      </c>
      <c r="J69" s="16" t="s">
        <v>359</v>
      </c>
      <c r="K69" s="16" t="s">
        <v>1742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4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1742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345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1742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0</v>
      </c>
      <c r="F72" s="16">
        <v>0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1742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1742</v>
      </c>
    </row>
    <row r="74" spans="1:11">
      <c r="A74" s="16">
        <v>0</v>
      </c>
      <c r="B74" s="16" t="s">
        <v>38</v>
      </c>
      <c r="C74" s="16">
        <v>12</v>
      </c>
      <c r="D74" s="16">
        <v>119</v>
      </c>
      <c r="E74" s="16">
        <v>97233</v>
      </c>
      <c r="F74" s="16">
        <v>79362</v>
      </c>
      <c r="G74" s="16">
        <v>22</v>
      </c>
      <c r="H74" s="16">
        <v>43</v>
      </c>
      <c r="I74" s="16">
        <v>2</v>
      </c>
      <c r="J74" s="16" t="s">
        <v>360</v>
      </c>
      <c r="K74" s="16" t="s">
        <v>1742</v>
      </c>
    </row>
    <row r="75" spans="1:11">
      <c r="A75" s="16">
        <v>1</v>
      </c>
      <c r="B75" s="16" t="s">
        <v>39</v>
      </c>
      <c r="C75" s="16">
        <v>1</v>
      </c>
      <c r="D75" s="16">
        <v>348</v>
      </c>
      <c r="E75" s="16">
        <v>374</v>
      </c>
      <c r="F75" s="16">
        <v>38648</v>
      </c>
      <c r="G75" s="16">
        <v>4</v>
      </c>
      <c r="H75" s="16">
        <v>29</v>
      </c>
      <c r="I75" s="16">
        <v>2</v>
      </c>
      <c r="J75" s="16" t="s">
        <v>360</v>
      </c>
      <c r="K75" s="16" t="s">
        <v>1742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2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1742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87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1742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1742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1742</v>
      </c>
    </row>
    <row r="80" spans="1:11">
      <c r="A80" s="16">
        <v>0</v>
      </c>
      <c r="B80" s="16" t="s">
        <v>38</v>
      </c>
      <c r="C80" s="16">
        <v>57</v>
      </c>
      <c r="D80" s="16">
        <v>574</v>
      </c>
      <c r="E80" s="16">
        <v>469389</v>
      </c>
      <c r="F80" s="16">
        <v>383120</v>
      </c>
      <c r="G80" s="16">
        <v>108</v>
      </c>
      <c r="H80" s="16">
        <v>209</v>
      </c>
      <c r="I80" s="16">
        <v>11</v>
      </c>
      <c r="J80" s="16" t="s">
        <v>361</v>
      </c>
      <c r="K80" s="16" t="s">
        <v>1742</v>
      </c>
    </row>
    <row r="81" spans="1:11">
      <c r="A81" s="16">
        <v>1</v>
      </c>
      <c r="B81" s="16" t="s">
        <v>39</v>
      </c>
      <c r="C81" s="16">
        <v>4</v>
      </c>
      <c r="D81" s="16">
        <v>1681</v>
      </c>
      <c r="E81" s="16">
        <v>1803</v>
      </c>
      <c r="F81" s="16">
        <v>186571</v>
      </c>
      <c r="G81" s="16">
        <v>19</v>
      </c>
      <c r="H81" s="16">
        <v>142</v>
      </c>
      <c r="I81" s="16">
        <v>11</v>
      </c>
      <c r="J81" s="16" t="s">
        <v>361</v>
      </c>
      <c r="K81" s="16" t="s">
        <v>1742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57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1742</v>
      </c>
    </row>
    <row r="83" spans="1:11">
      <c r="A83" s="16">
        <v>3</v>
      </c>
      <c r="B83" s="16" t="s">
        <v>41</v>
      </c>
      <c r="C83" s="16">
        <v>0</v>
      </c>
      <c r="D83" s="16">
        <v>0</v>
      </c>
      <c r="E83" s="16">
        <v>0</v>
      </c>
      <c r="F83" s="16">
        <v>3490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1742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0</v>
      </c>
      <c r="F84" s="16">
        <v>219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1742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1742</v>
      </c>
    </row>
    <row r="86" spans="1:11">
      <c r="A86" s="16">
        <v>0</v>
      </c>
      <c r="B86" s="16" t="s">
        <v>38</v>
      </c>
      <c r="C86" s="16">
        <v>36</v>
      </c>
      <c r="D86" s="16">
        <v>361</v>
      </c>
      <c r="E86" s="16">
        <v>295278</v>
      </c>
      <c r="F86" s="16">
        <v>241009</v>
      </c>
      <c r="G86" s="16">
        <v>68</v>
      </c>
      <c r="H86" s="16">
        <v>131</v>
      </c>
      <c r="I86" s="16">
        <v>7</v>
      </c>
      <c r="J86" s="16" t="s">
        <v>362</v>
      </c>
      <c r="K86" s="16" t="s">
        <v>1742</v>
      </c>
    </row>
    <row r="87" spans="1:11">
      <c r="A87" s="16">
        <v>1</v>
      </c>
      <c r="B87" s="16" t="s">
        <v>39</v>
      </c>
      <c r="C87" s="16">
        <v>3</v>
      </c>
      <c r="D87" s="16">
        <v>1058</v>
      </c>
      <c r="E87" s="16">
        <v>1134</v>
      </c>
      <c r="F87" s="16">
        <v>117366</v>
      </c>
      <c r="G87" s="16">
        <v>12</v>
      </c>
      <c r="H87" s="16">
        <v>89</v>
      </c>
      <c r="I87" s="16">
        <v>7</v>
      </c>
      <c r="J87" s="16" t="s">
        <v>362</v>
      </c>
      <c r="K87" s="16" t="s">
        <v>1742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36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1742</v>
      </c>
    </row>
    <row r="89" spans="1:11">
      <c r="A89" s="16">
        <v>3</v>
      </c>
      <c r="B89" s="16" t="s">
        <v>41</v>
      </c>
      <c r="C89" s="16">
        <v>0</v>
      </c>
      <c r="D89" s="16">
        <v>0</v>
      </c>
      <c r="E89" s="16">
        <v>0</v>
      </c>
      <c r="F89" s="16">
        <v>546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1742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0</v>
      </c>
      <c r="F90" s="16">
        <v>120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1742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1742</v>
      </c>
    </row>
    <row r="92" spans="1:11">
      <c r="A92" s="16">
        <v>0</v>
      </c>
      <c r="B92" s="16" t="s">
        <v>38</v>
      </c>
      <c r="C92" s="16">
        <v>15</v>
      </c>
      <c r="D92" s="16">
        <v>152</v>
      </c>
      <c r="E92" s="16">
        <v>124180</v>
      </c>
      <c r="F92" s="16">
        <v>101357</v>
      </c>
      <c r="G92" s="16">
        <v>29</v>
      </c>
      <c r="H92" s="16">
        <v>55</v>
      </c>
      <c r="I92" s="16">
        <v>3</v>
      </c>
      <c r="J92" s="16" t="s">
        <v>363</v>
      </c>
      <c r="K92" s="16" t="s">
        <v>1742</v>
      </c>
    </row>
    <row r="93" spans="1:11">
      <c r="A93" s="16">
        <v>1</v>
      </c>
      <c r="B93" s="16" t="s">
        <v>39</v>
      </c>
      <c r="C93" s="16">
        <v>1</v>
      </c>
      <c r="D93" s="16">
        <v>445</v>
      </c>
      <c r="E93" s="16">
        <v>477</v>
      </c>
      <c r="F93" s="16">
        <v>49359</v>
      </c>
      <c r="G93" s="16">
        <v>5</v>
      </c>
      <c r="H93" s="16">
        <v>38</v>
      </c>
      <c r="I93" s="16">
        <v>3</v>
      </c>
      <c r="J93" s="16" t="s">
        <v>363</v>
      </c>
      <c r="K93" s="16" t="s">
        <v>1742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2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1742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368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1742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1742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1742</v>
      </c>
    </row>
    <row r="98" spans="1:11">
      <c r="A98" s="16">
        <v>0</v>
      </c>
      <c r="B98" s="16" t="s">
        <v>38</v>
      </c>
      <c r="C98" s="16">
        <v>25</v>
      </c>
      <c r="D98" s="16">
        <v>254</v>
      </c>
      <c r="E98" s="16">
        <v>207863</v>
      </c>
      <c r="F98" s="16">
        <v>169660</v>
      </c>
      <c r="G98" s="16">
        <v>48</v>
      </c>
      <c r="H98" s="16">
        <v>92</v>
      </c>
      <c r="I98" s="16">
        <v>5</v>
      </c>
      <c r="J98" s="16" t="s">
        <v>364</v>
      </c>
      <c r="K98" s="16" t="s">
        <v>1742</v>
      </c>
    </row>
    <row r="99" spans="1:11">
      <c r="A99" s="16">
        <v>1</v>
      </c>
      <c r="B99" s="16" t="s">
        <v>39</v>
      </c>
      <c r="C99" s="16">
        <v>2</v>
      </c>
      <c r="D99" s="16">
        <v>745</v>
      </c>
      <c r="E99" s="16">
        <v>799</v>
      </c>
      <c r="F99" s="16">
        <v>82621</v>
      </c>
      <c r="G99" s="16">
        <v>8</v>
      </c>
      <c r="H99" s="16">
        <v>63</v>
      </c>
      <c r="I99" s="16">
        <v>5</v>
      </c>
      <c r="J99" s="16" t="s">
        <v>364</v>
      </c>
      <c r="K99" s="16" t="s">
        <v>1742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145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1742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283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1742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0</v>
      </c>
      <c r="F102" s="16">
        <v>168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1742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1742</v>
      </c>
    </row>
    <row r="104" spans="1:11">
      <c r="A104" s="16">
        <v>0</v>
      </c>
      <c r="B104" s="16" t="s">
        <v>38</v>
      </c>
      <c r="C104" s="16">
        <v>22</v>
      </c>
      <c r="D104" s="16">
        <v>227</v>
      </c>
      <c r="E104" s="16">
        <v>185357</v>
      </c>
      <c r="F104" s="16">
        <v>151290</v>
      </c>
      <c r="G104" s="16">
        <v>43</v>
      </c>
      <c r="H104" s="16">
        <v>82</v>
      </c>
      <c r="I104" s="16">
        <v>4</v>
      </c>
      <c r="J104" s="16" t="s">
        <v>365</v>
      </c>
      <c r="K104" s="16" t="s">
        <v>1742</v>
      </c>
    </row>
    <row r="105" spans="1:11">
      <c r="A105" s="16">
        <v>1</v>
      </c>
      <c r="B105" s="16" t="s">
        <v>39</v>
      </c>
      <c r="C105" s="16">
        <v>2</v>
      </c>
      <c r="D105" s="16">
        <v>664</v>
      </c>
      <c r="E105" s="16">
        <v>712</v>
      </c>
      <c r="F105" s="16">
        <v>73675</v>
      </c>
      <c r="G105" s="16">
        <v>7</v>
      </c>
      <c r="H105" s="16">
        <v>56</v>
      </c>
      <c r="I105" s="16">
        <v>4</v>
      </c>
      <c r="J105" s="16" t="s">
        <v>365</v>
      </c>
      <c r="K105" s="16" t="s">
        <v>1742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5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1742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386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1742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0</v>
      </c>
      <c r="F108" s="16">
        <v>2273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1742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1742</v>
      </c>
    </row>
    <row r="110" spans="1:11">
      <c r="A110" s="16">
        <v>0</v>
      </c>
      <c r="B110" s="16" t="s">
        <v>38</v>
      </c>
      <c r="C110" s="16">
        <v>27</v>
      </c>
      <c r="D110" s="16">
        <v>270</v>
      </c>
      <c r="E110" s="16">
        <v>221254</v>
      </c>
      <c r="F110" s="16">
        <v>180590</v>
      </c>
      <c r="G110" s="16">
        <v>51</v>
      </c>
      <c r="H110" s="16">
        <v>98</v>
      </c>
      <c r="I110" s="16">
        <v>5</v>
      </c>
      <c r="J110" s="16" t="s">
        <v>366</v>
      </c>
      <c r="K110" s="16" t="s">
        <v>1742</v>
      </c>
    </row>
    <row r="111" spans="1:11">
      <c r="A111" s="16">
        <v>1</v>
      </c>
      <c r="B111" s="16" t="s">
        <v>39</v>
      </c>
      <c r="C111" s="16">
        <v>2</v>
      </c>
      <c r="D111" s="16">
        <v>793</v>
      </c>
      <c r="E111" s="16">
        <v>850</v>
      </c>
      <c r="F111" s="16">
        <v>87943</v>
      </c>
      <c r="G111" s="16">
        <v>9</v>
      </c>
      <c r="H111" s="16">
        <v>67</v>
      </c>
      <c r="I111" s="16">
        <v>5</v>
      </c>
      <c r="J111" s="16" t="s">
        <v>366</v>
      </c>
      <c r="K111" s="16" t="s">
        <v>1742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7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1742</v>
      </c>
    </row>
    <row r="113" spans="1:11">
      <c r="A113" s="16">
        <v>3</v>
      </c>
      <c r="B113" s="16" t="s">
        <v>41</v>
      </c>
      <c r="C113" s="16">
        <v>0</v>
      </c>
      <c r="D113" s="16">
        <v>0</v>
      </c>
      <c r="E113" s="16">
        <v>0</v>
      </c>
      <c r="F113" s="16">
        <v>157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1742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0</v>
      </c>
      <c r="F114" s="16">
        <v>65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1742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1742</v>
      </c>
    </row>
    <row r="116" spans="1:11">
      <c r="A116" s="16">
        <v>0</v>
      </c>
      <c r="B116" s="16" t="s">
        <v>38</v>
      </c>
      <c r="C116" s="16">
        <v>21</v>
      </c>
      <c r="D116" s="16">
        <v>211</v>
      </c>
      <c r="E116" s="16">
        <v>172979</v>
      </c>
      <c r="F116" s="16">
        <v>141187</v>
      </c>
      <c r="G116" s="16">
        <v>40</v>
      </c>
      <c r="H116" s="16">
        <v>77</v>
      </c>
      <c r="I116" s="16">
        <v>4</v>
      </c>
      <c r="J116" s="16" t="s">
        <v>367</v>
      </c>
      <c r="K116" s="16" t="s">
        <v>1742</v>
      </c>
    </row>
    <row r="117" spans="1:11">
      <c r="A117" s="16">
        <v>1</v>
      </c>
      <c r="B117" s="16" t="s">
        <v>39</v>
      </c>
      <c r="C117" s="16">
        <v>2</v>
      </c>
      <c r="D117" s="16">
        <v>620</v>
      </c>
      <c r="E117" s="16">
        <v>665</v>
      </c>
      <c r="F117" s="16">
        <v>68755</v>
      </c>
      <c r="G117" s="16">
        <v>7</v>
      </c>
      <c r="H117" s="16">
        <v>52</v>
      </c>
      <c r="I117" s="16">
        <v>4</v>
      </c>
      <c r="J117" s="16" t="s">
        <v>367</v>
      </c>
      <c r="K117" s="16" t="s">
        <v>1742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1742</v>
      </c>
    </row>
    <row r="119" spans="1:11">
      <c r="A119" s="16">
        <v>3</v>
      </c>
      <c r="B119" s="16" t="s">
        <v>41</v>
      </c>
      <c r="C119" s="16">
        <v>0</v>
      </c>
      <c r="D119" s="16">
        <v>0</v>
      </c>
      <c r="E119" s="16">
        <v>0</v>
      </c>
      <c r="F119" s="16">
        <v>187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1742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0</v>
      </c>
      <c r="F120" s="16">
        <v>171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1742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1742</v>
      </c>
    </row>
    <row r="122" spans="1:11">
      <c r="A122" s="16">
        <v>0</v>
      </c>
      <c r="B122" s="16" t="s">
        <v>38</v>
      </c>
      <c r="C122" s="16">
        <v>7</v>
      </c>
      <c r="D122" s="16">
        <v>68</v>
      </c>
      <c r="E122" s="16">
        <v>55444</v>
      </c>
      <c r="F122" s="16">
        <v>45254</v>
      </c>
      <c r="G122" s="16">
        <v>13</v>
      </c>
      <c r="H122" s="16">
        <v>25</v>
      </c>
      <c r="I122" s="16">
        <v>1</v>
      </c>
      <c r="J122" s="16" t="s">
        <v>368</v>
      </c>
      <c r="K122" s="16" t="s">
        <v>1742</v>
      </c>
    </row>
    <row r="123" spans="1:11">
      <c r="A123" s="16">
        <v>1</v>
      </c>
      <c r="B123" s="16" t="s">
        <v>39</v>
      </c>
      <c r="C123" s="16">
        <v>1</v>
      </c>
      <c r="D123" s="16">
        <v>199</v>
      </c>
      <c r="E123" s="16">
        <v>213</v>
      </c>
      <c r="F123" s="16">
        <v>22038</v>
      </c>
      <c r="G123" s="16">
        <v>2</v>
      </c>
      <c r="H123" s="16">
        <v>17</v>
      </c>
      <c r="I123" s="16">
        <v>1</v>
      </c>
      <c r="J123" s="16" t="s">
        <v>368</v>
      </c>
      <c r="K123" s="16" t="s">
        <v>1742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1742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20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1742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1742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1742</v>
      </c>
    </row>
    <row r="128" spans="1:11">
      <c r="A128" s="16">
        <v>0</v>
      </c>
      <c r="B128" s="16" t="s">
        <v>38</v>
      </c>
      <c r="C128" s="16">
        <v>51</v>
      </c>
      <c r="D128" s="16">
        <v>518</v>
      </c>
      <c r="E128" s="16">
        <v>423484</v>
      </c>
      <c r="F128" s="16">
        <v>345652</v>
      </c>
      <c r="G128" s="16">
        <v>97</v>
      </c>
      <c r="H128" s="16">
        <v>188</v>
      </c>
      <c r="I128" s="16">
        <v>10</v>
      </c>
      <c r="J128" s="16" t="s">
        <v>369</v>
      </c>
      <c r="K128" s="16" t="s">
        <v>1742</v>
      </c>
    </row>
    <row r="129" spans="1:11">
      <c r="A129" s="16">
        <v>1</v>
      </c>
      <c r="B129" s="16" t="s">
        <v>39</v>
      </c>
      <c r="C129" s="16">
        <v>4</v>
      </c>
      <c r="D129" s="16">
        <v>1517</v>
      </c>
      <c r="E129" s="16">
        <v>1627</v>
      </c>
      <c r="F129" s="16">
        <v>168325</v>
      </c>
      <c r="G129" s="16">
        <v>17</v>
      </c>
      <c r="H129" s="16">
        <v>128</v>
      </c>
      <c r="I129" s="16">
        <v>10</v>
      </c>
      <c r="J129" s="16" t="s">
        <v>369</v>
      </c>
      <c r="K129" s="16" t="s">
        <v>1742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10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1742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458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1742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1742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1742</v>
      </c>
    </row>
    <row r="134" spans="1:11">
      <c r="A134" s="16">
        <v>0</v>
      </c>
      <c r="B134" s="16" t="s">
        <v>38</v>
      </c>
      <c r="C134" s="16">
        <v>33</v>
      </c>
      <c r="D134" s="16">
        <v>337</v>
      </c>
      <c r="E134" s="16">
        <v>275347</v>
      </c>
      <c r="F134" s="16">
        <v>224741</v>
      </c>
      <c r="G134" s="16">
        <v>63</v>
      </c>
      <c r="H134" s="16">
        <v>122</v>
      </c>
      <c r="I134" s="16">
        <v>6</v>
      </c>
      <c r="J134" s="16" t="s">
        <v>370</v>
      </c>
      <c r="K134" s="16" t="s">
        <v>1742</v>
      </c>
    </row>
    <row r="135" spans="1:11">
      <c r="A135" s="16">
        <v>1</v>
      </c>
      <c r="B135" s="16" t="s">
        <v>39</v>
      </c>
      <c r="C135" s="16">
        <v>3</v>
      </c>
      <c r="D135" s="16">
        <v>986</v>
      </c>
      <c r="E135" s="16">
        <v>1058</v>
      </c>
      <c r="F135" s="16">
        <v>109444</v>
      </c>
      <c r="G135" s="16">
        <v>11</v>
      </c>
      <c r="H135" s="16">
        <v>83</v>
      </c>
      <c r="I135" s="16">
        <v>7</v>
      </c>
      <c r="J135" s="16" t="s">
        <v>370</v>
      </c>
      <c r="K135" s="16" t="s">
        <v>1742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1742</v>
      </c>
    </row>
    <row r="137" spans="1:11">
      <c r="A137" s="16">
        <v>3</v>
      </c>
      <c r="B137" s="16" t="s">
        <v>41</v>
      </c>
      <c r="C137" s="16">
        <v>0</v>
      </c>
      <c r="D137" s="16">
        <v>0</v>
      </c>
      <c r="E137" s="16">
        <v>0</v>
      </c>
      <c r="F137" s="16">
        <v>953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1742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0</v>
      </c>
      <c r="F138" s="16">
        <v>127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1742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1742</v>
      </c>
    </row>
    <row r="140" spans="1:11">
      <c r="A140" s="16">
        <v>0</v>
      </c>
      <c r="B140" s="16" t="s">
        <v>38</v>
      </c>
      <c r="C140" s="16">
        <v>32</v>
      </c>
      <c r="D140" s="16">
        <v>322</v>
      </c>
      <c r="E140" s="16">
        <v>263775</v>
      </c>
      <c r="F140" s="16">
        <v>215296</v>
      </c>
      <c r="G140" s="16">
        <v>61</v>
      </c>
      <c r="H140" s="16">
        <v>117</v>
      </c>
      <c r="I140" s="16">
        <v>6</v>
      </c>
      <c r="J140" s="16" t="s">
        <v>371</v>
      </c>
      <c r="K140" s="16" t="s">
        <v>1742</v>
      </c>
    </row>
    <row r="141" spans="1:11">
      <c r="A141" s="16">
        <v>1</v>
      </c>
      <c r="B141" s="16" t="s">
        <v>39</v>
      </c>
      <c r="C141" s="16">
        <v>2</v>
      </c>
      <c r="D141" s="16">
        <v>945</v>
      </c>
      <c r="E141" s="16">
        <v>1013</v>
      </c>
      <c r="F141" s="16">
        <v>104844</v>
      </c>
      <c r="G141" s="16">
        <v>11</v>
      </c>
      <c r="H141" s="16">
        <v>80</v>
      </c>
      <c r="I141" s="16">
        <v>6</v>
      </c>
      <c r="J141" s="16" t="s">
        <v>371</v>
      </c>
      <c r="K141" s="16" t="s">
        <v>1742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7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1742</v>
      </c>
    </row>
    <row r="143" spans="1:11">
      <c r="A143" s="16">
        <v>3</v>
      </c>
      <c r="B143" s="16" t="s">
        <v>41</v>
      </c>
      <c r="C143" s="16">
        <v>0</v>
      </c>
      <c r="D143" s="16">
        <v>0</v>
      </c>
      <c r="E143" s="16">
        <v>0</v>
      </c>
      <c r="F143" s="16">
        <v>492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1742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0</v>
      </c>
      <c r="F144" s="16">
        <v>149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1742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1742</v>
      </c>
    </row>
    <row r="146" spans="1:11">
      <c r="A146" s="16">
        <v>0</v>
      </c>
      <c r="B146" s="16" t="s">
        <v>38</v>
      </c>
      <c r="C146" s="16">
        <v>11</v>
      </c>
      <c r="D146" s="16">
        <v>116</v>
      </c>
      <c r="E146" s="16">
        <v>94646</v>
      </c>
      <c r="F146" s="16">
        <v>77251</v>
      </c>
      <c r="G146" s="16">
        <v>22</v>
      </c>
      <c r="H146" s="16">
        <v>42</v>
      </c>
      <c r="I146" s="16">
        <v>2</v>
      </c>
      <c r="J146" s="16" t="s">
        <v>372</v>
      </c>
      <c r="K146" s="16" t="s">
        <v>1742</v>
      </c>
    </row>
    <row r="147" spans="1:11">
      <c r="A147" s="16">
        <v>1</v>
      </c>
      <c r="B147" s="16" t="s">
        <v>39</v>
      </c>
      <c r="C147" s="16">
        <v>1</v>
      </c>
      <c r="D147" s="16">
        <v>339</v>
      </c>
      <c r="E147" s="16">
        <v>364</v>
      </c>
      <c r="F147" s="16">
        <v>37620</v>
      </c>
      <c r="G147" s="16">
        <v>4</v>
      </c>
      <c r="H147" s="16">
        <v>29</v>
      </c>
      <c r="I147" s="16">
        <v>2</v>
      </c>
      <c r="J147" s="16" t="s">
        <v>372</v>
      </c>
      <c r="K147" s="16" t="s">
        <v>1742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1742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118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1742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0</v>
      </c>
      <c r="F150" s="16">
        <v>112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1742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1742</v>
      </c>
    </row>
    <row r="152" spans="1:11">
      <c r="A152" s="16">
        <v>0</v>
      </c>
      <c r="B152" s="16" t="s">
        <v>38</v>
      </c>
      <c r="C152" s="16">
        <v>11</v>
      </c>
      <c r="D152" s="16">
        <v>106</v>
      </c>
      <c r="E152" s="16">
        <v>87006</v>
      </c>
      <c r="F152" s="16">
        <v>71016</v>
      </c>
      <c r="G152" s="16">
        <v>20</v>
      </c>
      <c r="H152" s="16">
        <v>39</v>
      </c>
      <c r="I152" s="16">
        <v>2</v>
      </c>
      <c r="J152" s="16" t="s">
        <v>373</v>
      </c>
      <c r="K152" s="16" t="s">
        <v>1742</v>
      </c>
    </row>
    <row r="153" spans="1:11">
      <c r="A153" s="16">
        <v>1</v>
      </c>
      <c r="B153" s="16" t="s">
        <v>39</v>
      </c>
      <c r="C153" s="16">
        <v>1</v>
      </c>
      <c r="D153" s="16">
        <v>312</v>
      </c>
      <c r="E153" s="16">
        <v>334</v>
      </c>
      <c r="F153" s="16">
        <v>34583</v>
      </c>
      <c r="G153" s="16">
        <v>4</v>
      </c>
      <c r="H153" s="16">
        <v>26</v>
      </c>
      <c r="I153" s="16">
        <v>2</v>
      </c>
      <c r="J153" s="16" t="s">
        <v>373</v>
      </c>
      <c r="K153" s="16" t="s">
        <v>1742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1742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155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1742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1742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1742</v>
      </c>
    </row>
    <row r="158" spans="1:11">
      <c r="A158" s="16">
        <v>0</v>
      </c>
      <c r="B158" s="16" t="s">
        <v>38</v>
      </c>
      <c r="C158" s="16">
        <v>48</v>
      </c>
      <c r="D158" s="16">
        <v>480</v>
      </c>
      <c r="E158" s="16">
        <v>392976</v>
      </c>
      <c r="F158" s="16">
        <v>320751</v>
      </c>
      <c r="G158" s="16">
        <v>90</v>
      </c>
      <c r="H158" s="16">
        <v>175</v>
      </c>
      <c r="I158" s="16">
        <v>9</v>
      </c>
      <c r="J158" s="16" t="s">
        <v>374</v>
      </c>
      <c r="K158" s="16" t="s">
        <v>1742</v>
      </c>
    </row>
    <row r="159" spans="1:11">
      <c r="A159" s="16">
        <v>1</v>
      </c>
      <c r="B159" s="16" t="s">
        <v>39</v>
      </c>
      <c r="C159" s="16">
        <v>4</v>
      </c>
      <c r="D159" s="16">
        <v>1408</v>
      </c>
      <c r="E159" s="16">
        <v>1510</v>
      </c>
      <c r="F159" s="16">
        <v>156199</v>
      </c>
      <c r="G159" s="16">
        <v>16</v>
      </c>
      <c r="H159" s="16">
        <v>119</v>
      </c>
      <c r="I159" s="16">
        <v>9</v>
      </c>
      <c r="J159" s="16" t="s">
        <v>374</v>
      </c>
      <c r="K159" s="16" t="s">
        <v>1742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14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1742</v>
      </c>
    </row>
    <row r="161" spans="1:11">
      <c r="A161" s="16">
        <v>3</v>
      </c>
      <c r="B161" s="16" t="s">
        <v>41</v>
      </c>
      <c r="C161" s="16">
        <v>0</v>
      </c>
      <c r="D161" s="16">
        <v>0</v>
      </c>
      <c r="E161" s="16">
        <v>0</v>
      </c>
      <c r="F161" s="16">
        <v>375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1742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1742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1742</v>
      </c>
    </row>
    <row r="164" spans="1:11">
      <c r="A164" s="16">
        <v>0</v>
      </c>
      <c r="B164" s="16" t="s">
        <v>38</v>
      </c>
      <c r="C164" s="16">
        <v>6</v>
      </c>
      <c r="D164" s="16">
        <v>60</v>
      </c>
      <c r="E164" s="16">
        <v>49414</v>
      </c>
      <c r="F164" s="16">
        <v>40332</v>
      </c>
      <c r="G164" s="16">
        <v>11</v>
      </c>
      <c r="H164" s="16">
        <v>22</v>
      </c>
      <c r="I164" s="16">
        <v>1</v>
      </c>
      <c r="J164" s="16" t="s">
        <v>375</v>
      </c>
      <c r="K164" s="16" t="s">
        <v>1742</v>
      </c>
    </row>
    <row r="165" spans="1:11">
      <c r="A165" s="16">
        <v>1</v>
      </c>
      <c r="B165" s="16" t="s">
        <v>39</v>
      </c>
      <c r="C165" s="16">
        <v>0</v>
      </c>
      <c r="D165" s="16">
        <v>177</v>
      </c>
      <c r="E165" s="16">
        <v>190</v>
      </c>
      <c r="F165" s="16">
        <v>19641</v>
      </c>
      <c r="G165" s="16">
        <v>2</v>
      </c>
      <c r="H165" s="16">
        <v>15</v>
      </c>
      <c r="I165" s="16">
        <v>1</v>
      </c>
      <c r="J165" s="16" t="s">
        <v>375</v>
      </c>
      <c r="K165" s="16" t="s">
        <v>1742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2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1742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224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1742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1742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1742</v>
      </c>
    </row>
    <row r="170" spans="1:11">
      <c r="A170" s="16">
        <v>0</v>
      </c>
      <c r="B170" s="16" t="s">
        <v>38</v>
      </c>
      <c r="C170" s="16">
        <v>12</v>
      </c>
      <c r="D170" s="16">
        <v>117</v>
      </c>
      <c r="E170" s="16">
        <v>95429</v>
      </c>
      <c r="F170" s="16">
        <v>77890</v>
      </c>
      <c r="G170" s="16">
        <v>22</v>
      </c>
      <c r="H170" s="16">
        <v>42</v>
      </c>
      <c r="I170" s="16">
        <v>2</v>
      </c>
      <c r="J170" s="16" t="s">
        <v>376</v>
      </c>
      <c r="K170" s="16" t="s">
        <v>1742</v>
      </c>
    </row>
    <row r="171" spans="1:11">
      <c r="A171" s="16">
        <v>1</v>
      </c>
      <c r="B171" s="16" t="s">
        <v>39</v>
      </c>
      <c r="C171" s="16">
        <v>1</v>
      </c>
      <c r="D171" s="16">
        <v>342</v>
      </c>
      <c r="E171" s="16">
        <v>367</v>
      </c>
      <c r="F171" s="16">
        <v>37931</v>
      </c>
      <c r="G171" s="16">
        <v>4</v>
      </c>
      <c r="H171" s="16">
        <v>29</v>
      </c>
      <c r="I171" s="16">
        <v>2</v>
      </c>
      <c r="J171" s="16" t="s">
        <v>376</v>
      </c>
      <c r="K171" s="16" t="s">
        <v>1742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3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1742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265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1742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1742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1742</v>
      </c>
    </row>
    <row r="176" spans="1:11">
      <c r="A176" s="16">
        <v>0</v>
      </c>
      <c r="B176" s="16" t="s">
        <v>38</v>
      </c>
      <c r="C176" s="16">
        <v>8</v>
      </c>
      <c r="D176" s="16">
        <v>76</v>
      </c>
      <c r="E176" s="16">
        <v>62576</v>
      </c>
      <c r="F176" s="16">
        <v>51075</v>
      </c>
      <c r="G176" s="16">
        <v>14</v>
      </c>
      <c r="H176" s="16">
        <v>28</v>
      </c>
      <c r="I176" s="16">
        <v>1</v>
      </c>
      <c r="J176" s="16" t="s">
        <v>377</v>
      </c>
      <c r="K176" s="16" t="s">
        <v>1742</v>
      </c>
    </row>
    <row r="177" spans="1:11">
      <c r="A177" s="16">
        <v>1</v>
      </c>
      <c r="B177" s="16" t="s">
        <v>39</v>
      </c>
      <c r="C177" s="16">
        <v>1</v>
      </c>
      <c r="D177" s="16">
        <v>224</v>
      </c>
      <c r="E177" s="16">
        <v>240</v>
      </c>
      <c r="F177" s="16">
        <v>24873</v>
      </c>
      <c r="G177" s="16">
        <v>3</v>
      </c>
      <c r="H177" s="16">
        <v>19</v>
      </c>
      <c r="I177" s="16">
        <v>1</v>
      </c>
      <c r="J177" s="16" t="s">
        <v>377</v>
      </c>
      <c r="K177" s="16" t="s">
        <v>1742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4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1742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4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1742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1742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1742</v>
      </c>
    </row>
    <row r="182" spans="1:11">
      <c r="A182" s="16">
        <v>0</v>
      </c>
      <c r="B182" s="16" t="s">
        <v>38</v>
      </c>
      <c r="C182" s="16">
        <v>31</v>
      </c>
      <c r="D182" s="16">
        <v>311</v>
      </c>
      <c r="E182" s="16">
        <v>254760</v>
      </c>
      <c r="F182" s="16">
        <v>207937</v>
      </c>
      <c r="G182" s="16">
        <v>59</v>
      </c>
      <c r="H182" s="16">
        <v>113</v>
      </c>
      <c r="I182" s="16">
        <v>6</v>
      </c>
      <c r="J182" s="16" t="s">
        <v>378</v>
      </c>
      <c r="K182" s="16" t="s">
        <v>1742</v>
      </c>
    </row>
    <row r="183" spans="1:11">
      <c r="A183" s="16">
        <v>1</v>
      </c>
      <c r="B183" s="16" t="s">
        <v>39</v>
      </c>
      <c r="C183" s="16">
        <v>2</v>
      </c>
      <c r="D183" s="16">
        <v>913</v>
      </c>
      <c r="E183" s="16">
        <v>979</v>
      </c>
      <c r="F183" s="16">
        <v>101261</v>
      </c>
      <c r="G183" s="16">
        <v>10</v>
      </c>
      <c r="H183" s="16">
        <v>77</v>
      </c>
      <c r="I183" s="16">
        <v>6</v>
      </c>
      <c r="J183" s="16" t="s">
        <v>378</v>
      </c>
      <c r="K183" s="16" t="s">
        <v>1742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19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1742</v>
      </c>
    </row>
    <row r="185" spans="1:11">
      <c r="A185" s="16">
        <v>3</v>
      </c>
      <c r="B185" s="16" t="s">
        <v>41</v>
      </c>
      <c r="C185" s="16">
        <v>0</v>
      </c>
      <c r="D185" s="16">
        <v>0</v>
      </c>
      <c r="E185" s="16">
        <v>0</v>
      </c>
      <c r="F185" s="16">
        <v>659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1742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0</v>
      </c>
      <c r="F186" s="16">
        <v>399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1742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1742</v>
      </c>
    </row>
    <row r="188" spans="1:11">
      <c r="A188" s="16">
        <v>0</v>
      </c>
      <c r="B188" s="16" t="s">
        <v>38</v>
      </c>
      <c r="C188" s="16">
        <v>10</v>
      </c>
      <c r="D188" s="16">
        <v>103</v>
      </c>
      <c r="E188" s="16">
        <v>84039</v>
      </c>
      <c r="F188" s="16">
        <v>68594</v>
      </c>
      <c r="G188" s="16">
        <v>19</v>
      </c>
      <c r="H188" s="16">
        <v>37</v>
      </c>
      <c r="I188" s="16">
        <v>2</v>
      </c>
      <c r="J188" s="16" t="s">
        <v>379</v>
      </c>
      <c r="K188" s="16" t="s">
        <v>1742</v>
      </c>
    </row>
    <row r="189" spans="1:11">
      <c r="A189" s="16">
        <v>1</v>
      </c>
      <c r="B189" s="16" t="s">
        <v>39</v>
      </c>
      <c r="C189" s="16">
        <v>1</v>
      </c>
      <c r="D189" s="16">
        <v>301</v>
      </c>
      <c r="E189" s="16">
        <v>323</v>
      </c>
      <c r="F189" s="16">
        <v>33404</v>
      </c>
      <c r="G189" s="16">
        <v>3</v>
      </c>
      <c r="H189" s="16">
        <v>25</v>
      </c>
      <c r="I189" s="16">
        <v>2</v>
      </c>
      <c r="J189" s="16" t="s">
        <v>379</v>
      </c>
      <c r="K189" s="16" t="s">
        <v>1742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4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1742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102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1742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1742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1742</v>
      </c>
    </row>
    <row r="194" spans="1:11">
      <c r="A194" s="16">
        <v>0</v>
      </c>
      <c r="B194" s="16" t="s">
        <v>38</v>
      </c>
      <c r="C194" s="16">
        <v>13</v>
      </c>
      <c r="D194" s="16">
        <v>136</v>
      </c>
      <c r="E194" s="16">
        <v>111285</v>
      </c>
      <c r="F194" s="16">
        <v>90832</v>
      </c>
      <c r="G194" s="16">
        <v>26</v>
      </c>
      <c r="H194" s="16">
        <v>49</v>
      </c>
      <c r="I194" s="16">
        <v>3</v>
      </c>
      <c r="J194" s="16" t="s">
        <v>380</v>
      </c>
      <c r="K194" s="16" t="s">
        <v>1742</v>
      </c>
    </row>
    <row r="195" spans="1:11">
      <c r="A195" s="16">
        <v>1</v>
      </c>
      <c r="B195" s="16" t="s">
        <v>39</v>
      </c>
      <c r="C195" s="16">
        <v>1</v>
      </c>
      <c r="D195" s="16">
        <v>399</v>
      </c>
      <c r="E195" s="16">
        <v>428</v>
      </c>
      <c r="F195" s="16">
        <v>44233</v>
      </c>
      <c r="G195" s="16">
        <v>4</v>
      </c>
      <c r="H195" s="16">
        <v>34</v>
      </c>
      <c r="I195" s="16">
        <v>3</v>
      </c>
      <c r="J195" s="16" t="s">
        <v>380</v>
      </c>
      <c r="K195" s="16" t="s">
        <v>1742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7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1742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52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1742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1742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1742</v>
      </c>
    </row>
    <row r="200" spans="1:11">
      <c r="A200" s="16">
        <v>0</v>
      </c>
      <c r="B200" s="16" t="s">
        <v>38</v>
      </c>
      <c r="C200" s="16">
        <v>62</v>
      </c>
      <c r="D200" s="16">
        <v>622</v>
      </c>
      <c r="E200" s="16">
        <v>508762</v>
      </c>
      <c r="F200" s="16">
        <v>415256</v>
      </c>
      <c r="G200" s="16">
        <v>117</v>
      </c>
      <c r="H200" s="16">
        <v>226</v>
      </c>
      <c r="I200" s="16">
        <v>12</v>
      </c>
      <c r="J200" s="16" t="s">
        <v>381</v>
      </c>
      <c r="K200" s="16" t="s">
        <v>1742</v>
      </c>
    </row>
    <row r="201" spans="1:11">
      <c r="A201" s="16">
        <v>1</v>
      </c>
      <c r="B201" s="16" t="s">
        <v>39</v>
      </c>
      <c r="C201" s="16">
        <v>5</v>
      </c>
      <c r="D201" s="16">
        <v>1822</v>
      </c>
      <c r="E201" s="16">
        <v>1955</v>
      </c>
      <c r="F201" s="16">
        <v>202221</v>
      </c>
      <c r="G201" s="16">
        <v>21</v>
      </c>
      <c r="H201" s="16">
        <v>154</v>
      </c>
      <c r="I201" s="16">
        <v>12</v>
      </c>
      <c r="J201" s="16" t="s">
        <v>381</v>
      </c>
      <c r="K201" s="16" t="s">
        <v>1742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30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1742</v>
      </c>
    </row>
    <row r="203" spans="1:11">
      <c r="A203" s="16">
        <v>3</v>
      </c>
      <c r="B203" s="16" t="s">
        <v>41</v>
      </c>
      <c r="C203" s="16">
        <v>0</v>
      </c>
      <c r="D203" s="16">
        <v>0</v>
      </c>
      <c r="E203" s="16">
        <v>0</v>
      </c>
      <c r="F203" s="16">
        <v>217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1742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0</v>
      </c>
      <c r="F204" s="16">
        <v>301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1742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1742</v>
      </c>
    </row>
    <row r="206" spans="1:11">
      <c r="A206" s="16">
        <v>0</v>
      </c>
      <c r="B206" s="16" t="s">
        <v>38</v>
      </c>
      <c r="C206" s="16">
        <v>55</v>
      </c>
      <c r="D206" s="16">
        <v>556</v>
      </c>
      <c r="E206" s="16">
        <v>454756</v>
      </c>
      <c r="F206" s="16">
        <v>371176</v>
      </c>
      <c r="G206" s="16">
        <v>105</v>
      </c>
      <c r="H206" s="16">
        <v>202</v>
      </c>
      <c r="I206" s="16">
        <v>10</v>
      </c>
      <c r="J206" s="16" t="s">
        <v>382</v>
      </c>
      <c r="K206" s="16" t="s">
        <v>1742</v>
      </c>
    </row>
    <row r="207" spans="1:11">
      <c r="A207" s="16">
        <v>1</v>
      </c>
      <c r="B207" s="16" t="s">
        <v>39</v>
      </c>
      <c r="C207" s="16">
        <v>4</v>
      </c>
      <c r="D207" s="16">
        <v>1629</v>
      </c>
      <c r="E207" s="16">
        <v>1747</v>
      </c>
      <c r="F207" s="16">
        <v>180755</v>
      </c>
      <c r="G207" s="16">
        <v>18</v>
      </c>
      <c r="H207" s="16">
        <v>137</v>
      </c>
      <c r="I207" s="16">
        <v>11</v>
      </c>
      <c r="J207" s="16" t="s">
        <v>382</v>
      </c>
      <c r="K207" s="16" t="s">
        <v>1742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11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1742</v>
      </c>
    </row>
    <row r="209" spans="1:11">
      <c r="A209" s="16">
        <v>3</v>
      </c>
      <c r="B209" s="16" t="s">
        <v>41</v>
      </c>
      <c r="C209" s="16">
        <v>0</v>
      </c>
      <c r="D209" s="16">
        <v>0</v>
      </c>
      <c r="E209" s="16">
        <v>0</v>
      </c>
      <c r="F209" s="16">
        <v>957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1742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0</v>
      </c>
      <c r="F210" s="16">
        <v>133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1742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1742</v>
      </c>
    </row>
    <row r="212" spans="1:11">
      <c r="A212" s="16">
        <v>0</v>
      </c>
      <c r="B212" s="16" t="s">
        <v>38</v>
      </c>
      <c r="C212" s="16">
        <v>22</v>
      </c>
      <c r="D212" s="16">
        <v>222</v>
      </c>
      <c r="E212" s="16">
        <v>181957</v>
      </c>
      <c r="F212" s="16">
        <v>148515</v>
      </c>
      <c r="G212" s="16">
        <v>42</v>
      </c>
      <c r="H212" s="16">
        <v>81</v>
      </c>
      <c r="I212" s="16">
        <v>4</v>
      </c>
      <c r="J212" s="16" t="s">
        <v>383</v>
      </c>
      <c r="K212" s="16" t="s">
        <v>1742</v>
      </c>
    </row>
    <row r="213" spans="1:11">
      <c r="A213" s="16">
        <v>1</v>
      </c>
      <c r="B213" s="16" t="s">
        <v>39</v>
      </c>
      <c r="C213" s="16">
        <v>2</v>
      </c>
      <c r="D213" s="16">
        <v>652</v>
      </c>
      <c r="E213" s="16">
        <v>699</v>
      </c>
      <c r="F213" s="16">
        <v>72324</v>
      </c>
      <c r="G213" s="16">
        <v>7</v>
      </c>
      <c r="H213" s="16">
        <v>55</v>
      </c>
      <c r="I213" s="16">
        <v>4</v>
      </c>
      <c r="J213" s="16" t="s">
        <v>383</v>
      </c>
      <c r="K213" s="16" t="s">
        <v>1742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5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1742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177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1742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1742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1742</v>
      </c>
    </row>
    <row r="218" spans="1:11">
      <c r="A218" s="16">
        <v>0</v>
      </c>
      <c r="B218" s="16" t="s">
        <v>38</v>
      </c>
      <c r="C218" s="16">
        <v>23</v>
      </c>
      <c r="D218" s="16">
        <v>236</v>
      </c>
      <c r="E218" s="16">
        <v>192974</v>
      </c>
      <c r="F218" s="16">
        <v>157507</v>
      </c>
      <c r="G218" s="16">
        <v>44</v>
      </c>
      <c r="H218" s="16">
        <v>86</v>
      </c>
      <c r="I218" s="16">
        <v>4</v>
      </c>
      <c r="J218" s="16" t="s">
        <v>384</v>
      </c>
      <c r="K218" s="16" t="s">
        <v>1742</v>
      </c>
    </row>
    <row r="219" spans="1:11">
      <c r="A219" s="16">
        <v>1</v>
      </c>
      <c r="B219" s="16" t="s">
        <v>39</v>
      </c>
      <c r="C219" s="16">
        <v>2</v>
      </c>
      <c r="D219" s="16">
        <v>691</v>
      </c>
      <c r="E219" s="16">
        <v>741</v>
      </c>
      <c r="F219" s="16">
        <v>76703</v>
      </c>
      <c r="G219" s="16">
        <v>8</v>
      </c>
      <c r="H219" s="16">
        <v>58</v>
      </c>
      <c r="I219" s="16">
        <v>5</v>
      </c>
      <c r="J219" s="16" t="s">
        <v>384</v>
      </c>
      <c r="K219" s="16" t="s">
        <v>1742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13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1742</v>
      </c>
    </row>
    <row r="221" spans="1:11">
      <c r="A221" s="16">
        <v>3</v>
      </c>
      <c r="B221" s="16" t="s">
        <v>41</v>
      </c>
      <c r="C221" s="16">
        <v>0</v>
      </c>
      <c r="D221" s="16">
        <v>0</v>
      </c>
      <c r="E221" s="16">
        <v>0</v>
      </c>
      <c r="F221" s="16">
        <v>323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1742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0</v>
      </c>
      <c r="F222" s="16">
        <v>101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1742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1742</v>
      </c>
    </row>
    <row r="224" spans="1:11">
      <c r="A224" s="16">
        <v>0</v>
      </c>
      <c r="B224" s="16" t="s">
        <v>38</v>
      </c>
      <c r="C224" s="16">
        <v>58</v>
      </c>
      <c r="D224" s="16">
        <v>585</v>
      </c>
      <c r="E224" s="16">
        <v>478432</v>
      </c>
      <c r="F224" s="16">
        <v>390501</v>
      </c>
      <c r="G224" s="16">
        <v>110</v>
      </c>
      <c r="H224" s="16">
        <v>213</v>
      </c>
      <c r="I224" s="16">
        <v>11</v>
      </c>
      <c r="J224" s="16" t="s">
        <v>385</v>
      </c>
      <c r="K224" s="16" t="s">
        <v>1742</v>
      </c>
    </row>
    <row r="225" spans="1:11">
      <c r="A225" s="16">
        <v>1</v>
      </c>
      <c r="B225" s="16" t="s">
        <v>39</v>
      </c>
      <c r="C225" s="16">
        <v>4</v>
      </c>
      <c r="D225" s="16">
        <v>1714</v>
      </c>
      <c r="E225" s="16">
        <v>1838</v>
      </c>
      <c r="F225" s="16">
        <v>190166</v>
      </c>
      <c r="G225" s="16">
        <v>19</v>
      </c>
      <c r="H225" s="16">
        <v>145</v>
      </c>
      <c r="I225" s="16">
        <v>11</v>
      </c>
      <c r="J225" s="16" t="s">
        <v>385</v>
      </c>
      <c r="K225" s="16" t="s">
        <v>1742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28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1742</v>
      </c>
    </row>
    <row r="227" spans="1:11">
      <c r="A227" s="16">
        <v>3</v>
      </c>
      <c r="B227" s="16" t="s">
        <v>41</v>
      </c>
      <c r="C227" s="16">
        <v>0</v>
      </c>
      <c r="D227" s="16">
        <v>0</v>
      </c>
      <c r="E227" s="16">
        <v>0</v>
      </c>
      <c r="F227" s="16">
        <v>906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1742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0</v>
      </c>
      <c r="F228" s="16">
        <v>214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1742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1742</v>
      </c>
    </row>
    <row r="230" spans="1:11">
      <c r="A230" s="16">
        <v>0</v>
      </c>
      <c r="B230" s="16" t="s">
        <v>38</v>
      </c>
      <c r="C230" s="16">
        <v>4</v>
      </c>
      <c r="D230" s="16">
        <v>43</v>
      </c>
      <c r="E230" s="16">
        <v>35240</v>
      </c>
      <c r="F230" s="16">
        <v>28763</v>
      </c>
      <c r="G230" s="16">
        <v>8</v>
      </c>
      <c r="H230" s="16">
        <v>16</v>
      </c>
      <c r="I230" s="16">
        <v>1</v>
      </c>
      <c r="J230" s="16" t="s">
        <v>386</v>
      </c>
      <c r="K230" s="16" t="s">
        <v>1742</v>
      </c>
    </row>
    <row r="231" spans="1:11">
      <c r="A231" s="16">
        <v>1</v>
      </c>
      <c r="B231" s="16" t="s">
        <v>39</v>
      </c>
      <c r="C231" s="16">
        <v>0</v>
      </c>
      <c r="D231" s="16">
        <v>126</v>
      </c>
      <c r="E231" s="16">
        <v>135</v>
      </c>
      <c r="F231" s="16">
        <v>14007</v>
      </c>
      <c r="G231" s="16">
        <v>1</v>
      </c>
      <c r="H231" s="16">
        <v>11</v>
      </c>
      <c r="I231" s="16">
        <v>1</v>
      </c>
      <c r="J231" s="16" t="s">
        <v>386</v>
      </c>
      <c r="K231" s="16" t="s">
        <v>1742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1742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3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1742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0</v>
      </c>
      <c r="F234" s="16">
        <v>0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1742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1742</v>
      </c>
    </row>
    <row r="236" spans="1:11">
      <c r="A236" s="16">
        <v>0</v>
      </c>
      <c r="B236" s="16" t="s">
        <v>38</v>
      </c>
      <c r="C236" s="16">
        <v>25</v>
      </c>
      <c r="D236" s="16">
        <v>250</v>
      </c>
      <c r="E236" s="16">
        <v>204479</v>
      </c>
      <c r="F236" s="16">
        <v>166898</v>
      </c>
      <c r="G236" s="16">
        <v>47</v>
      </c>
      <c r="H236" s="16">
        <v>91</v>
      </c>
      <c r="I236" s="16">
        <v>5</v>
      </c>
      <c r="J236" s="16" t="s">
        <v>387</v>
      </c>
      <c r="K236" s="16" t="s">
        <v>1742</v>
      </c>
    </row>
    <row r="237" spans="1:11">
      <c r="A237" s="16">
        <v>1</v>
      </c>
      <c r="B237" s="16" t="s">
        <v>39</v>
      </c>
      <c r="C237" s="16">
        <v>2</v>
      </c>
      <c r="D237" s="16">
        <v>732</v>
      </c>
      <c r="E237" s="16">
        <v>786</v>
      </c>
      <c r="F237" s="16">
        <v>81276</v>
      </c>
      <c r="G237" s="16">
        <v>8</v>
      </c>
      <c r="H237" s="16">
        <v>62</v>
      </c>
      <c r="I237" s="16">
        <v>5</v>
      </c>
      <c r="J237" s="16" t="s">
        <v>387</v>
      </c>
      <c r="K237" s="16" t="s">
        <v>1742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8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1742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393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1742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0</v>
      </c>
      <c r="F240" s="16">
        <v>121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1742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1742</v>
      </c>
    </row>
    <row r="242" spans="1:11">
      <c r="A242" s="16">
        <v>0</v>
      </c>
      <c r="B242" s="16" t="s">
        <v>38</v>
      </c>
      <c r="C242" s="16">
        <v>8</v>
      </c>
      <c r="D242" s="16">
        <v>79</v>
      </c>
      <c r="E242" s="16">
        <v>64258</v>
      </c>
      <c r="F242" s="16">
        <v>52448</v>
      </c>
      <c r="G242" s="16">
        <v>15</v>
      </c>
      <c r="H242" s="16">
        <v>29</v>
      </c>
      <c r="I242" s="16">
        <v>1</v>
      </c>
      <c r="J242" s="16" t="s">
        <v>388</v>
      </c>
      <c r="K242" s="16" t="s">
        <v>1742</v>
      </c>
    </row>
    <row r="243" spans="1:11">
      <c r="A243" s="16">
        <v>1</v>
      </c>
      <c r="B243" s="16" t="s">
        <v>39</v>
      </c>
      <c r="C243" s="16">
        <v>1</v>
      </c>
      <c r="D243" s="16">
        <v>230</v>
      </c>
      <c r="E243" s="16">
        <v>247</v>
      </c>
      <c r="F243" s="16">
        <v>25541</v>
      </c>
      <c r="G243" s="16">
        <v>3</v>
      </c>
      <c r="H243" s="16">
        <v>19</v>
      </c>
      <c r="I243" s="16">
        <v>2</v>
      </c>
      <c r="J243" s="16" t="s">
        <v>388</v>
      </c>
      <c r="K243" s="16" t="s">
        <v>1742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2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1742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90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1742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0</v>
      </c>
      <c r="F246" s="16">
        <v>0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1742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1742</v>
      </c>
    </row>
    <row r="248" spans="1:11">
      <c r="A248" s="16">
        <v>0</v>
      </c>
      <c r="B248" s="16" t="s">
        <v>38</v>
      </c>
      <c r="C248" s="16">
        <v>33</v>
      </c>
      <c r="D248" s="16">
        <v>332</v>
      </c>
      <c r="E248" s="16">
        <v>271278</v>
      </c>
      <c r="F248" s="16">
        <v>221420</v>
      </c>
      <c r="G248" s="16">
        <v>62</v>
      </c>
      <c r="H248" s="16">
        <v>121</v>
      </c>
      <c r="I248" s="16">
        <v>6</v>
      </c>
      <c r="J248" s="16" t="s">
        <v>389</v>
      </c>
      <c r="K248" s="16" t="s">
        <v>1742</v>
      </c>
    </row>
    <row r="249" spans="1:11">
      <c r="A249" s="16">
        <v>1</v>
      </c>
      <c r="B249" s="16" t="s">
        <v>39</v>
      </c>
      <c r="C249" s="16">
        <v>2</v>
      </c>
      <c r="D249" s="16">
        <v>972</v>
      </c>
      <c r="E249" s="16">
        <v>1042</v>
      </c>
      <c r="F249" s="16">
        <v>107827</v>
      </c>
      <c r="G249" s="16">
        <v>11</v>
      </c>
      <c r="H249" s="16">
        <v>82</v>
      </c>
      <c r="I249" s="16">
        <v>6</v>
      </c>
      <c r="J249" s="16" t="s">
        <v>389</v>
      </c>
      <c r="K249" s="16" t="s">
        <v>1742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159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1742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520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1742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1742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1742</v>
      </c>
    </row>
    <row r="254" spans="1:11">
      <c r="A254" s="16">
        <v>0</v>
      </c>
      <c r="B254" s="16" t="s">
        <v>38</v>
      </c>
      <c r="C254" s="16">
        <v>130</v>
      </c>
      <c r="D254" s="16">
        <v>1308</v>
      </c>
      <c r="E254" s="16">
        <v>1069799</v>
      </c>
      <c r="F254" s="16">
        <v>873181</v>
      </c>
      <c r="G254" s="16">
        <v>246</v>
      </c>
      <c r="H254" s="16">
        <v>475</v>
      </c>
      <c r="I254" s="16">
        <v>25</v>
      </c>
      <c r="J254" s="16" t="s">
        <v>390</v>
      </c>
      <c r="K254" s="16" t="s">
        <v>1742</v>
      </c>
    </row>
    <row r="255" spans="1:11">
      <c r="A255" s="16">
        <v>1</v>
      </c>
      <c r="B255" s="16" t="s">
        <v>39</v>
      </c>
      <c r="C255" s="16">
        <v>10</v>
      </c>
      <c r="D255" s="16">
        <v>3832</v>
      </c>
      <c r="E255" s="16">
        <v>4110</v>
      </c>
      <c r="F255" s="16">
        <v>425220</v>
      </c>
      <c r="G255" s="16">
        <v>43</v>
      </c>
      <c r="H255" s="16">
        <v>323</v>
      </c>
      <c r="I255" s="16">
        <v>26</v>
      </c>
      <c r="J255" s="16" t="s">
        <v>390</v>
      </c>
      <c r="K255" s="16" t="s">
        <v>1742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75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1742</v>
      </c>
    </row>
    <row r="257" spans="1:11">
      <c r="A257" s="16">
        <v>3</v>
      </c>
      <c r="B257" s="16" t="s">
        <v>41</v>
      </c>
      <c r="C257" s="16">
        <v>0</v>
      </c>
      <c r="D257" s="16">
        <v>0</v>
      </c>
      <c r="E257" s="16">
        <v>0</v>
      </c>
      <c r="F257" s="16">
        <v>2242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1742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0</v>
      </c>
      <c r="F258" s="16">
        <v>3027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1742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1742</v>
      </c>
    </row>
    <row r="260" spans="1:11">
      <c r="A260" s="16">
        <v>0</v>
      </c>
      <c r="B260" s="16" t="s">
        <v>38</v>
      </c>
      <c r="C260" s="16">
        <v>13</v>
      </c>
      <c r="D260" s="16">
        <v>136</v>
      </c>
      <c r="E260" s="16">
        <v>111074</v>
      </c>
      <c r="F260" s="16">
        <v>90660</v>
      </c>
      <c r="G260" s="16">
        <v>26</v>
      </c>
      <c r="H260" s="16">
        <v>49</v>
      </c>
      <c r="I260" s="16">
        <v>3</v>
      </c>
      <c r="J260" s="16" t="s">
        <v>395</v>
      </c>
      <c r="K260" s="16" t="s">
        <v>1742</v>
      </c>
    </row>
    <row r="261" spans="1:11">
      <c r="A261" s="16">
        <v>1</v>
      </c>
      <c r="B261" s="16" t="s">
        <v>39</v>
      </c>
      <c r="C261" s="16">
        <v>1</v>
      </c>
      <c r="D261" s="16">
        <v>398</v>
      </c>
      <c r="E261" s="16">
        <v>427</v>
      </c>
      <c r="F261" s="16">
        <v>44149</v>
      </c>
      <c r="G261" s="16">
        <v>4</v>
      </c>
      <c r="H261" s="16">
        <v>34</v>
      </c>
      <c r="I261" s="16">
        <v>3</v>
      </c>
      <c r="J261" s="16" t="s">
        <v>395</v>
      </c>
      <c r="K261" s="16" t="s">
        <v>1742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1742</v>
      </c>
    </row>
    <row r="263" spans="1:11">
      <c r="A263" s="16">
        <v>3</v>
      </c>
      <c r="B263" s="16" t="s">
        <v>41</v>
      </c>
      <c r="C263" s="16">
        <v>0</v>
      </c>
      <c r="D263" s="16">
        <v>0</v>
      </c>
      <c r="E263" s="16">
        <v>0</v>
      </c>
      <c r="F263" s="16">
        <v>222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1742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0</v>
      </c>
      <c r="F264" s="16">
        <v>0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1742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1742</v>
      </c>
    </row>
    <row r="266" spans="1:11">
      <c r="A266" s="16">
        <v>0</v>
      </c>
      <c r="B266" s="16" t="s">
        <v>38</v>
      </c>
      <c r="C266" s="16">
        <v>40</v>
      </c>
      <c r="D266" s="16">
        <v>406</v>
      </c>
      <c r="E266" s="16">
        <v>332429</v>
      </c>
      <c r="F266" s="16">
        <v>271332</v>
      </c>
      <c r="G266" s="16">
        <v>76</v>
      </c>
      <c r="H266" s="16">
        <v>148</v>
      </c>
      <c r="I266" s="16">
        <v>8</v>
      </c>
      <c r="J266" s="16" t="s">
        <v>396</v>
      </c>
      <c r="K266" s="16" t="s">
        <v>1742</v>
      </c>
    </row>
    <row r="267" spans="1:11">
      <c r="A267" s="16">
        <v>1</v>
      </c>
      <c r="B267" s="16" t="s">
        <v>39</v>
      </c>
      <c r="C267" s="16">
        <v>3</v>
      </c>
      <c r="D267" s="16">
        <v>1191</v>
      </c>
      <c r="E267" s="16">
        <v>1277</v>
      </c>
      <c r="F267" s="16">
        <v>132133</v>
      </c>
      <c r="G267" s="16">
        <v>13</v>
      </c>
      <c r="H267" s="16">
        <v>100</v>
      </c>
      <c r="I267" s="16">
        <v>8</v>
      </c>
      <c r="J267" s="16" t="s">
        <v>396</v>
      </c>
      <c r="K267" s="16" t="s">
        <v>1742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9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1742</v>
      </c>
    </row>
    <row r="269" spans="1:11">
      <c r="A269" s="16">
        <v>3</v>
      </c>
      <c r="B269" s="16" t="s">
        <v>41</v>
      </c>
      <c r="C269" s="16">
        <v>0</v>
      </c>
      <c r="D269" s="16">
        <v>0</v>
      </c>
      <c r="E269" s="16">
        <v>0</v>
      </c>
      <c r="F269" s="16">
        <v>628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1742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0</v>
      </c>
      <c r="F270" s="16">
        <v>282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1742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1742</v>
      </c>
    </row>
    <row r="272" spans="1:11">
      <c r="A272" s="16">
        <v>0</v>
      </c>
      <c r="B272" s="16" t="s">
        <v>38</v>
      </c>
      <c r="C272" s="16">
        <v>4</v>
      </c>
      <c r="D272" s="16">
        <v>36</v>
      </c>
      <c r="E272" s="16">
        <v>29521</v>
      </c>
      <c r="F272" s="16">
        <v>24096</v>
      </c>
      <c r="G272" s="16">
        <v>7</v>
      </c>
      <c r="H272" s="16">
        <v>13</v>
      </c>
      <c r="I272" s="16">
        <v>1</v>
      </c>
      <c r="J272" s="16" t="s">
        <v>397</v>
      </c>
      <c r="K272" s="16" t="s">
        <v>1742</v>
      </c>
    </row>
    <row r="273" spans="1:11">
      <c r="A273" s="16">
        <v>1</v>
      </c>
      <c r="B273" s="16" t="s">
        <v>39</v>
      </c>
      <c r="C273" s="16">
        <v>0</v>
      </c>
      <c r="D273" s="16">
        <v>106</v>
      </c>
      <c r="E273" s="16">
        <v>113</v>
      </c>
      <c r="F273" s="16">
        <v>11734</v>
      </c>
      <c r="G273" s="16">
        <v>1</v>
      </c>
      <c r="H273" s="16">
        <v>9</v>
      </c>
      <c r="I273" s="16">
        <v>1</v>
      </c>
      <c r="J273" s="16" t="s">
        <v>397</v>
      </c>
      <c r="K273" s="16" t="s">
        <v>1742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0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1742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9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1742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0</v>
      </c>
      <c r="F276" s="16">
        <v>0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1742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1742</v>
      </c>
    </row>
    <row r="278" spans="1:11">
      <c r="A278" s="16">
        <v>0</v>
      </c>
      <c r="B278" s="16" t="s">
        <v>38</v>
      </c>
      <c r="C278" s="16">
        <v>39</v>
      </c>
      <c r="D278" s="16">
        <v>395</v>
      </c>
      <c r="E278" s="16">
        <v>323378</v>
      </c>
      <c r="F278" s="16">
        <v>263944</v>
      </c>
      <c r="G278" s="16">
        <v>74</v>
      </c>
      <c r="H278" s="16">
        <v>144</v>
      </c>
      <c r="I278" s="16">
        <v>7</v>
      </c>
      <c r="J278" s="16" t="s">
        <v>398</v>
      </c>
      <c r="K278" s="16" t="s">
        <v>1742</v>
      </c>
    </row>
    <row r="279" spans="1:11">
      <c r="A279" s="16">
        <v>1</v>
      </c>
      <c r="B279" s="16" t="s">
        <v>39</v>
      </c>
      <c r="C279" s="16">
        <v>3</v>
      </c>
      <c r="D279" s="16">
        <v>1158</v>
      </c>
      <c r="E279" s="16">
        <v>1242</v>
      </c>
      <c r="F279" s="16">
        <v>128535</v>
      </c>
      <c r="G279" s="16">
        <v>13</v>
      </c>
      <c r="H279" s="16">
        <v>98</v>
      </c>
      <c r="I279" s="16">
        <v>8</v>
      </c>
      <c r="J279" s="16" t="s">
        <v>398</v>
      </c>
      <c r="K279" s="16" t="s">
        <v>1742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25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1742</v>
      </c>
    </row>
    <row r="281" spans="1:11">
      <c r="A281" s="16">
        <v>3</v>
      </c>
      <c r="B281" s="16" t="s">
        <v>41</v>
      </c>
      <c r="C281" s="16">
        <v>0</v>
      </c>
      <c r="D281" s="16">
        <v>0</v>
      </c>
      <c r="E281" s="16">
        <v>0</v>
      </c>
      <c r="F281" s="16">
        <v>894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1742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0</v>
      </c>
      <c r="F282" s="16">
        <v>408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1742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1742</v>
      </c>
    </row>
    <row r="284" spans="1:11">
      <c r="A284" s="16">
        <v>0</v>
      </c>
      <c r="B284" s="16" t="s">
        <v>38</v>
      </c>
      <c r="C284" s="16">
        <v>32</v>
      </c>
      <c r="D284" s="16">
        <v>321</v>
      </c>
      <c r="E284" s="16">
        <v>262879</v>
      </c>
      <c r="F284" s="16">
        <v>214564</v>
      </c>
      <c r="G284" s="16">
        <v>60</v>
      </c>
      <c r="H284" s="16">
        <v>117</v>
      </c>
      <c r="I284" s="16">
        <v>6</v>
      </c>
      <c r="J284" s="16" t="s">
        <v>399</v>
      </c>
      <c r="K284" s="16" t="s">
        <v>1742</v>
      </c>
    </row>
    <row r="285" spans="1:11">
      <c r="A285" s="16">
        <v>1</v>
      </c>
      <c r="B285" s="16" t="s">
        <v>39</v>
      </c>
      <c r="C285" s="16">
        <v>2</v>
      </c>
      <c r="D285" s="16">
        <v>942</v>
      </c>
      <c r="E285" s="16">
        <v>1010</v>
      </c>
      <c r="F285" s="16">
        <v>104488</v>
      </c>
      <c r="G285" s="16">
        <v>11</v>
      </c>
      <c r="H285" s="16">
        <v>79</v>
      </c>
      <c r="I285" s="16">
        <v>6</v>
      </c>
      <c r="J285" s="16" t="s">
        <v>399</v>
      </c>
      <c r="K285" s="16" t="s">
        <v>1742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6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1742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298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1742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0</v>
      </c>
      <c r="F288" s="16">
        <v>61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1742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1742</v>
      </c>
    </row>
    <row r="290" spans="1:11">
      <c r="A290" s="16">
        <v>0</v>
      </c>
      <c r="B290" s="16" t="s">
        <v>38</v>
      </c>
      <c r="C290" s="16">
        <v>10</v>
      </c>
      <c r="D290" s="16">
        <v>103</v>
      </c>
      <c r="E290" s="16">
        <v>84619</v>
      </c>
      <c r="F290" s="16">
        <v>69067</v>
      </c>
      <c r="G290" s="16">
        <v>19</v>
      </c>
      <c r="H290" s="16">
        <v>38</v>
      </c>
      <c r="I290" s="16">
        <v>2</v>
      </c>
      <c r="J290" s="16" t="s">
        <v>400</v>
      </c>
      <c r="K290" s="16" t="s">
        <v>1742</v>
      </c>
    </row>
    <row r="291" spans="1:11">
      <c r="A291" s="16">
        <v>1</v>
      </c>
      <c r="B291" s="16" t="s">
        <v>39</v>
      </c>
      <c r="C291" s="16">
        <v>1</v>
      </c>
      <c r="D291" s="16">
        <v>303</v>
      </c>
      <c r="E291" s="16">
        <v>325</v>
      </c>
      <c r="F291" s="16">
        <v>33634</v>
      </c>
      <c r="G291" s="16">
        <v>3</v>
      </c>
      <c r="H291" s="16">
        <v>26</v>
      </c>
      <c r="I291" s="16">
        <v>2</v>
      </c>
      <c r="J291" s="16" t="s">
        <v>400</v>
      </c>
      <c r="K291" s="16" t="s">
        <v>1742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0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1742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243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1742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0</v>
      </c>
      <c r="F294" s="16">
        <v>232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1742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1742</v>
      </c>
    </row>
    <row r="296" spans="1:11">
      <c r="A296" s="16">
        <v>0</v>
      </c>
      <c r="B296" s="16" t="s">
        <v>38</v>
      </c>
      <c r="C296" s="16">
        <v>6</v>
      </c>
      <c r="D296" s="16">
        <v>60</v>
      </c>
      <c r="E296" s="16">
        <v>48921</v>
      </c>
      <c r="F296" s="16">
        <v>39930</v>
      </c>
      <c r="G296" s="16">
        <v>11</v>
      </c>
      <c r="H296" s="16">
        <v>22</v>
      </c>
      <c r="I296" s="16">
        <v>1</v>
      </c>
      <c r="J296" s="16" t="s">
        <v>401</v>
      </c>
      <c r="K296" s="16" t="s">
        <v>1742</v>
      </c>
    </row>
    <row r="297" spans="1:11">
      <c r="A297" s="16">
        <v>1</v>
      </c>
      <c r="B297" s="16" t="s">
        <v>39</v>
      </c>
      <c r="C297" s="16">
        <v>0</v>
      </c>
      <c r="D297" s="16">
        <v>175</v>
      </c>
      <c r="E297" s="16">
        <v>188</v>
      </c>
      <c r="F297" s="16">
        <v>19445</v>
      </c>
      <c r="G297" s="16">
        <v>2</v>
      </c>
      <c r="H297" s="16">
        <v>15</v>
      </c>
      <c r="I297" s="16">
        <v>1</v>
      </c>
      <c r="J297" s="16" t="s">
        <v>401</v>
      </c>
      <c r="K297" s="16" t="s">
        <v>1742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0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1742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943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1742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0</v>
      </c>
      <c r="F300" s="16">
        <v>0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1742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/>
  </sheetViews>
  <sheetFormatPr defaultRowHeight="14.75"/>
  <sheetData>
    <row r="1" spans="1:5">
      <c r="B1" t="s">
        <v>44</v>
      </c>
      <c r="C1">
        <v>2015</v>
      </c>
      <c r="D1" t="s">
        <v>130</v>
      </c>
    </row>
    <row r="2" spans="1:5">
      <c r="A2" s="139">
        <v>0</v>
      </c>
      <c r="B2" s="139" t="s">
        <v>38</v>
      </c>
      <c r="C2" s="139">
        <v>1.67</v>
      </c>
      <c r="D2" s="139" t="s">
        <v>132</v>
      </c>
      <c r="E2" s="139" t="s">
        <v>1741</v>
      </c>
    </row>
    <row r="3" spans="1:5">
      <c r="A3" s="139">
        <v>1</v>
      </c>
      <c r="B3" s="139" t="s">
        <v>39</v>
      </c>
      <c r="C3" s="139">
        <v>21.196137259</v>
      </c>
      <c r="D3" s="139" t="s">
        <v>132</v>
      </c>
      <c r="E3" s="139" t="s">
        <v>1741</v>
      </c>
    </row>
    <row r="4" spans="1:5">
      <c r="A4" s="139">
        <v>2</v>
      </c>
      <c r="B4" s="139" t="s">
        <v>40</v>
      </c>
      <c r="C4" s="139">
        <v>111.394163064</v>
      </c>
      <c r="D4" s="139" t="s">
        <v>132</v>
      </c>
      <c r="E4" s="139" t="s">
        <v>1741</v>
      </c>
    </row>
    <row r="5" spans="1:5">
      <c r="A5" s="139">
        <v>3</v>
      </c>
      <c r="B5" s="139" t="s">
        <v>41</v>
      </c>
      <c r="C5" s="139">
        <v>15.34784043</v>
      </c>
      <c r="D5" s="139" t="s">
        <v>132</v>
      </c>
      <c r="E5" s="139" t="s">
        <v>1741</v>
      </c>
    </row>
    <row r="6" spans="1:5">
      <c r="A6" s="139">
        <v>4</v>
      </c>
      <c r="B6" s="139" t="s">
        <v>42</v>
      </c>
      <c r="C6" s="139">
        <v>1</v>
      </c>
      <c r="D6" s="139" t="s">
        <v>132</v>
      </c>
      <c r="E6" s="139" t="s">
        <v>1741</v>
      </c>
    </row>
    <row r="7" spans="1:5">
      <c r="A7" s="139">
        <v>5</v>
      </c>
      <c r="B7" s="139" t="s">
        <v>43</v>
      </c>
      <c r="C7" s="139">
        <v>1.2700756740000001</v>
      </c>
      <c r="D7" s="139" t="s">
        <v>132</v>
      </c>
      <c r="E7" s="139" t="s">
        <v>1741</v>
      </c>
    </row>
    <row r="8" spans="1:5">
      <c r="A8" s="139">
        <v>0</v>
      </c>
      <c r="B8" s="139" t="s">
        <v>38</v>
      </c>
      <c r="C8" s="139">
        <v>1.67</v>
      </c>
      <c r="D8" s="139" t="s">
        <v>348</v>
      </c>
      <c r="E8" s="139" t="s">
        <v>1741</v>
      </c>
    </row>
    <row r="9" spans="1:5">
      <c r="A9" s="139">
        <v>1</v>
      </c>
      <c r="B9" s="139" t="s">
        <v>39</v>
      </c>
      <c r="C9" s="139">
        <v>21.196137259</v>
      </c>
      <c r="D9" s="139" t="s">
        <v>348</v>
      </c>
      <c r="E9" s="139" t="s">
        <v>1741</v>
      </c>
    </row>
    <row r="10" spans="1:5">
      <c r="A10" s="139">
        <v>2</v>
      </c>
      <c r="B10" s="139" t="s">
        <v>40</v>
      </c>
      <c r="C10" s="139">
        <v>111.394163064</v>
      </c>
      <c r="D10" s="139" t="s">
        <v>348</v>
      </c>
      <c r="E10" s="139" t="s">
        <v>1741</v>
      </c>
    </row>
    <row r="11" spans="1:5">
      <c r="A11" s="139">
        <v>3</v>
      </c>
      <c r="B11" s="139" t="s">
        <v>41</v>
      </c>
      <c r="C11" s="139">
        <v>15.34784043</v>
      </c>
      <c r="D11" s="139" t="s">
        <v>348</v>
      </c>
      <c r="E11" s="139" t="s">
        <v>1741</v>
      </c>
    </row>
    <row r="12" spans="1:5">
      <c r="A12" s="139">
        <v>4</v>
      </c>
      <c r="B12" s="139" t="s">
        <v>42</v>
      </c>
      <c r="C12" s="139">
        <v>1</v>
      </c>
      <c r="D12" s="139" t="s">
        <v>348</v>
      </c>
      <c r="E12" s="139" t="s">
        <v>1741</v>
      </c>
    </row>
    <row r="13" spans="1:5">
      <c r="A13" s="139">
        <v>5</v>
      </c>
      <c r="B13" s="139" t="s">
        <v>43</v>
      </c>
      <c r="C13" s="139">
        <v>1.2700756740000001</v>
      </c>
      <c r="D13" s="139" t="s">
        <v>348</v>
      </c>
      <c r="E13" s="139" t="s">
        <v>1741</v>
      </c>
    </row>
    <row r="14" spans="1:5">
      <c r="A14" s="139">
        <v>0</v>
      </c>
      <c r="B14" s="139" t="s">
        <v>38</v>
      </c>
      <c r="C14" s="139">
        <v>1.67</v>
      </c>
      <c r="D14" s="139" t="s">
        <v>349</v>
      </c>
      <c r="E14" s="139" t="s">
        <v>1741</v>
      </c>
    </row>
    <row r="15" spans="1:5">
      <c r="A15" s="139">
        <v>1</v>
      </c>
      <c r="B15" s="139" t="s">
        <v>39</v>
      </c>
      <c r="C15" s="139">
        <v>21.196137259</v>
      </c>
      <c r="D15" s="139" t="s">
        <v>349</v>
      </c>
      <c r="E15" s="139" t="s">
        <v>1741</v>
      </c>
    </row>
    <row r="16" spans="1:5">
      <c r="A16" s="139">
        <v>2</v>
      </c>
      <c r="B16" s="139" t="s">
        <v>40</v>
      </c>
      <c r="C16" s="139">
        <v>111.394163064</v>
      </c>
      <c r="D16" s="139" t="s">
        <v>349</v>
      </c>
      <c r="E16" s="139" t="s">
        <v>1741</v>
      </c>
    </row>
    <row r="17" spans="1:5">
      <c r="A17" s="139">
        <v>3</v>
      </c>
      <c r="B17" s="139" t="s">
        <v>41</v>
      </c>
      <c r="C17" s="139">
        <v>15.34784043</v>
      </c>
      <c r="D17" s="139" t="s">
        <v>349</v>
      </c>
      <c r="E17" s="139" t="s">
        <v>1741</v>
      </c>
    </row>
    <row r="18" spans="1:5">
      <c r="A18" s="139">
        <v>4</v>
      </c>
      <c r="B18" s="139" t="s">
        <v>42</v>
      </c>
      <c r="C18" s="139">
        <v>1</v>
      </c>
      <c r="D18" s="139" t="s">
        <v>349</v>
      </c>
      <c r="E18" s="139" t="s">
        <v>1741</v>
      </c>
    </row>
    <row r="19" spans="1:5">
      <c r="A19" s="139">
        <v>5</v>
      </c>
      <c r="B19" s="139" t="s">
        <v>43</v>
      </c>
      <c r="C19" s="139">
        <v>1.2700756740000001</v>
      </c>
      <c r="D19" s="139" t="s">
        <v>349</v>
      </c>
      <c r="E19" s="139" t="s">
        <v>1741</v>
      </c>
    </row>
    <row r="20" spans="1:5">
      <c r="A20" s="139">
        <v>0</v>
      </c>
      <c r="B20" s="139" t="s">
        <v>38</v>
      </c>
      <c r="C20" s="139">
        <v>1.67</v>
      </c>
      <c r="D20" s="139" t="s">
        <v>350</v>
      </c>
      <c r="E20" s="139" t="s">
        <v>1741</v>
      </c>
    </row>
    <row r="21" spans="1:5">
      <c r="A21" s="139">
        <v>1</v>
      </c>
      <c r="B21" s="139" t="s">
        <v>39</v>
      </c>
      <c r="C21" s="139">
        <v>21.196137259</v>
      </c>
      <c r="D21" s="139" t="s">
        <v>350</v>
      </c>
      <c r="E21" s="139" t="s">
        <v>1741</v>
      </c>
    </row>
    <row r="22" spans="1:5">
      <c r="A22" s="139">
        <v>2</v>
      </c>
      <c r="B22" s="139" t="s">
        <v>40</v>
      </c>
      <c r="C22" s="139">
        <v>111.394163064</v>
      </c>
      <c r="D22" s="139" t="s">
        <v>350</v>
      </c>
      <c r="E22" s="139" t="s">
        <v>1741</v>
      </c>
    </row>
    <row r="23" spans="1:5">
      <c r="A23" s="139">
        <v>3</v>
      </c>
      <c r="B23" s="139" t="s">
        <v>41</v>
      </c>
      <c r="C23" s="139">
        <v>15.34784043</v>
      </c>
      <c r="D23" s="139" t="s">
        <v>350</v>
      </c>
      <c r="E23" s="139" t="s">
        <v>1741</v>
      </c>
    </row>
    <row r="24" spans="1:5">
      <c r="A24" s="139">
        <v>4</v>
      </c>
      <c r="B24" s="139" t="s">
        <v>42</v>
      </c>
      <c r="C24" s="139">
        <v>1</v>
      </c>
      <c r="D24" s="139" t="s">
        <v>350</v>
      </c>
      <c r="E24" s="139" t="s">
        <v>1741</v>
      </c>
    </row>
    <row r="25" spans="1:5">
      <c r="A25" s="139">
        <v>5</v>
      </c>
      <c r="B25" s="139" t="s">
        <v>43</v>
      </c>
      <c r="C25" s="139">
        <v>1.2700756740000001</v>
      </c>
      <c r="D25" s="139" t="s">
        <v>350</v>
      </c>
      <c r="E25" s="139" t="s">
        <v>1741</v>
      </c>
    </row>
    <row r="26" spans="1:5">
      <c r="A26" s="139">
        <v>0</v>
      </c>
      <c r="B26" s="139" t="s">
        <v>38</v>
      </c>
      <c r="C26" s="139">
        <v>1.67</v>
      </c>
      <c r="D26" s="139" t="s">
        <v>351</v>
      </c>
      <c r="E26" s="139" t="s">
        <v>1741</v>
      </c>
    </row>
    <row r="27" spans="1:5">
      <c r="A27" s="139">
        <v>1</v>
      </c>
      <c r="B27" s="139" t="s">
        <v>39</v>
      </c>
      <c r="C27" s="139">
        <v>21.196137259</v>
      </c>
      <c r="D27" s="139" t="s">
        <v>351</v>
      </c>
      <c r="E27" s="139" t="s">
        <v>1741</v>
      </c>
    </row>
    <row r="28" spans="1:5">
      <c r="A28" s="139">
        <v>2</v>
      </c>
      <c r="B28" s="139" t="s">
        <v>40</v>
      </c>
      <c r="C28" s="139">
        <v>111.394163064</v>
      </c>
      <c r="D28" s="139" t="s">
        <v>351</v>
      </c>
      <c r="E28" s="139" t="s">
        <v>1741</v>
      </c>
    </row>
    <row r="29" spans="1:5">
      <c r="A29" s="139">
        <v>3</v>
      </c>
      <c r="B29" s="139" t="s">
        <v>41</v>
      </c>
      <c r="C29" s="139">
        <v>15.34784043</v>
      </c>
      <c r="D29" s="139" t="s">
        <v>351</v>
      </c>
      <c r="E29" s="139" t="s">
        <v>1741</v>
      </c>
    </row>
    <row r="30" spans="1:5">
      <c r="A30" s="139">
        <v>4</v>
      </c>
      <c r="B30" s="139" t="s">
        <v>42</v>
      </c>
      <c r="C30" s="139">
        <v>1</v>
      </c>
      <c r="D30" s="139" t="s">
        <v>351</v>
      </c>
      <c r="E30" s="139" t="s">
        <v>1741</v>
      </c>
    </row>
    <row r="31" spans="1:5">
      <c r="A31" s="139">
        <v>5</v>
      </c>
      <c r="B31" s="139" t="s">
        <v>43</v>
      </c>
      <c r="C31" s="139">
        <v>1.2700756740000001</v>
      </c>
      <c r="D31" s="139" t="s">
        <v>351</v>
      </c>
      <c r="E31" s="139" t="s">
        <v>1741</v>
      </c>
    </row>
    <row r="32" spans="1:5">
      <c r="A32" s="139">
        <v>0</v>
      </c>
      <c r="B32" s="139" t="s">
        <v>38</v>
      </c>
      <c r="C32" s="139">
        <v>1.67</v>
      </c>
      <c r="D32" s="139" t="s">
        <v>352</v>
      </c>
      <c r="E32" s="139" t="s">
        <v>1741</v>
      </c>
    </row>
    <row r="33" spans="1:5">
      <c r="A33" s="139">
        <v>1</v>
      </c>
      <c r="B33" s="139" t="s">
        <v>39</v>
      </c>
      <c r="C33" s="139">
        <v>21.196137259</v>
      </c>
      <c r="D33" s="139" t="s">
        <v>352</v>
      </c>
      <c r="E33" s="139" t="s">
        <v>1741</v>
      </c>
    </row>
    <row r="34" spans="1:5">
      <c r="A34" s="139">
        <v>2</v>
      </c>
      <c r="B34" s="139" t="s">
        <v>40</v>
      </c>
      <c r="C34" s="139">
        <v>111.394163064</v>
      </c>
      <c r="D34" s="139" t="s">
        <v>352</v>
      </c>
      <c r="E34" s="139" t="s">
        <v>1741</v>
      </c>
    </row>
    <row r="35" spans="1:5">
      <c r="A35" s="139">
        <v>3</v>
      </c>
      <c r="B35" s="139" t="s">
        <v>41</v>
      </c>
      <c r="C35" s="139">
        <v>15.34784043</v>
      </c>
      <c r="D35" s="139" t="s">
        <v>352</v>
      </c>
      <c r="E35" s="139" t="s">
        <v>1741</v>
      </c>
    </row>
    <row r="36" spans="1:5">
      <c r="A36" s="139">
        <v>4</v>
      </c>
      <c r="B36" s="139" t="s">
        <v>42</v>
      </c>
      <c r="C36" s="139">
        <v>1</v>
      </c>
      <c r="D36" s="139" t="s">
        <v>352</v>
      </c>
      <c r="E36" s="139" t="s">
        <v>1741</v>
      </c>
    </row>
    <row r="37" spans="1:5">
      <c r="A37" s="139">
        <v>5</v>
      </c>
      <c r="B37" s="139" t="s">
        <v>43</v>
      </c>
      <c r="C37" s="139">
        <v>1.2700756740000001</v>
      </c>
      <c r="D37" s="139" t="s">
        <v>352</v>
      </c>
      <c r="E37" s="139" t="s">
        <v>1741</v>
      </c>
    </row>
    <row r="38" spans="1:5">
      <c r="A38" s="139">
        <v>0</v>
      </c>
      <c r="B38" s="139" t="s">
        <v>38</v>
      </c>
      <c r="C38" s="139">
        <v>1.67</v>
      </c>
      <c r="D38" s="139" t="s">
        <v>353</v>
      </c>
      <c r="E38" s="139" t="s">
        <v>1741</v>
      </c>
    </row>
    <row r="39" spans="1:5">
      <c r="A39" s="139">
        <v>1</v>
      </c>
      <c r="B39" s="139" t="s">
        <v>39</v>
      </c>
      <c r="C39" s="139">
        <v>21.196137259</v>
      </c>
      <c r="D39" s="139" t="s">
        <v>353</v>
      </c>
      <c r="E39" s="139" t="s">
        <v>1741</v>
      </c>
    </row>
    <row r="40" spans="1:5">
      <c r="A40" s="139">
        <v>2</v>
      </c>
      <c r="B40" s="139" t="s">
        <v>40</v>
      </c>
      <c r="C40" s="139">
        <v>111.394163064</v>
      </c>
      <c r="D40" s="139" t="s">
        <v>353</v>
      </c>
      <c r="E40" s="139" t="s">
        <v>1741</v>
      </c>
    </row>
    <row r="41" spans="1:5">
      <c r="A41" s="139">
        <v>3</v>
      </c>
      <c r="B41" s="139" t="s">
        <v>41</v>
      </c>
      <c r="C41" s="139">
        <v>15.34784043</v>
      </c>
      <c r="D41" s="139" t="s">
        <v>353</v>
      </c>
      <c r="E41" s="139" t="s">
        <v>1741</v>
      </c>
    </row>
    <row r="42" spans="1:5">
      <c r="A42" s="139">
        <v>4</v>
      </c>
      <c r="B42" s="139" t="s">
        <v>42</v>
      </c>
      <c r="C42" s="139">
        <v>1</v>
      </c>
      <c r="D42" s="139" t="s">
        <v>353</v>
      </c>
      <c r="E42" s="139" t="s">
        <v>1741</v>
      </c>
    </row>
    <row r="43" spans="1:5">
      <c r="A43" s="139">
        <v>5</v>
      </c>
      <c r="B43" s="139" t="s">
        <v>43</v>
      </c>
      <c r="C43" s="139">
        <v>1.2700756740000001</v>
      </c>
      <c r="D43" s="139" t="s">
        <v>353</v>
      </c>
      <c r="E43" s="139" t="s">
        <v>1741</v>
      </c>
    </row>
    <row r="44" spans="1:5">
      <c r="A44" s="139">
        <v>0</v>
      </c>
      <c r="B44" s="139" t="s">
        <v>38</v>
      </c>
      <c r="C44" s="139">
        <v>1.67</v>
      </c>
      <c r="D44" s="139" t="s">
        <v>355</v>
      </c>
      <c r="E44" s="139" t="s">
        <v>1741</v>
      </c>
    </row>
    <row r="45" spans="1:5">
      <c r="A45" s="139">
        <v>1</v>
      </c>
      <c r="B45" s="139" t="s">
        <v>39</v>
      </c>
      <c r="C45" s="139">
        <v>21.196137259</v>
      </c>
      <c r="D45" s="139" t="s">
        <v>355</v>
      </c>
      <c r="E45" s="139" t="s">
        <v>1741</v>
      </c>
    </row>
    <row r="46" spans="1:5">
      <c r="A46" s="139">
        <v>2</v>
      </c>
      <c r="B46" s="139" t="s">
        <v>40</v>
      </c>
      <c r="C46" s="139">
        <v>111.394163064</v>
      </c>
      <c r="D46" s="139" t="s">
        <v>355</v>
      </c>
      <c r="E46" s="139" t="s">
        <v>1741</v>
      </c>
    </row>
    <row r="47" spans="1:5">
      <c r="A47" s="139">
        <v>3</v>
      </c>
      <c r="B47" s="139" t="s">
        <v>41</v>
      </c>
      <c r="C47" s="139">
        <v>15.34784043</v>
      </c>
      <c r="D47" s="139" t="s">
        <v>355</v>
      </c>
      <c r="E47" s="139" t="s">
        <v>1741</v>
      </c>
    </row>
    <row r="48" spans="1:5">
      <c r="A48" s="139">
        <v>4</v>
      </c>
      <c r="B48" s="139" t="s">
        <v>42</v>
      </c>
      <c r="C48" s="139">
        <v>1</v>
      </c>
      <c r="D48" s="139" t="s">
        <v>355</v>
      </c>
      <c r="E48" s="139" t="s">
        <v>1741</v>
      </c>
    </row>
    <row r="49" spans="1:5">
      <c r="A49" s="139">
        <v>5</v>
      </c>
      <c r="B49" s="139" t="s">
        <v>43</v>
      </c>
      <c r="C49" s="139">
        <v>1.2700756740000001</v>
      </c>
      <c r="D49" s="139" t="s">
        <v>355</v>
      </c>
      <c r="E49" s="139" t="s">
        <v>1741</v>
      </c>
    </row>
    <row r="50" spans="1:5">
      <c r="A50" s="139">
        <v>0</v>
      </c>
      <c r="B50" s="139" t="s">
        <v>38</v>
      </c>
      <c r="C50" s="139">
        <v>1.67</v>
      </c>
      <c r="D50" s="139" t="s">
        <v>356</v>
      </c>
      <c r="E50" s="139" t="s">
        <v>1741</v>
      </c>
    </row>
    <row r="51" spans="1:5">
      <c r="A51" s="139">
        <v>1</v>
      </c>
      <c r="B51" s="139" t="s">
        <v>39</v>
      </c>
      <c r="C51" s="139">
        <v>21.196137259</v>
      </c>
      <c r="D51" s="139" t="s">
        <v>356</v>
      </c>
      <c r="E51" s="139" t="s">
        <v>1741</v>
      </c>
    </row>
    <row r="52" spans="1:5">
      <c r="A52" s="139">
        <v>2</v>
      </c>
      <c r="B52" s="139" t="s">
        <v>40</v>
      </c>
      <c r="C52" s="139">
        <v>111.394163064</v>
      </c>
      <c r="D52" s="139" t="s">
        <v>356</v>
      </c>
      <c r="E52" s="139" t="s">
        <v>1741</v>
      </c>
    </row>
    <row r="53" spans="1:5">
      <c r="A53" s="139">
        <v>3</v>
      </c>
      <c r="B53" s="139" t="s">
        <v>41</v>
      </c>
      <c r="C53" s="139">
        <v>15.34784043</v>
      </c>
      <c r="D53" s="139" t="s">
        <v>356</v>
      </c>
      <c r="E53" s="139" t="s">
        <v>1741</v>
      </c>
    </row>
    <row r="54" spans="1:5">
      <c r="A54" s="139">
        <v>4</v>
      </c>
      <c r="B54" s="139" t="s">
        <v>42</v>
      </c>
      <c r="C54" s="139">
        <v>1</v>
      </c>
      <c r="D54" s="139" t="s">
        <v>356</v>
      </c>
      <c r="E54" s="139" t="s">
        <v>1741</v>
      </c>
    </row>
    <row r="55" spans="1:5">
      <c r="A55" s="139">
        <v>5</v>
      </c>
      <c r="B55" s="139" t="s">
        <v>43</v>
      </c>
      <c r="C55" s="139">
        <v>1.2700756740000001</v>
      </c>
      <c r="D55" s="139" t="s">
        <v>356</v>
      </c>
      <c r="E55" s="139" t="s">
        <v>1741</v>
      </c>
    </row>
    <row r="56" spans="1:5">
      <c r="A56" s="139">
        <v>0</v>
      </c>
      <c r="B56" s="139" t="s">
        <v>38</v>
      </c>
      <c r="C56" s="139">
        <v>1.67</v>
      </c>
      <c r="D56" s="139" t="s">
        <v>357</v>
      </c>
      <c r="E56" s="139" t="s">
        <v>1741</v>
      </c>
    </row>
    <row r="57" spans="1:5">
      <c r="A57" s="139">
        <v>1</v>
      </c>
      <c r="B57" s="139" t="s">
        <v>39</v>
      </c>
      <c r="C57" s="139">
        <v>21.196137259</v>
      </c>
      <c r="D57" s="139" t="s">
        <v>357</v>
      </c>
      <c r="E57" s="139" t="s">
        <v>1741</v>
      </c>
    </row>
    <row r="58" spans="1:5">
      <c r="A58" s="139">
        <v>2</v>
      </c>
      <c r="B58" s="139" t="s">
        <v>40</v>
      </c>
      <c r="C58" s="139">
        <v>111.394163064</v>
      </c>
      <c r="D58" s="139" t="s">
        <v>357</v>
      </c>
      <c r="E58" s="139" t="s">
        <v>1741</v>
      </c>
    </row>
    <row r="59" spans="1:5">
      <c r="A59" s="139">
        <v>3</v>
      </c>
      <c r="B59" s="139" t="s">
        <v>41</v>
      </c>
      <c r="C59" s="139">
        <v>15.34784043</v>
      </c>
      <c r="D59" s="139" t="s">
        <v>357</v>
      </c>
      <c r="E59" s="139" t="s">
        <v>1741</v>
      </c>
    </row>
    <row r="60" spans="1:5">
      <c r="A60" s="139">
        <v>4</v>
      </c>
      <c r="B60" s="139" t="s">
        <v>42</v>
      </c>
      <c r="C60" s="139">
        <v>1</v>
      </c>
      <c r="D60" s="139" t="s">
        <v>357</v>
      </c>
      <c r="E60" s="139" t="s">
        <v>1741</v>
      </c>
    </row>
    <row r="61" spans="1:5">
      <c r="A61" s="139">
        <v>5</v>
      </c>
      <c r="B61" s="139" t="s">
        <v>43</v>
      </c>
      <c r="C61" s="139">
        <v>1.2700756740000001</v>
      </c>
      <c r="D61" s="139" t="s">
        <v>357</v>
      </c>
      <c r="E61" s="139" t="s">
        <v>1741</v>
      </c>
    </row>
    <row r="62" spans="1:5">
      <c r="A62" s="139">
        <v>0</v>
      </c>
      <c r="B62" s="139" t="s">
        <v>38</v>
      </c>
      <c r="C62" s="139">
        <v>1.67</v>
      </c>
      <c r="D62" s="139" t="s">
        <v>358</v>
      </c>
      <c r="E62" s="139" t="s">
        <v>1741</v>
      </c>
    </row>
    <row r="63" spans="1:5">
      <c r="A63" s="139">
        <v>1</v>
      </c>
      <c r="B63" s="139" t="s">
        <v>39</v>
      </c>
      <c r="C63" s="139">
        <v>21.196137259</v>
      </c>
      <c r="D63" s="139" t="s">
        <v>358</v>
      </c>
      <c r="E63" s="139" t="s">
        <v>1741</v>
      </c>
    </row>
    <row r="64" spans="1:5">
      <c r="A64" s="139">
        <v>2</v>
      </c>
      <c r="B64" s="139" t="s">
        <v>40</v>
      </c>
      <c r="C64" s="139">
        <v>111.394163064</v>
      </c>
      <c r="D64" s="139" t="s">
        <v>358</v>
      </c>
      <c r="E64" s="139" t="s">
        <v>1741</v>
      </c>
    </row>
    <row r="65" spans="1:5">
      <c r="A65" s="139">
        <v>3</v>
      </c>
      <c r="B65" s="139" t="s">
        <v>41</v>
      </c>
      <c r="C65" s="139">
        <v>15.34784043</v>
      </c>
      <c r="D65" s="139" t="s">
        <v>358</v>
      </c>
      <c r="E65" s="139" t="s">
        <v>1741</v>
      </c>
    </row>
    <row r="66" spans="1:5">
      <c r="A66" s="139">
        <v>4</v>
      </c>
      <c r="B66" s="139" t="s">
        <v>42</v>
      </c>
      <c r="C66" s="139">
        <v>1</v>
      </c>
      <c r="D66" s="139" t="s">
        <v>358</v>
      </c>
      <c r="E66" s="139" t="s">
        <v>1741</v>
      </c>
    </row>
    <row r="67" spans="1:5">
      <c r="A67" s="139">
        <v>5</v>
      </c>
      <c r="B67" s="139" t="s">
        <v>43</v>
      </c>
      <c r="C67" s="139">
        <v>1.2700756740000001</v>
      </c>
      <c r="D67" s="139" t="s">
        <v>358</v>
      </c>
      <c r="E67" s="139" t="s">
        <v>1741</v>
      </c>
    </row>
    <row r="68" spans="1:5">
      <c r="A68" s="139">
        <v>0</v>
      </c>
      <c r="B68" s="139" t="s">
        <v>38</v>
      </c>
      <c r="C68" s="139">
        <v>1.67</v>
      </c>
      <c r="D68" s="139" t="s">
        <v>359</v>
      </c>
      <c r="E68" s="139" t="s">
        <v>1741</v>
      </c>
    </row>
    <row r="69" spans="1:5">
      <c r="A69" s="139">
        <v>1</v>
      </c>
      <c r="B69" s="139" t="s">
        <v>39</v>
      </c>
      <c r="C69" s="139">
        <v>21.196137259</v>
      </c>
      <c r="D69" s="139" t="s">
        <v>359</v>
      </c>
      <c r="E69" s="139" t="s">
        <v>1741</v>
      </c>
    </row>
    <row r="70" spans="1:5">
      <c r="A70" s="139">
        <v>2</v>
      </c>
      <c r="B70" s="139" t="s">
        <v>40</v>
      </c>
      <c r="C70" s="139">
        <v>111.394163064</v>
      </c>
      <c r="D70" s="139" t="s">
        <v>359</v>
      </c>
      <c r="E70" s="139" t="s">
        <v>1741</v>
      </c>
    </row>
    <row r="71" spans="1:5">
      <c r="A71" s="139">
        <v>3</v>
      </c>
      <c r="B71" s="139" t="s">
        <v>41</v>
      </c>
      <c r="C71" s="139">
        <v>15.34784043</v>
      </c>
      <c r="D71" s="139" t="s">
        <v>359</v>
      </c>
      <c r="E71" s="139" t="s">
        <v>1741</v>
      </c>
    </row>
    <row r="72" spans="1:5">
      <c r="A72" s="139">
        <v>4</v>
      </c>
      <c r="B72" s="139" t="s">
        <v>42</v>
      </c>
      <c r="C72" s="139">
        <v>1</v>
      </c>
      <c r="D72" s="139" t="s">
        <v>359</v>
      </c>
      <c r="E72" s="139" t="s">
        <v>1741</v>
      </c>
    </row>
    <row r="73" spans="1:5">
      <c r="A73" s="139">
        <v>5</v>
      </c>
      <c r="B73" s="139" t="s">
        <v>43</v>
      </c>
      <c r="C73" s="139">
        <v>1.2700756740000001</v>
      </c>
      <c r="D73" s="139" t="s">
        <v>359</v>
      </c>
      <c r="E73" s="139" t="s">
        <v>1741</v>
      </c>
    </row>
    <row r="74" spans="1:5">
      <c r="A74" s="139">
        <v>0</v>
      </c>
      <c r="B74" s="139" t="s">
        <v>38</v>
      </c>
      <c r="C74" s="139">
        <v>1.67</v>
      </c>
      <c r="D74" s="139" t="s">
        <v>360</v>
      </c>
      <c r="E74" s="139" t="s">
        <v>1741</v>
      </c>
    </row>
    <row r="75" spans="1:5">
      <c r="A75" s="139">
        <v>1</v>
      </c>
      <c r="B75" s="139" t="s">
        <v>39</v>
      </c>
      <c r="C75" s="139">
        <v>21.196137259</v>
      </c>
      <c r="D75" s="139" t="s">
        <v>360</v>
      </c>
      <c r="E75" s="139" t="s">
        <v>1741</v>
      </c>
    </row>
    <row r="76" spans="1:5">
      <c r="A76" s="139">
        <v>2</v>
      </c>
      <c r="B76" s="139" t="s">
        <v>40</v>
      </c>
      <c r="C76" s="139">
        <v>111.394163064</v>
      </c>
      <c r="D76" s="139" t="s">
        <v>360</v>
      </c>
      <c r="E76" s="139" t="s">
        <v>1741</v>
      </c>
    </row>
    <row r="77" spans="1:5">
      <c r="A77" s="139">
        <v>3</v>
      </c>
      <c r="B77" s="139" t="s">
        <v>41</v>
      </c>
      <c r="C77" s="139">
        <v>15.34784043</v>
      </c>
      <c r="D77" s="139" t="s">
        <v>360</v>
      </c>
      <c r="E77" s="139" t="s">
        <v>1741</v>
      </c>
    </row>
    <row r="78" spans="1:5">
      <c r="A78" s="139">
        <v>4</v>
      </c>
      <c r="B78" s="139" t="s">
        <v>42</v>
      </c>
      <c r="C78" s="139">
        <v>1</v>
      </c>
      <c r="D78" s="139" t="s">
        <v>360</v>
      </c>
      <c r="E78" s="139" t="s">
        <v>1741</v>
      </c>
    </row>
    <row r="79" spans="1:5">
      <c r="A79" s="139">
        <v>5</v>
      </c>
      <c r="B79" s="139" t="s">
        <v>43</v>
      </c>
      <c r="C79" s="139">
        <v>1.2700756740000001</v>
      </c>
      <c r="D79" s="139" t="s">
        <v>360</v>
      </c>
      <c r="E79" s="139" t="s">
        <v>1741</v>
      </c>
    </row>
    <row r="80" spans="1:5">
      <c r="A80" s="139">
        <v>0</v>
      </c>
      <c r="B80" s="139" t="s">
        <v>38</v>
      </c>
      <c r="C80" s="139">
        <v>1.67</v>
      </c>
      <c r="D80" s="139" t="s">
        <v>361</v>
      </c>
      <c r="E80" s="139" t="s">
        <v>1741</v>
      </c>
    </row>
    <row r="81" spans="1:5">
      <c r="A81" s="139">
        <v>1</v>
      </c>
      <c r="B81" s="139" t="s">
        <v>39</v>
      </c>
      <c r="C81" s="139">
        <v>21.196137259</v>
      </c>
      <c r="D81" s="139" t="s">
        <v>361</v>
      </c>
      <c r="E81" s="139" t="s">
        <v>1741</v>
      </c>
    </row>
    <row r="82" spans="1:5">
      <c r="A82" s="139">
        <v>2</v>
      </c>
      <c r="B82" s="139" t="s">
        <v>40</v>
      </c>
      <c r="C82" s="139">
        <v>111.394163064</v>
      </c>
      <c r="D82" s="139" t="s">
        <v>361</v>
      </c>
      <c r="E82" s="139" t="s">
        <v>1741</v>
      </c>
    </row>
    <row r="83" spans="1:5">
      <c r="A83" s="139">
        <v>3</v>
      </c>
      <c r="B83" s="139" t="s">
        <v>41</v>
      </c>
      <c r="C83" s="139">
        <v>15.34784043</v>
      </c>
      <c r="D83" s="139" t="s">
        <v>361</v>
      </c>
      <c r="E83" s="139" t="s">
        <v>1741</v>
      </c>
    </row>
    <row r="84" spans="1:5">
      <c r="A84" s="139">
        <v>4</v>
      </c>
      <c r="B84" s="139" t="s">
        <v>42</v>
      </c>
      <c r="C84" s="139">
        <v>1</v>
      </c>
      <c r="D84" s="139" t="s">
        <v>361</v>
      </c>
      <c r="E84" s="139" t="s">
        <v>1741</v>
      </c>
    </row>
    <row r="85" spans="1:5">
      <c r="A85" s="139">
        <v>5</v>
      </c>
      <c r="B85" s="139" t="s">
        <v>43</v>
      </c>
      <c r="C85" s="139">
        <v>1.2700756740000001</v>
      </c>
      <c r="D85" s="139" t="s">
        <v>361</v>
      </c>
      <c r="E85" s="139" t="s">
        <v>1741</v>
      </c>
    </row>
    <row r="86" spans="1:5">
      <c r="A86" s="139">
        <v>0</v>
      </c>
      <c r="B86" s="139" t="s">
        <v>38</v>
      </c>
      <c r="C86" s="139">
        <v>1.67</v>
      </c>
      <c r="D86" s="139" t="s">
        <v>362</v>
      </c>
      <c r="E86" s="139" t="s">
        <v>1741</v>
      </c>
    </row>
    <row r="87" spans="1:5">
      <c r="A87" s="139">
        <v>1</v>
      </c>
      <c r="B87" s="139" t="s">
        <v>39</v>
      </c>
      <c r="C87" s="139">
        <v>21.196137259</v>
      </c>
      <c r="D87" s="139" t="s">
        <v>362</v>
      </c>
      <c r="E87" s="139" t="s">
        <v>1741</v>
      </c>
    </row>
    <row r="88" spans="1:5">
      <c r="A88" s="139">
        <v>2</v>
      </c>
      <c r="B88" s="139" t="s">
        <v>40</v>
      </c>
      <c r="C88" s="139">
        <v>111.394163064</v>
      </c>
      <c r="D88" s="139" t="s">
        <v>362</v>
      </c>
      <c r="E88" s="139" t="s">
        <v>1741</v>
      </c>
    </row>
    <row r="89" spans="1:5">
      <c r="A89" s="139">
        <v>3</v>
      </c>
      <c r="B89" s="139" t="s">
        <v>41</v>
      </c>
      <c r="C89" s="139">
        <v>15.34784043</v>
      </c>
      <c r="D89" s="139" t="s">
        <v>362</v>
      </c>
      <c r="E89" s="139" t="s">
        <v>1741</v>
      </c>
    </row>
    <row r="90" spans="1:5">
      <c r="A90" s="139">
        <v>4</v>
      </c>
      <c r="B90" s="139" t="s">
        <v>42</v>
      </c>
      <c r="C90" s="139">
        <v>1</v>
      </c>
      <c r="D90" s="139" t="s">
        <v>362</v>
      </c>
      <c r="E90" s="139" t="s">
        <v>1741</v>
      </c>
    </row>
    <row r="91" spans="1:5">
      <c r="A91" s="139">
        <v>5</v>
      </c>
      <c r="B91" s="139" t="s">
        <v>43</v>
      </c>
      <c r="C91" s="139">
        <v>1.2700756740000001</v>
      </c>
      <c r="D91" s="139" t="s">
        <v>362</v>
      </c>
      <c r="E91" s="139" t="s">
        <v>1741</v>
      </c>
    </row>
    <row r="92" spans="1:5">
      <c r="A92" s="139">
        <v>0</v>
      </c>
      <c r="B92" s="139" t="s">
        <v>38</v>
      </c>
      <c r="C92" s="139">
        <v>1.67</v>
      </c>
      <c r="D92" s="139" t="s">
        <v>363</v>
      </c>
      <c r="E92" s="139" t="s">
        <v>1741</v>
      </c>
    </row>
    <row r="93" spans="1:5">
      <c r="A93" s="139">
        <v>1</v>
      </c>
      <c r="B93" s="139" t="s">
        <v>39</v>
      </c>
      <c r="C93" s="139">
        <v>21.196137259</v>
      </c>
      <c r="D93" s="139" t="s">
        <v>363</v>
      </c>
      <c r="E93" s="139" t="s">
        <v>1741</v>
      </c>
    </row>
    <row r="94" spans="1:5">
      <c r="A94" s="139">
        <v>2</v>
      </c>
      <c r="B94" s="139" t="s">
        <v>40</v>
      </c>
      <c r="C94" s="139">
        <v>111.394163064</v>
      </c>
      <c r="D94" s="139" t="s">
        <v>363</v>
      </c>
      <c r="E94" s="139" t="s">
        <v>1741</v>
      </c>
    </row>
    <row r="95" spans="1:5">
      <c r="A95" s="139">
        <v>3</v>
      </c>
      <c r="B95" s="139" t="s">
        <v>41</v>
      </c>
      <c r="C95" s="139">
        <v>15.34784043</v>
      </c>
      <c r="D95" s="139" t="s">
        <v>363</v>
      </c>
      <c r="E95" s="139" t="s">
        <v>1741</v>
      </c>
    </row>
    <row r="96" spans="1:5">
      <c r="A96" s="139">
        <v>4</v>
      </c>
      <c r="B96" s="139" t="s">
        <v>42</v>
      </c>
      <c r="C96" s="139">
        <v>1</v>
      </c>
      <c r="D96" s="139" t="s">
        <v>363</v>
      </c>
      <c r="E96" s="139" t="s">
        <v>1741</v>
      </c>
    </row>
    <row r="97" spans="1:5">
      <c r="A97" s="139">
        <v>5</v>
      </c>
      <c r="B97" s="139" t="s">
        <v>43</v>
      </c>
      <c r="C97" s="139">
        <v>1.2700756740000001</v>
      </c>
      <c r="D97" s="139" t="s">
        <v>363</v>
      </c>
      <c r="E97" s="139" t="s">
        <v>1741</v>
      </c>
    </row>
    <row r="98" spans="1:5">
      <c r="A98" s="139">
        <v>0</v>
      </c>
      <c r="B98" s="139" t="s">
        <v>38</v>
      </c>
      <c r="C98" s="139">
        <v>1.67</v>
      </c>
      <c r="D98" s="139" t="s">
        <v>364</v>
      </c>
      <c r="E98" s="139" t="s">
        <v>1741</v>
      </c>
    </row>
    <row r="99" spans="1:5">
      <c r="A99" s="139">
        <v>1</v>
      </c>
      <c r="B99" s="139" t="s">
        <v>39</v>
      </c>
      <c r="C99" s="139">
        <v>21.196137259</v>
      </c>
      <c r="D99" s="139" t="s">
        <v>364</v>
      </c>
      <c r="E99" s="139" t="s">
        <v>1741</v>
      </c>
    </row>
    <row r="100" spans="1:5">
      <c r="A100" s="139">
        <v>2</v>
      </c>
      <c r="B100" s="139" t="s">
        <v>40</v>
      </c>
      <c r="C100" s="139">
        <v>111.394163064</v>
      </c>
      <c r="D100" s="139" t="s">
        <v>364</v>
      </c>
      <c r="E100" s="139" t="s">
        <v>1741</v>
      </c>
    </row>
    <row r="101" spans="1:5">
      <c r="A101" s="139">
        <v>3</v>
      </c>
      <c r="B101" s="139" t="s">
        <v>41</v>
      </c>
      <c r="C101" s="139">
        <v>15.34784043</v>
      </c>
      <c r="D101" s="139" t="s">
        <v>364</v>
      </c>
      <c r="E101" s="139" t="s">
        <v>1741</v>
      </c>
    </row>
    <row r="102" spans="1:5">
      <c r="A102" s="139">
        <v>4</v>
      </c>
      <c r="B102" s="139" t="s">
        <v>42</v>
      </c>
      <c r="C102" s="139">
        <v>1</v>
      </c>
      <c r="D102" s="139" t="s">
        <v>364</v>
      </c>
      <c r="E102" s="139" t="s">
        <v>1741</v>
      </c>
    </row>
    <row r="103" spans="1:5">
      <c r="A103" s="139">
        <v>5</v>
      </c>
      <c r="B103" s="139" t="s">
        <v>43</v>
      </c>
      <c r="C103" s="139">
        <v>1.2700756740000001</v>
      </c>
      <c r="D103" s="139" t="s">
        <v>364</v>
      </c>
      <c r="E103" s="139" t="s">
        <v>1741</v>
      </c>
    </row>
    <row r="104" spans="1:5">
      <c r="A104" s="139">
        <v>0</v>
      </c>
      <c r="B104" s="139" t="s">
        <v>38</v>
      </c>
      <c r="C104" s="139">
        <v>1.67</v>
      </c>
      <c r="D104" s="139" t="s">
        <v>365</v>
      </c>
      <c r="E104" s="139" t="s">
        <v>1741</v>
      </c>
    </row>
    <row r="105" spans="1:5">
      <c r="A105" s="139">
        <v>1</v>
      </c>
      <c r="B105" s="139" t="s">
        <v>39</v>
      </c>
      <c r="C105" s="139">
        <v>21.196137259</v>
      </c>
      <c r="D105" s="139" t="s">
        <v>365</v>
      </c>
      <c r="E105" s="139" t="s">
        <v>1741</v>
      </c>
    </row>
    <row r="106" spans="1:5">
      <c r="A106" s="139">
        <v>2</v>
      </c>
      <c r="B106" s="139" t="s">
        <v>40</v>
      </c>
      <c r="C106" s="139">
        <v>111.394163064</v>
      </c>
      <c r="D106" s="139" t="s">
        <v>365</v>
      </c>
      <c r="E106" s="139" t="s">
        <v>1741</v>
      </c>
    </row>
    <row r="107" spans="1:5">
      <c r="A107" s="139">
        <v>3</v>
      </c>
      <c r="B107" s="139" t="s">
        <v>41</v>
      </c>
      <c r="C107" s="139">
        <v>15.34784043</v>
      </c>
      <c r="D107" s="139" t="s">
        <v>365</v>
      </c>
      <c r="E107" s="139" t="s">
        <v>1741</v>
      </c>
    </row>
    <row r="108" spans="1:5">
      <c r="A108" s="139">
        <v>4</v>
      </c>
      <c r="B108" s="139" t="s">
        <v>42</v>
      </c>
      <c r="C108" s="139">
        <v>1</v>
      </c>
      <c r="D108" s="139" t="s">
        <v>365</v>
      </c>
      <c r="E108" s="139" t="s">
        <v>1741</v>
      </c>
    </row>
    <row r="109" spans="1:5">
      <c r="A109" s="139">
        <v>5</v>
      </c>
      <c r="B109" s="139" t="s">
        <v>43</v>
      </c>
      <c r="C109" s="139">
        <v>1.2700756740000001</v>
      </c>
      <c r="D109" s="139" t="s">
        <v>365</v>
      </c>
      <c r="E109" s="139" t="s">
        <v>1741</v>
      </c>
    </row>
    <row r="110" spans="1:5">
      <c r="A110" s="139">
        <v>0</v>
      </c>
      <c r="B110" s="139" t="s">
        <v>38</v>
      </c>
      <c r="C110" s="139">
        <v>1.67</v>
      </c>
      <c r="D110" s="139" t="s">
        <v>366</v>
      </c>
      <c r="E110" s="139" t="s">
        <v>1741</v>
      </c>
    </row>
    <row r="111" spans="1:5">
      <c r="A111" s="139">
        <v>1</v>
      </c>
      <c r="B111" s="139" t="s">
        <v>39</v>
      </c>
      <c r="C111" s="139">
        <v>21.196137259</v>
      </c>
      <c r="D111" s="139" t="s">
        <v>366</v>
      </c>
      <c r="E111" s="139" t="s">
        <v>1741</v>
      </c>
    </row>
    <row r="112" spans="1:5">
      <c r="A112" s="139">
        <v>2</v>
      </c>
      <c r="B112" s="139" t="s">
        <v>40</v>
      </c>
      <c r="C112" s="139">
        <v>111.394163064</v>
      </c>
      <c r="D112" s="139" t="s">
        <v>366</v>
      </c>
      <c r="E112" s="139" t="s">
        <v>1741</v>
      </c>
    </row>
    <row r="113" spans="1:5">
      <c r="A113" s="139">
        <v>3</v>
      </c>
      <c r="B113" s="139" t="s">
        <v>41</v>
      </c>
      <c r="C113" s="139">
        <v>15.34784043</v>
      </c>
      <c r="D113" s="139" t="s">
        <v>366</v>
      </c>
      <c r="E113" s="139" t="s">
        <v>1741</v>
      </c>
    </row>
    <row r="114" spans="1:5">
      <c r="A114" s="139">
        <v>4</v>
      </c>
      <c r="B114" s="139" t="s">
        <v>42</v>
      </c>
      <c r="C114" s="139">
        <v>1</v>
      </c>
      <c r="D114" s="139" t="s">
        <v>366</v>
      </c>
      <c r="E114" s="139" t="s">
        <v>1741</v>
      </c>
    </row>
    <row r="115" spans="1:5">
      <c r="A115" s="139">
        <v>5</v>
      </c>
      <c r="B115" s="139" t="s">
        <v>43</v>
      </c>
      <c r="C115" s="139">
        <v>1.2700756740000001</v>
      </c>
      <c r="D115" s="139" t="s">
        <v>366</v>
      </c>
      <c r="E115" s="139" t="s">
        <v>1741</v>
      </c>
    </row>
    <row r="116" spans="1:5">
      <c r="A116" s="139">
        <v>0</v>
      </c>
      <c r="B116" s="139" t="s">
        <v>38</v>
      </c>
      <c r="C116" s="139">
        <v>1.67</v>
      </c>
      <c r="D116" s="139" t="s">
        <v>367</v>
      </c>
      <c r="E116" s="139" t="s">
        <v>1741</v>
      </c>
    </row>
    <row r="117" spans="1:5">
      <c r="A117" s="139">
        <v>1</v>
      </c>
      <c r="B117" s="139" t="s">
        <v>39</v>
      </c>
      <c r="C117" s="139">
        <v>21.196137259</v>
      </c>
      <c r="D117" s="139" t="s">
        <v>367</v>
      </c>
      <c r="E117" s="139" t="s">
        <v>1741</v>
      </c>
    </row>
    <row r="118" spans="1:5">
      <c r="A118" s="139">
        <v>2</v>
      </c>
      <c r="B118" s="139" t="s">
        <v>40</v>
      </c>
      <c r="C118" s="139">
        <v>111.394163064</v>
      </c>
      <c r="D118" s="139" t="s">
        <v>367</v>
      </c>
      <c r="E118" s="139" t="s">
        <v>1741</v>
      </c>
    </row>
    <row r="119" spans="1:5">
      <c r="A119" s="139">
        <v>3</v>
      </c>
      <c r="B119" s="139" t="s">
        <v>41</v>
      </c>
      <c r="C119" s="139">
        <v>15.34784043</v>
      </c>
      <c r="D119" s="139" t="s">
        <v>367</v>
      </c>
      <c r="E119" s="139" t="s">
        <v>1741</v>
      </c>
    </row>
    <row r="120" spans="1:5">
      <c r="A120" s="139">
        <v>4</v>
      </c>
      <c r="B120" s="139" t="s">
        <v>42</v>
      </c>
      <c r="C120" s="139">
        <v>1</v>
      </c>
      <c r="D120" s="139" t="s">
        <v>367</v>
      </c>
      <c r="E120" s="139" t="s">
        <v>1741</v>
      </c>
    </row>
    <row r="121" spans="1:5">
      <c r="A121" s="139">
        <v>5</v>
      </c>
      <c r="B121" s="139" t="s">
        <v>43</v>
      </c>
      <c r="C121" s="139">
        <v>1.2700756740000001</v>
      </c>
      <c r="D121" s="139" t="s">
        <v>367</v>
      </c>
      <c r="E121" s="139" t="s">
        <v>1741</v>
      </c>
    </row>
    <row r="122" spans="1:5">
      <c r="A122" s="139">
        <v>0</v>
      </c>
      <c r="B122" s="139" t="s">
        <v>38</v>
      </c>
      <c r="C122" s="139">
        <v>1.67</v>
      </c>
      <c r="D122" s="139" t="s">
        <v>368</v>
      </c>
      <c r="E122" s="139" t="s">
        <v>1741</v>
      </c>
    </row>
    <row r="123" spans="1:5">
      <c r="A123" s="139">
        <v>1</v>
      </c>
      <c r="B123" s="139" t="s">
        <v>39</v>
      </c>
      <c r="C123" s="139">
        <v>21.196137259</v>
      </c>
      <c r="D123" s="139" t="s">
        <v>368</v>
      </c>
      <c r="E123" s="139" t="s">
        <v>1741</v>
      </c>
    </row>
    <row r="124" spans="1:5">
      <c r="A124" s="139">
        <v>2</v>
      </c>
      <c r="B124" s="139" t="s">
        <v>40</v>
      </c>
      <c r="C124" s="139">
        <v>111.394163064</v>
      </c>
      <c r="D124" s="139" t="s">
        <v>368</v>
      </c>
      <c r="E124" s="139" t="s">
        <v>1741</v>
      </c>
    </row>
    <row r="125" spans="1:5">
      <c r="A125" s="139">
        <v>3</v>
      </c>
      <c r="B125" s="139" t="s">
        <v>41</v>
      </c>
      <c r="C125" s="139">
        <v>15.34784043</v>
      </c>
      <c r="D125" s="139" t="s">
        <v>368</v>
      </c>
      <c r="E125" s="139" t="s">
        <v>1741</v>
      </c>
    </row>
    <row r="126" spans="1:5">
      <c r="A126" s="139">
        <v>4</v>
      </c>
      <c r="B126" s="139" t="s">
        <v>42</v>
      </c>
      <c r="C126" s="139">
        <v>1</v>
      </c>
      <c r="D126" s="139" t="s">
        <v>368</v>
      </c>
      <c r="E126" s="139" t="s">
        <v>1741</v>
      </c>
    </row>
    <row r="127" spans="1:5">
      <c r="A127" s="139">
        <v>5</v>
      </c>
      <c r="B127" s="139" t="s">
        <v>43</v>
      </c>
      <c r="C127" s="139">
        <v>1.2700756740000001</v>
      </c>
      <c r="D127" s="139" t="s">
        <v>368</v>
      </c>
      <c r="E127" s="139" t="s">
        <v>1741</v>
      </c>
    </row>
    <row r="128" spans="1:5">
      <c r="A128" s="139">
        <v>0</v>
      </c>
      <c r="B128" s="139" t="s">
        <v>38</v>
      </c>
      <c r="C128" s="139">
        <v>1.67</v>
      </c>
      <c r="D128" s="139" t="s">
        <v>369</v>
      </c>
      <c r="E128" s="139" t="s">
        <v>1741</v>
      </c>
    </row>
    <row r="129" spans="1:5">
      <c r="A129" s="139">
        <v>1</v>
      </c>
      <c r="B129" s="139" t="s">
        <v>39</v>
      </c>
      <c r="C129" s="139">
        <v>21.196137259</v>
      </c>
      <c r="D129" s="139" t="s">
        <v>369</v>
      </c>
      <c r="E129" s="139" t="s">
        <v>1741</v>
      </c>
    </row>
    <row r="130" spans="1:5">
      <c r="A130" s="139">
        <v>2</v>
      </c>
      <c r="B130" s="139" t="s">
        <v>40</v>
      </c>
      <c r="C130" s="139">
        <v>111.394163064</v>
      </c>
      <c r="D130" s="139" t="s">
        <v>369</v>
      </c>
      <c r="E130" s="139" t="s">
        <v>1741</v>
      </c>
    </row>
    <row r="131" spans="1:5">
      <c r="A131" s="139">
        <v>3</v>
      </c>
      <c r="B131" s="139" t="s">
        <v>41</v>
      </c>
      <c r="C131" s="139">
        <v>15.34784043</v>
      </c>
      <c r="D131" s="139" t="s">
        <v>369</v>
      </c>
      <c r="E131" s="139" t="s">
        <v>1741</v>
      </c>
    </row>
    <row r="132" spans="1:5">
      <c r="A132" s="139">
        <v>4</v>
      </c>
      <c r="B132" s="139" t="s">
        <v>42</v>
      </c>
      <c r="C132" s="139">
        <v>1</v>
      </c>
      <c r="D132" s="139" t="s">
        <v>369</v>
      </c>
      <c r="E132" s="139" t="s">
        <v>1741</v>
      </c>
    </row>
    <row r="133" spans="1:5">
      <c r="A133" s="139">
        <v>5</v>
      </c>
      <c r="B133" s="139" t="s">
        <v>43</v>
      </c>
      <c r="C133" s="139">
        <v>1.2700756740000001</v>
      </c>
      <c r="D133" s="139" t="s">
        <v>369</v>
      </c>
      <c r="E133" s="139" t="s">
        <v>1741</v>
      </c>
    </row>
    <row r="134" spans="1:5">
      <c r="A134" s="139">
        <v>0</v>
      </c>
      <c r="B134" s="139" t="s">
        <v>38</v>
      </c>
      <c r="C134" s="139">
        <v>1.67</v>
      </c>
      <c r="D134" s="139" t="s">
        <v>370</v>
      </c>
      <c r="E134" s="139" t="s">
        <v>1741</v>
      </c>
    </row>
    <row r="135" spans="1:5">
      <c r="A135" s="139">
        <v>1</v>
      </c>
      <c r="B135" s="139" t="s">
        <v>39</v>
      </c>
      <c r="C135" s="139">
        <v>21.196137259</v>
      </c>
      <c r="D135" s="139" t="s">
        <v>370</v>
      </c>
      <c r="E135" s="139" t="s">
        <v>1741</v>
      </c>
    </row>
    <row r="136" spans="1:5">
      <c r="A136" s="139">
        <v>2</v>
      </c>
      <c r="B136" s="139" t="s">
        <v>40</v>
      </c>
      <c r="C136" s="139">
        <v>111.394163064</v>
      </c>
      <c r="D136" s="139" t="s">
        <v>370</v>
      </c>
      <c r="E136" s="139" t="s">
        <v>1741</v>
      </c>
    </row>
    <row r="137" spans="1:5">
      <c r="A137" s="139">
        <v>3</v>
      </c>
      <c r="B137" s="139" t="s">
        <v>41</v>
      </c>
      <c r="C137" s="139">
        <v>15.34784043</v>
      </c>
      <c r="D137" s="139" t="s">
        <v>370</v>
      </c>
      <c r="E137" s="139" t="s">
        <v>1741</v>
      </c>
    </row>
    <row r="138" spans="1:5">
      <c r="A138" s="139">
        <v>4</v>
      </c>
      <c r="B138" s="139" t="s">
        <v>42</v>
      </c>
      <c r="C138" s="139">
        <v>1</v>
      </c>
      <c r="D138" s="139" t="s">
        <v>370</v>
      </c>
      <c r="E138" s="139" t="s">
        <v>1741</v>
      </c>
    </row>
    <row r="139" spans="1:5">
      <c r="A139" s="139">
        <v>5</v>
      </c>
      <c r="B139" s="139" t="s">
        <v>43</v>
      </c>
      <c r="C139" s="139">
        <v>1.2700756740000001</v>
      </c>
      <c r="D139" s="139" t="s">
        <v>370</v>
      </c>
      <c r="E139" s="139" t="s">
        <v>1741</v>
      </c>
    </row>
    <row r="140" spans="1:5">
      <c r="A140" s="139">
        <v>0</v>
      </c>
      <c r="B140" s="139" t="s">
        <v>38</v>
      </c>
      <c r="C140" s="139">
        <v>1.67</v>
      </c>
      <c r="D140" s="139" t="s">
        <v>371</v>
      </c>
      <c r="E140" s="139" t="s">
        <v>1741</v>
      </c>
    </row>
    <row r="141" spans="1:5">
      <c r="A141" s="139">
        <v>1</v>
      </c>
      <c r="B141" s="139" t="s">
        <v>39</v>
      </c>
      <c r="C141" s="139">
        <v>21.196137259</v>
      </c>
      <c r="D141" s="139" t="s">
        <v>371</v>
      </c>
      <c r="E141" s="139" t="s">
        <v>1741</v>
      </c>
    </row>
    <row r="142" spans="1:5">
      <c r="A142" s="139">
        <v>2</v>
      </c>
      <c r="B142" s="139" t="s">
        <v>40</v>
      </c>
      <c r="C142" s="139">
        <v>111.394163064</v>
      </c>
      <c r="D142" s="139" t="s">
        <v>371</v>
      </c>
      <c r="E142" s="139" t="s">
        <v>1741</v>
      </c>
    </row>
    <row r="143" spans="1:5">
      <c r="A143" s="139">
        <v>3</v>
      </c>
      <c r="B143" s="139" t="s">
        <v>41</v>
      </c>
      <c r="C143" s="139">
        <v>15.34784043</v>
      </c>
      <c r="D143" s="139" t="s">
        <v>371</v>
      </c>
      <c r="E143" s="139" t="s">
        <v>1741</v>
      </c>
    </row>
    <row r="144" spans="1:5">
      <c r="A144" s="139">
        <v>4</v>
      </c>
      <c r="B144" s="139" t="s">
        <v>42</v>
      </c>
      <c r="C144" s="139">
        <v>1</v>
      </c>
      <c r="D144" s="139" t="s">
        <v>371</v>
      </c>
      <c r="E144" s="139" t="s">
        <v>1741</v>
      </c>
    </row>
    <row r="145" spans="1:5">
      <c r="A145" s="139">
        <v>5</v>
      </c>
      <c r="B145" s="139" t="s">
        <v>43</v>
      </c>
      <c r="C145" s="139">
        <v>1.2700756740000001</v>
      </c>
      <c r="D145" s="139" t="s">
        <v>371</v>
      </c>
      <c r="E145" s="139" t="s">
        <v>1741</v>
      </c>
    </row>
    <row r="146" spans="1:5">
      <c r="A146" s="139">
        <v>0</v>
      </c>
      <c r="B146" s="139" t="s">
        <v>38</v>
      </c>
      <c r="C146" s="139">
        <v>1.67</v>
      </c>
      <c r="D146" s="139" t="s">
        <v>372</v>
      </c>
      <c r="E146" s="139" t="s">
        <v>1741</v>
      </c>
    </row>
    <row r="147" spans="1:5">
      <c r="A147" s="139">
        <v>1</v>
      </c>
      <c r="B147" s="139" t="s">
        <v>39</v>
      </c>
      <c r="C147" s="139">
        <v>21.196137259</v>
      </c>
      <c r="D147" s="139" t="s">
        <v>372</v>
      </c>
      <c r="E147" s="139" t="s">
        <v>1741</v>
      </c>
    </row>
    <row r="148" spans="1:5">
      <c r="A148" s="139">
        <v>2</v>
      </c>
      <c r="B148" s="139" t="s">
        <v>40</v>
      </c>
      <c r="C148" s="139">
        <v>111.394163064</v>
      </c>
      <c r="D148" s="139" t="s">
        <v>372</v>
      </c>
      <c r="E148" s="139" t="s">
        <v>1741</v>
      </c>
    </row>
    <row r="149" spans="1:5">
      <c r="A149" s="139">
        <v>3</v>
      </c>
      <c r="B149" s="139" t="s">
        <v>41</v>
      </c>
      <c r="C149" s="139">
        <v>15.34784043</v>
      </c>
      <c r="D149" s="139" t="s">
        <v>372</v>
      </c>
      <c r="E149" s="139" t="s">
        <v>1741</v>
      </c>
    </row>
    <row r="150" spans="1:5">
      <c r="A150" s="139">
        <v>4</v>
      </c>
      <c r="B150" s="139" t="s">
        <v>42</v>
      </c>
      <c r="C150" s="139">
        <v>1</v>
      </c>
      <c r="D150" s="139" t="s">
        <v>372</v>
      </c>
      <c r="E150" s="139" t="s">
        <v>1741</v>
      </c>
    </row>
    <row r="151" spans="1:5">
      <c r="A151" s="139">
        <v>5</v>
      </c>
      <c r="B151" s="139" t="s">
        <v>43</v>
      </c>
      <c r="C151" s="139">
        <v>1.2700756740000001</v>
      </c>
      <c r="D151" s="139" t="s">
        <v>372</v>
      </c>
      <c r="E151" s="139" t="s">
        <v>1741</v>
      </c>
    </row>
    <row r="152" spans="1:5">
      <c r="A152" s="139">
        <v>0</v>
      </c>
      <c r="B152" s="139" t="s">
        <v>38</v>
      </c>
      <c r="C152" s="139">
        <v>1.67</v>
      </c>
      <c r="D152" s="139" t="s">
        <v>373</v>
      </c>
      <c r="E152" s="139" t="s">
        <v>1741</v>
      </c>
    </row>
    <row r="153" spans="1:5">
      <c r="A153" s="139">
        <v>1</v>
      </c>
      <c r="B153" s="139" t="s">
        <v>39</v>
      </c>
      <c r="C153" s="139">
        <v>21.196137259</v>
      </c>
      <c r="D153" s="139" t="s">
        <v>373</v>
      </c>
      <c r="E153" s="139" t="s">
        <v>1741</v>
      </c>
    </row>
    <row r="154" spans="1:5">
      <c r="A154" s="139">
        <v>2</v>
      </c>
      <c r="B154" s="139" t="s">
        <v>40</v>
      </c>
      <c r="C154" s="139">
        <v>111.394163064</v>
      </c>
      <c r="D154" s="139" t="s">
        <v>373</v>
      </c>
      <c r="E154" s="139" t="s">
        <v>1741</v>
      </c>
    </row>
    <row r="155" spans="1:5">
      <c r="A155" s="139">
        <v>3</v>
      </c>
      <c r="B155" s="139" t="s">
        <v>41</v>
      </c>
      <c r="C155" s="139">
        <v>15.34784043</v>
      </c>
      <c r="D155" s="139" t="s">
        <v>373</v>
      </c>
      <c r="E155" s="139" t="s">
        <v>1741</v>
      </c>
    </row>
    <row r="156" spans="1:5">
      <c r="A156" s="139">
        <v>4</v>
      </c>
      <c r="B156" s="139" t="s">
        <v>42</v>
      </c>
      <c r="C156" s="139">
        <v>1</v>
      </c>
      <c r="D156" s="139" t="s">
        <v>373</v>
      </c>
      <c r="E156" s="139" t="s">
        <v>1741</v>
      </c>
    </row>
    <row r="157" spans="1:5">
      <c r="A157" s="139">
        <v>5</v>
      </c>
      <c r="B157" s="139" t="s">
        <v>43</v>
      </c>
      <c r="C157" s="139">
        <v>1.2700756740000001</v>
      </c>
      <c r="D157" s="139" t="s">
        <v>373</v>
      </c>
      <c r="E157" s="139" t="s">
        <v>1741</v>
      </c>
    </row>
    <row r="158" spans="1:5">
      <c r="A158" s="139">
        <v>0</v>
      </c>
      <c r="B158" s="139" t="s">
        <v>38</v>
      </c>
      <c r="C158" s="139">
        <v>1.67</v>
      </c>
      <c r="D158" s="139" t="s">
        <v>374</v>
      </c>
      <c r="E158" s="139" t="s">
        <v>1741</v>
      </c>
    </row>
    <row r="159" spans="1:5">
      <c r="A159" s="139">
        <v>1</v>
      </c>
      <c r="B159" s="139" t="s">
        <v>39</v>
      </c>
      <c r="C159" s="139">
        <v>21.196137259</v>
      </c>
      <c r="D159" s="139" t="s">
        <v>374</v>
      </c>
      <c r="E159" s="139" t="s">
        <v>1741</v>
      </c>
    </row>
    <row r="160" spans="1:5">
      <c r="A160" s="139">
        <v>2</v>
      </c>
      <c r="B160" s="139" t="s">
        <v>40</v>
      </c>
      <c r="C160" s="139">
        <v>111.394163064</v>
      </c>
      <c r="D160" s="139" t="s">
        <v>374</v>
      </c>
      <c r="E160" s="139" t="s">
        <v>1741</v>
      </c>
    </row>
    <row r="161" spans="1:5">
      <c r="A161" s="139">
        <v>3</v>
      </c>
      <c r="B161" s="139" t="s">
        <v>41</v>
      </c>
      <c r="C161" s="139">
        <v>15.34784043</v>
      </c>
      <c r="D161" s="139" t="s">
        <v>374</v>
      </c>
      <c r="E161" s="139" t="s">
        <v>1741</v>
      </c>
    </row>
    <row r="162" spans="1:5">
      <c r="A162" s="139">
        <v>4</v>
      </c>
      <c r="B162" s="139" t="s">
        <v>42</v>
      </c>
      <c r="C162" s="139">
        <v>1</v>
      </c>
      <c r="D162" s="139" t="s">
        <v>374</v>
      </c>
      <c r="E162" s="139" t="s">
        <v>1741</v>
      </c>
    </row>
    <row r="163" spans="1:5">
      <c r="A163" s="139">
        <v>5</v>
      </c>
      <c r="B163" s="139" t="s">
        <v>43</v>
      </c>
      <c r="C163" s="139">
        <v>1.2700756740000001</v>
      </c>
      <c r="D163" s="139" t="s">
        <v>374</v>
      </c>
      <c r="E163" s="139" t="s">
        <v>1741</v>
      </c>
    </row>
    <row r="164" spans="1:5">
      <c r="A164" s="139">
        <v>0</v>
      </c>
      <c r="B164" s="139" t="s">
        <v>38</v>
      </c>
      <c r="C164" s="139">
        <v>1.67</v>
      </c>
      <c r="D164" s="139" t="s">
        <v>375</v>
      </c>
      <c r="E164" s="139" t="s">
        <v>1741</v>
      </c>
    </row>
    <row r="165" spans="1:5">
      <c r="A165" s="139">
        <v>1</v>
      </c>
      <c r="B165" s="139" t="s">
        <v>39</v>
      </c>
      <c r="C165" s="139">
        <v>21.196137259</v>
      </c>
      <c r="D165" s="139" t="s">
        <v>375</v>
      </c>
      <c r="E165" s="139" t="s">
        <v>1741</v>
      </c>
    </row>
    <row r="166" spans="1:5">
      <c r="A166" s="139">
        <v>2</v>
      </c>
      <c r="B166" s="139" t="s">
        <v>40</v>
      </c>
      <c r="C166" s="139">
        <v>111.394163064</v>
      </c>
      <c r="D166" s="139" t="s">
        <v>375</v>
      </c>
      <c r="E166" s="139" t="s">
        <v>1741</v>
      </c>
    </row>
    <row r="167" spans="1:5">
      <c r="A167" s="139">
        <v>3</v>
      </c>
      <c r="B167" s="139" t="s">
        <v>41</v>
      </c>
      <c r="C167" s="139">
        <v>15.34784043</v>
      </c>
      <c r="D167" s="139" t="s">
        <v>375</v>
      </c>
      <c r="E167" s="139" t="s">
        <v>1741</v>
      </c>
    </row>
    <row r="168" spans="1:5">
      <c r="A168" s="139">
        <v>4</v>
      </c>
      <c r="B168" s="139" t="s">
        <v>42</v>
      </c>
      <c r="C168" s="139">
        <v>1</v>
      </c>
      <c r="D168" s="139" t="s">
        <v>375</v>
      </c>
      <c r="E168" s="139" t="s">
        <v>1741</v>
      </c>
    </row>
    <row r="169" spans="1:5">
      <c r="A169" s="139">
        <v>5</v>
      </c>
      <c r="B169" s="139" t="s">
        <v>43</v>
      </c>
      <c r="C169" s="139">
        <v>1.2700756740000001</v>
      </c>
      <c r="D169" s="139" t="s">
        <v>375</v>
      </c>
      <c r="E169" s="139" t="s">
        <v>1741</v>
      </c>
    </row>
    <row r="170" spans="1:5">
      <c r="A170" s="139">
        <v>0</v>
      </c>
      <c r="B170" s="139" t="s">
        <v>38</v>
      </c>
      <c r="C170" s="139">
        <v>1.67</v>
      </c>
      <c r="D170" s="139" t="s">
        <v>376</v>
      </c>
      <c r="E170" s="139" t="s">
        <v>1741</v>
      </c>
    </row>
    <row r="171" spans="1:5">
      <c r="A171" s="139">
        <v>1</v>
      </c>
      <c r="B171" s="139" t="s">
        <v>39</v>
      </c>
      <c r="C171" s="139">
        <v>21.196137259</v>
      </c>
      <c r="D171" s="139" t="s">
        <v>376</v>
      </c>
      <c r="E171" s="139" t="s">
        <v>1741</v>
      </c>
    </row>
    <row r="172" spans="1:5">
      <c r="A172" s="139">
        <v>2</v>
      </c>
      <c r="B172" s="139" t="s">
        <v>40</v>
      </c>
      <c r="C172" s="139">
        <v>111.394163064</v>
      </c>
      <c r="D172" s="139" t="s">
        <v>376</v>
      </c>
      <c r="E172" s="139" t="s">
        <v>1741</v>
      </c>
    </row>
    <row r="173" spans="1:5">
      <c r="A173" s="139">
        <v>3</v>
      </c>
      <c r="B173" s="139" t="s">
        <v>41</v>
      </c>
      <c r="C173" s="139">
        <v>15.34784043</v>
      </c>
      <c r="D173" s="139" t="s">
        <v>376</v>
      </c>
      <c r="E173" s="139" t="s">
        <v>1741</v>
      </c>
    </row>
    <row r="174" spans="1:5">
      <c r="A174" s="139">
        <v>4</v>
      </c>
      <c r="B174" s="139" t="s">
        <v>42</v>
      </c>
      <c r="C174" s="139">
        <v>1</v>
      </c>
      <c r="D174" s="139" t="s">
        <v>376</v>
      </c>
      <c r="E174" s="139" t="s">
        <v>1741</v>
      </c>
    </row>
    <row r="175" spans="1:5">
      <c r="A175" s="139">
        <v>5</v>
      </c>
      <c r="B175" s="139" t="s">
        <v>43</v>
      </c>
      <c r="C175" s="139">
        <v>1.2700756740000001</v>
      </c>
      <c r="D175" s="139" t="s">
        <v>376</v>
      </c>
      <c r="E175" s="139" t="s">
        <v>1741</v>
      </c>
    </row>
    <row r="176" spans="1:5">
      <c r="A176" s="139">
        <v>0</v>
      </c>
      <c r="B176" s="139" t="s">
        <v>38</v>
      </c>
      <c r="C176" s="139">
        <v>1.67</v>
      </c>
      <c r="D176" s="139" t="s">
        <v>377</v>
      </c>
      <c r="E176" s="139" t="s">
        <v>1741</v>
      </c>
    </row>
    <row r="177" spans="1:5">
      <c r="A177" s="139">
        <v>1</v>
      </c>
      <c r="B177" s="139" t="s">
        <v>39</v>
      </c>
      <c r="C177" s="139">
        <v>21.196137259</v>
      </c>
      <c r="D177" s="139" t="s">
        <v>377</v>
      </c>
      <c r="E177" s="139" t="s">
        <v>1741</v>
      </c>
    </row>
    <row r="178" spans="1:5">
      <c r="A178" s="139">
        <v>2</v>
      </c>
      <c r="B178" s="139" t="s">
        <v>40</v>
      </c>
      <c r="C178" s="139">
        <v>111.394163064</v>
      </c>
      <c r="D178" s="139" t="s">
        <v>377</v>
      </c>
      <c r="E178" s="139" t="s">
        <v>1741</v>
      </c>
    </row>
    <row r="179" spans="1:5">
      <c r="A179" s="139">
        <v>3</v>
      </c>
      <c r="B179" s="139" t="s">
        <v>41</v>
      </c>
      <c r="C179" s="139">
        <v>15.34784043</v>
      </c>
      <c r="D179" s="139" t="s">
        <v>377</v>
      </c>
      <c r="E179" s="139" t="s">
        <v>1741</v>
      </c>
    </row>
    <row r="180" spans="1:5">
      <c r="A180" s="139">
        <v>4</v>
      </c>
      <c r="B180" s="139" t="s">
        <v>42</v>
      </c>
      <c r="C180" s="139">
        <v>1</v>
      </c>
      <c r="D180" s="139" t="s">
        <v>377</v>
      </c>
      <c r="E180" s="139" t="s">
        <v>1741</v>
      </c>
    </row>
    <row r="181" spans="1:5">
      <c r="A181" s="139">
        <v>5</v>
      </c>
      <c r="B181" s="139" t="s">
        <v>43</v>
      </c>
      <c r="C181" s="139">
        <v>1.2700756740000001</v>
      </c>
      <c r="D181" s="139" t="s">
        <v>377</v>
      </c>
      <c r="E181" s="139" t="s">
        <v>1741</v>
      </c>
    </row>
    <row r="182" spans="1:5">
      <c r="A182" s="139">
        <v>0</v>
      </c>
      <c r="B182" s="139" t="s">
        <v>38</v>
      </c>
      <c r="C182" s="139">
        <v>1.67</v>
      </c>
      <c r="D182" s="139" t="s">
        <v>378</v>
      </c>
      <c r="E182" s="139" t="s">
        <v>1741</v>
      </c>
    </row>
    <row r="183" spans="1:5">
      <c r="A183" s="139">
        <v>1</v>
      </c>
      <c r="B183" s="139" t="s">
        <v>39</v>
      </c>
      <c r="C183" s="139">
        <v>21.196137259</v>
      </c>
      <c r="D183" s="139" t="s">
        <v>378</v>
      </c>
      <c r="E183" s="139" t="s">
        <v>1741</v>
      </c>
    </row>
    <row r="184" spans="1:5">
      <c r="A184" s="139">
        <v>2</v>
      </c>
      <c r="B184" s="139" t="s">
        <v>40</v>
      </c>
      <c r="C184" s="139">
        <v>111.394163064</v>
      </c>
      <c r="D184" s="139" t="s">
        <v>378</v>
      </c>
      <c r="E184" s="139" t="s">
        <v>1741</v>
      </c>
    </row>
    <row r="185" spans="1:5">
      <c r="A185" s="139">
        <v>3</v>
      </c>
      <c r="B185" s="139" t="s">
        <v>41</v>
      </c>
      <c r="C185" s="139">
        <v>15.34784043</v>
      </c>
      <c r="D185" s="139" t="s">
        <v>378</v>
      </c>
      <c r="E185" s="139" t="s">
        <v>1741</v>
      </c>
    </row>
    <row r="186" spans="1:5">
      <c r="A186" s="139">
        <v>4</v>
      </c>
      <c r="B186" s="139" t="s">
        <v>42</v>
      </c>
      <c r="C186" s="139">
        <v>1</v>
      </c>
      <c r="D186" s="139" t="s">
        <v>378</v>
      </c>
      <c r="E186" s="139" t="s">
        <v>1741</v>
      </c>
    </row>
    <row r="187" spans="1:5">
      <c r="A187" s="139">
        <v>5</v>
      </c>
      <c r="B187" s="139" t="s">
        <v>43</v>
      </c>
      <c r="C187" s="139">
        <v>1.2700756740000001</v>
      </c>
      <c r="D187" s="139" t="s">
        <v>378</v>
      </c>
      <c r="E187" s="139" t="s">
        <v>1741</v>
      </c>
    </row>
    <row r="188" spans="1:5">
      <c r="A188" s="139">
        <v>0</v>
      </c>
      <c r="B188" s="139" t="s">
        <v>38</v>
      </c>
      <c r="C188" s="139">
        <v>1.67</v>
      </c>
      <c r="D188" s="139" t="s">
        <v>379</v>
      </c>
      <c r="E188" s="139" t="s">
        <v>1741</v>
      </c>
    </row>
    <row r="189" spans="1:5">
      <c r="A189" s="139">
        <v>1</v>
      </c>
      <c r="B189" s="139" t="s">
        <v>39</v>
      </c>
      <c r="C189" s="139">
        <v>21.196137259</v>
      </c>
      <c r="D189" s="139" t="s">
        <v>379</v>
      </c>
      <c r="E189" s="139" t="s">
        <v>1741</v>
      </c>
    </row>
    <row r="190" spans="1:5">
      <c r="A190" s="139">
        <v>2</v>
      </c>
      <c r="B190" s="139" t="s">
        <v>40</v>
      </c>
      <c r="C190" s="139">
        <v>111.394163064</v>
      </c>
      <c r="D190" s="139" t="s">
        <v>379</v>
      </c>
      <c r="E190" s="139" t="s">
        <v>1741</v>
      </c>
    </row>
    <row r="191" spans="1:5">
      <c r="A191" s="139">
        <v>3</v>
      </c>
      <c r="B191" s="139" t="s">
        <v>41</v>
      </c>
      <c r="C191" s="139">
        <v>15.34784043</v>
      </c>
      <c r="D191" s="139" t="s">
        <v>379</v>
      </c>
      <c r="E191" s="139" t="s">
        <v>1741</v>
      </c>
    </row>
    <row r="192" spans="1:5">
      <c r="A192" s="139">
        <v>4</v>
      </c>
      <c r="B192" s="139" t="s">
        <v>42</v>
      </c>
      <c r="C192" s="139">
        <v>1</v>
      </c>
      <c r="D192" s="139" t="s">
        <v>379</v>
      </c>
      <c r="E192" s="139" t="s">
        <v>1741</v>
      </c>
    </row>
    <row r="193" spans="1:5">
      <c r="A193" s="139">
        <v>5</v>
      </c>
      <c r="B193" s="139" t="s">
        <v>43</v>
      </c>
      <c r="C193" s="139">
        <v>1.2700756740000001</v>
      </c>
      <c r="D193" s="139" t="s">
        <v>379</v>
      </c>
      <c r="E193" s="139" t="s">
        <v>1741</v>
      </c>
    </row>
    <row r="194" spans="1:5">
      <c r="A194" s="139">
        <v>0</v>
      </c>
      <c r="B194" s="139" t="s">
        <v>38</v>
      </c>
      <c r="C194" s="139">
        <v>1.67</v>
      </c>
      <c r="D194" s="139" t="s">
        <v>380</v>
      </c>
      <c r="E194" s="139" t="s">
        <v>1741</v>
      </c>
    </row>
    <row r="195" spans="1:5">
      <c r="A195" s="139">
        <v>1</v>
      </c>
      <c r="B195" s="139" t="s">
        <v>39</v>
      </c>
      <c r="C195" s="139">
        <v>21.196137259</v>
      </c>
      <c r="D195" s="139" t="s">
        <v>380</v>
      </c>
      <c r="E195" s="139" t="s">
        <v>1741</v>
      </c>
    </row>
    <row r="196" spans="1:5">
      <c r="A196" s="139">
        <v>2</v>
      </c>
      <c r="B196" s="139" t="s">
        <v>40</v>
      </c>
      <c r="C196" s="139">
        <v>111.394163064</v>
      </c>
      <c r="D196" s="139" t="s">
        <v>380</v>
      </c>
      <c r="E196" s="139" t="s">
        <v>1741</v>
      </c>
    </row>
    <row r="197" spans="1:5">
      <c r="A197" s="139">
        <v>3</v>
      </c>
      <c r="B197" s="139" t="s">
        <v>41</v>
      </c>
      <c r="C197" s="139">
        <v>15.34784043</v>
      </c>
      <c r="D197" s="139" t="s">
        <v>380</v>
      </c>
      <c r="E197" s="139" t="s">
        <v>1741</v>
      </c>
    </row>
    <row r="198" spans="1:5">
      <c r="A198" s="139">
        <v>4</v>
      </c>
      <c r="B198" s="139" t="s">
        <v>42</v>
      </c>
      <c r="C198" s="139">
        <v>1</v>
      </c>
      <c r="D198" s="139" t="s">
        <v>380</v>
      </c>
      <c r="E198" s="139" t="s">
        <v>1741</v>
      </c>
    </row>
    <row r="199" spans="1:5">
      <c r="A199" s="139">
        <v>5</v>
      </c>
      <c r="B199" s="139" t="s">
        <v>43</v>
      </c>
      <c r="C199" s="139">
        <v>1.2700756740000001</v>
      </c>
      <c r="D199" s="139" t="s">
        <v>380</v>
      </c>
      <c r="E199" s="139" t="s">
        <v>1741</v>
      </c>
    </row>
    <row r="200" spans="1:5">
      <c r="A200" s="139">
        <v>0</v>
      </c>
      <c r="B200" s="139" t="s">
        <v>38</v>
      </c>
      <c r="C200" s="139">
        <v>1.67</v>
      </c>
      <c r="D200" s="139" t="s">
        <v>381</v>
      </c>
      <c r="E200" s="139" t="s">
        <v>1741</v>
      </c>
    </row>
    <row r="201" spans="1:5">
      <c r="A201" s="139">
        <v>1</v>
      </c>
      <c r="B201" s="139" t="s">
        <v>39</v>
      </c>
      <c r="C201" s="139">
        <v>21.196137259</v>
      </c>
      <c r="D201" s="139" t="s">
        <v>381</v>
      </c>
      <c r="E201" s="139" t="s">
        <v>1741</v>
      </c>
    </row>
    <row r="202" spans="1:5">
      <c r="A202" s="139">
        <v>2</v>
      </c>
      <c r="B202" s="139" t="s">
        <v>40</v>
      </c>
      <c r="C202" s="139">
        <v>111.394163064</v>
      </c>
      <c r="D202" s="139" t="s">
        <v>381</v>
      </c>
      <c r="E202" s="139" t="s">
        <v>1741</v>
      </c>
    </row>
    <row r="203" spans="1:5">
      <c r="A203" s="139">
        <v>3</v>
      </c>
      <c r="B203" s="139" t="s">
        <v>41</v>
      </c>
      <c r="C203" s="139">
        <v>15.34784043</v>
      </c>
      <c r="D203" s="139" t="s">
        <v>381</v>
      </c>
      <c r="E203" s="139" t="s">
        <v>1741</v>
      </c>
    </row>
    <row r="204" spans="1:5">
      <c r="A204" s="139">
        <v>4</v>
      </c>
      <c r="B204" s="139" t="s">
        <v>42</v>
      </c>
      <c r="C204" s="139">
        <v>1</v>
      </c>
      <c r="D204" s="139" t="s">
        <v>381</v>
      </c>
      <c r="E204" s="139" t="s">
        <v>1741</v>
      </c>
    </row>
    <row r="205" spans="1:5">
      <c r="A205" s="139">
        <v>5</v>
      </c>
      <c r="B205" s="139" t="s">
        <v>43</v>
      </c>
      <c r="C205" s="139">
        <v>1.2700756740000001</v>
      </c>
      <c r="D205" s="139" t="s">
        <v>381</v>
      </c>
      <c r="E205" s="139" t="s">
        <v>1741</v>
      </c>
    </row>
    <row r="206" spans="1:5">
      <c r="A206" s="139">
        <v>0</v>
      </c>
      <c r="B206" s="139" t="s">
        <v>38</v>
      </c>
      <c r="C206" s="139">
        <v>1.67</v>
      </c>
      <c r="D206" s="139" t="s">
        <v>382</v>
      </c>
      <c r="E206" s="139" t="s">
        <v>1741</v>
      </c>
    </row>
    <row r="207" spans="1:5">
      <c r="A207" s="139">
        <v>1</v>
      </c>
      <c r="B207" s="139" t="s">
        <v>39</v>
      </c>
      <c r="C207" s="139">
        <v>21.196137259</v>
      </c>
      <c r="D207" s="139" t="s">
        <v>382</v>
      </c>
      <c r="E207" s="139" t="s">
        <v>1741</v>
      </c>
    </row>
    <row r="208" spans="1:5">
      <c r="A208" s="139">
        <v>2</v>
      </c>
      <c r="B208" s="139" t="s">
        <v>40</v>
      </c>
      <c r="C208" s="139">
        <v>111.394163064</v>
      </c>
      <c r="D208" s="139" t="s">
        <v>382</v>
      </c>
      <c r="E208" s="139" t="s">
        <v>1741</v>
      </c>
    </row>
    <row r="209" spans="1:5">
      <c r="A209" s="139">
        <v>3</v>
      </c>
      <c r="B209" s="139" t="s">
        <v>41</v>
      </c>
      <c r="C209" s="139">
        <v>15.34784043</v>
      </c>
      <c r="D209" s="139" t="s">
        <v>382</v>
      </c>
      <c r="E209" s="139" t="s">
        <v>1741</v>
      </c>
    </row>
    <row r="210" spans="1:5">
      <c r="A210" s="139">
        <v>4</v>
      </c>
      <c r="B210" s="139" t="s">
        <v>42</v>
      </c>
      <c r="C210" s="139">
        <v>1</v>
      </c>
      <c r="D210" s="139" t="s">
        <v>382</v>
      </c>
      <c r="E210" s="139" t="s">
        <v>1741</v>
      </c>
    </row>
    <row r="211" spans="1:5">
      <c r="A211" s="139">
        <v>5</v>
      </c>
      <c r="B211" s="139" t="s">
        <v>43</v>
      </c>
      <c r="C211" s="139">
        <v>1.2700756740000001</v>
      </c>
      <c r="D211" s="139" t="s">
        <v>382</v>
      </c>
      <c r="E211" s="139" t="s">
        <v>1741</v>
      </c>
    </row>
    <row r="212" spans="1:5">
      <c r="A212" s="139">
        <v>0</v>
      </c>
      <c r="B212" s="139" t="s">
        <v>38</v>
      </c>
      <c r="C212" s="139">
        <v>1.67</v>
      </c>
      <c r="D212" s="139" t="s">
        <v>383</v>
      </c>
      <c r="E212" s="139" t="s">
        <v>1741</v>
      </c>
    </row>
    <row r="213" spans="1:5">
      <c r="A213" s="139">
        <v>1</v>
      </c>
      <c r="B213" s="139" t="s">
        <v>39</v>
      </c>
      <c r="C213" s="139">
        <v>21.196137259</v>
      </c>
      <c r="D213" s="139" t="s">
        <v>383</v>
      </c>
      <c r="E213" s="139" t="s">
        <v>1741</v>
      </c>
    </row>
    <row r="214" spans="1:5">
      <c r="A214" s="139">
        <v>2</v>
      </c>
      <c r="B214" s="139" t="s">
        <v>40</v>
      </c>
      <c r="C214" s="139">
        <v>111.394163064</v>
      </c>
      <c r="D214" s="139" t="s">
        <v>383</v>
      </c>
      <c r="E214" s="139" t="s">
        <v>1741</v>
      </c>
    </row>
    <row r="215" spans="1:5">
      <c r="A215" s="139">
        <v>3</v>
      </c>
      <c r="B215" s="139" t="s">
        <v>41</v>
      </c>
      <c r="C215" s="139">
        <v>15.34784043</v>
      </c>
      <c r="D215" s="139" t="s">
        <v>383</v>
      </c>
      <c r="E215" s="139" t="s">
        <v>1741</v>
      </c>
    </row>
    <row r="216" spans="1:5">
      <c r="A216" s="139">
        <v>4</v>
      </c>
      <c r="B216" s="139" t="s">
        <v>42</v>
      </c>
      <c r="C216" s="139">
        <v>1</v>
      </c>
      <c r="D216" s="139" t="s">
        <v>383</v>
      </c>
      <c r="E216" s="139" t="s">
        <v>1741</v>
      </c>
    </row>
    <row r="217" spans="1:5">
      <c r="A217" s="139">
        <v>5</v>
      </c>
      <c r="B217" s="139" t="s">
        <v>43</v>
      </c>
      <c r="C217" s="139">
        <v>1.2700756740000001</v>
      </c>
      <c r="D217" s="139" t="s">
        <v>383</v>
      </c>
      <c r="E217" s="139" t="s">
        <v>1741</v>
      </c>
    </row>
    <row r="218" spans="1:5">
      <c r="A218" s="139">
        <v>0</v>
      </c>
      <c r="B218" s="139" t="s">
        <v>38</v>
      </c>
      <c r="C218" s="139">
        <v>1.67</v>
      </c>
      <c r="D218" s="139" t="s">
        <v>384</v>
      </c>
      <c r="E218" s="139" t="s">
        <v>1741</v>
      </c>
    </row>
    <row r="219" spans="1:5">
      <c r="A219" s="139">
        <v>1</v>
      </c>
      <c r="B219" s="139" t="s">
        <v>39</v>
      </c>
      <c r="C219" s="139">
        <v>21.196137259</v>
      </c>
      <c r="D219" s="139" t="s">
        <v>384</v>
      </c>
      <c r="E219" s="139" t="s">
        <v>1741</v>
      </c>
    </row>
    <row r="220" spans="1:5">
      <c r="A220" s="139">
        <v>2</v>
      </c>
      <c r="B220" s="139" t="s">
        <v>40</v>
      </c>
      <c r="C220" s="139">
        <v>111.394163064</v>
      </c>
      <c r="D220" s="139" t="s">
        <v>384</v>
      </c>
      <c r="E220" s="139" t="s">
        <v>1741</v>
      </c>
    </row>
    <row r="221" spans="1:5">
      <c r="A221" s="139">
        <v>3</v>
      </c>
      <c r="B221" s="139" t="s">
        <v>41</v>
      </c>
      <c r="C221" s="139">
        <v>15.34784043</v>
      </c>
      <c r="D221" s="139" t="s">
        <v>384</v>
      </c>
      <c r="E221" s="139" t="s">
        <v>1741</v>
      </c>
    </row>
    <row r="222" spans="1:5">
      <c r="A222" s="139">
        <v>4</v>
      </c>
      <c r="B222" s="139" t="s">
        <v>42</v>
      </c>
      <c r="C222" s="139">
        <v>1</v>
      </c>
      <c r="D222" s="139" t="s">
        <v>384</v>
      </c>
      <c r="E222" s="139" t="s">
        <v>1741</v>
      </c>
    </row>
    <row r="223" spans="1:5">
      <c r="A223" s="139">
        <v>5</v>
      </c>
      <c r="B223" s="139" t="s">
        <v>43</v>
      </c>
      <c r="C223" s="139">
        <v>1.2700756740000001</v>
      </c>
      <c r="D223" s="139" t="s">
        <v>384</v>
      </c>
      <c r="E223" s="139" t="s">
        <v>1741</v>
      </c>
    </row>
    <row r="224" spans="1:5">
      <c r="A224" s="139">
        <v>0</v>
      </c>
      <c r="B224" s="139" t="s">
        <v>38</v>
      </c>
      <c r="C224" s="139">
        <v>1.67</v>
      </c>
      <c r="D224" s="139" t="s">
        <v>385</v>
      </c>
      <c r="E224" s="139" t="s">
        <v>1741</v>
      </c>
    </row>
    <row r="225" spans="1:5">
      <c r="A225" s="139">
        <v>1</v>
      </c>
      <c r="B225" s="139" t="s">
        <v>39</v>
      </c>
      <c r="C225" s="139">
        <v>21.196137259</v>
      </c>
      <c r="D225" s="139" t="s">
        <v>385</v>
      </c>
      <c r="E225" s="139" t="s">
        <v>1741</v>
      </c>
    </row>
    <row r="226" spans="1:5">
      <c r="A226" s="139">
        <v>2</v>
      </c>
      <c r="B226" s="139" t="s">
        <v>40</v>
      </c>
      <c r="C226" s="139">
        <v>111.394163064</v>
      </c>
      <c r="D226" s="139" t="s">
        <v>385</v>
      </c>
      <c r="E226" s="139" t="s">
        <v>1741</v>
      </c>
    </row>
    <row r="227" spans="1:5">
      <c r="A227" s="139">
        <v>3</v>
      </c>
      <c r="B227" s="139" t="s">
        <v>41</v>
      </c>
      <c r="C227" s="139">
        <v>15.34784043</v>
      </c>
      <c r="D227" s="139" t="s">
        <v>385</v>
      </c>
      <c r="E227" s="139" t="s">
        <v>1741</v>
      </c>
    </row>
    <row r="228" spans="1:5">
      <c r="A228" s="139">
        <v>4</v>
      </c>
      <c r="B228" s="139" t="s">
        <v>42</v>
      </c>
      <c r="C228" s="139">
        <v>1</v>
      </c>
      <c r="D228" s="139" t="s">
        <v>385</v>
      </c>
      <c r="E228" s="139" t="s">
        <v>1741</v>
      </c>
    </row>
    <row r="229" spans="1:5">
      <c r="A229" s="139">
        <v>5</v>
      </c>
      <c r="B229" s="139" t="s">
        <v>43</v>
      </c>
      <c r="C229" s="139">
        <v>1.2700756740000001</v>
      </c>
      <c r="D229" s="139" t="s">
        <v>385</v>
      </c>
      <c r="E229" s="139" t="s">
        <v>1741</v>
      </c>
    </row>
    <row r="230" spans="1:5">
      <c r="A230" s="139">
        <v>0</v>
      </c>
      <c r="B230" s="139" t="s">
        <v>38</v>
      </c>
      <c r="C230" s="139">
        <v>1.67</v>
      </c>
      <c r="D230" s="139" t="s">
        <v>386</v>
      </c>
      <c r="E230" s="139" t="s">
        <v>1741</v>
      </c>
    </row>
    <row r="231" spans="1:5">
      <c r="A231" s="139">
        <v>1</v>
      </c>
      <c r="B231" s="139" t="s">
        <v>39</v>
      </c>
      <c r="C231" s="139">
        <v>21.196137259</v>
      </c>
      <c r="D231" s="139" t="s">
        <v>386</v>
      </c>
      <c r="E231" s="139" t="s">
        <v>1741</v>
      </c>
    </row>
    <row r="232" spans="1:5">
      <c r="A232" s="139">
        <v>2</v>
      </c>
      <c r="B232" s="139" t="s">
        <v>40</v>
      </c>
      <c r="C232" s="139">
        <v>111.394163064</v>
      </c>
      <c r="D232" s="139" t="s">
        <v>386</v>
      </c>
      <c r="E232" s="139" t="s">
        <v>1741</v>
      </c>
    </row>
    <row r="233" spans="1:5">
      <c r="A233" s="139">
        <v>3</v>
      </c>
      <c r="B233" s="139" t="s">
        <v>41</v>
      </c>
      <c r="C233" s="139">
        <v>15.34784043</v>
      </c>
      <c r="D233" s="139" t="s">
        <v>386</v>
      </c>
      <c r="E233" s="139" t="s">
        <v>1741</v>
      </c>
    </row>
    <row r="234" spans="1:5">
      <c r="A234" s="139">
        <v>4</v>
      </c>
      <c r="B234" s="139" t="s">
        <v>42</v>
      </c>
      <c r="C234" s="139">
        <v>1</v>
      </c>
      <c r="D234" s="139" t="s">
        <v>386</v>
      </c>
      <c r="E234" s="139" t="s">
        <v>1741</v>
      </c>
    </row>
    <row r="235" spans="1:5">
      <c r="A235" s="139">
        <v>5</v>
      </c>
      <c r="B235" s="139" t="s">
        <v>43</v>
      </c>
      <c r="C235" s="139">
        <v>1.2700756740000001</v>
      </c>
      <c r="D235" s="139" t="s">
        <v>386</v>
      </c>
      <c r="E235" s="139" t="s">
        <v>1741</v>
      </c>
    </row>
    <row r="236" spans="1:5">
      <c r="A236" s="139">
        <v>0</v>
      </c>
      <c r="B236" s="139" t="s">
        <v>38</v>
      </c>
      <c r="C236" s="139">
        <v>1.67</v>
      </c>
      <c r="D236" s="139" t="s">
        <v>387</v>
      </c>
      <c r="E236" s="139" t="s">
        <v>1741</v>
      </c>
    </row>
    <row r="237" spans="1:5">
      <c r="A237" s="139">
        <v>1</v>
      </c>
      <c r="B237" s="139" t="s">
        <v>39</v>
      </c>
      <c r="C237" s="139">
        <v>21.196137259</v>
      </c>
      <c r="D237" s="139" t="s">
        <v>387</v>
      </c>
      <c r="E237" s="139" t="s">
        <v>1741</v>
      </c>
    </row>
    <row r="238" spans="1:5">
      <c r="A238" s="139">
        <v>2</v>
      </c>
      <c r="B238" s="139" t="s">
        <v>40</v>
      </c>
      <c r="C238" s="139">
        <v>111.394163064</v>
      </c>
      <c r="D238" s="139" t="s">
        <v>387</v>
      </c>
      <c r="E238" s="139" t="s">
        <v>1741</v>
      </c>
    </row>
    <row r="239" spans="1:5">
      <c r="A239" s="139">
        <v>3</v>
      </c>
      <c r="B239" s="139" t="s">
        <v>41</v>
      </c>
      <c r="C239" s="139">
        <v>15.34784043</v>
      </c>
      <c r="D239" s="139" t="s">
        <v>387</v>
      </c>
      <c r="E239" s="139" t="s">
        <v>1741</v>
      </c>
    </row>
    <row r="240" spans="1:5">
      <c r="A240" s="139">
        <v>4</v>
      </c>
      <c r="B240" s="139" t="s">
        <v>42</v>
      </c>
      <c r="C240" s="139">
        <v>1</v>
      </c>
      <c r="D240" s="139" t="s">
        <v>387</v>
      </c>
      <c r="E240" s="139" t="s">
        <v>1741</v>
      </c>
    </row>
    <row r="241" spans="1:5">
      <c r="A241" s="139">
        <v>5</v>
      </c>
      <c r="B241" s="139" t="s">
        <v>43</v>
      </c>
      <c r="C241" s="139">
        <v>1.2700756740000001</v>
      </c>
      <c r="D241" s="139" t="s">
        <v>387</v>
      </c>
      <c r="E241" s="139" t="s">
        <v>1741</v>
      </c>
    </row>
    <row r="242" spans="1:5">
      <c r="A242" s="139">
        <v>0</v>
      </c>
      <c r="B242" s="139" t="s">
        <v>38</v>
      </c>
      <c r="C242" s="139">
        <v>1.67</v>
      </c>
      <c r="D242" s="139" t="s">
        <v>388</v>
      </c>
      <c r="E242" s="139" t="s">
        <v>1741</v>
      </c>
    </row>
    <row r="243" spans="1:5">
      <c r="A243" s="139">
        <v>1</v>
      </c>
      <c r="B243" s="139" t="s">
        <v>39</v>
      </c>
      <c r="C243" s="139">
        <v>21.196137259</v>
      </c>
      <c r="D243" s="139" t="s">
        <v>388</v>
      </c>
      <c r="E243" s="139" t="s">
        <v>1741</v>
      </c>
    </row>
    <row r="244" spans="1:5">
      <c r="A244" s="139">
        <v>2</v>
      </c>
      <c r="B244" s="139" t="s">
        <v>40</v>
      </c>
      <c r="C244" s="139">
        <v>111.394163064</v>
      </c>
      <c r="D244" s="139" t="s">
        <v>388</v>
      </c>
      <c r="E244" s="139" t="s">
        <v>1741</v>
      </c>
    </row>
    <row r="245" spans="1:5">
      <c r="A245" s="139">
        <v>3</v>
      </c>
      <c r="B245" s="139" t="s">
        <v>41</v>
      </c>
      <c r="C245" s="139">
        <v>15.34784043</v>
      </c>
      <c r="D245" s="139" t="s">
        <v>388</v>
      </c>
      <c r="E245" s="139" t="s">
        <v>1741</v>
      </c>
    </row>
    <row r="246" spans="1:5">
      <c r="A246" s="139">
        <v>4</v>
      </c>
      <c r="B246" s="139" t="s">
        <v>42</v>
      </c>
      <c r="C246" s="139">
        <v>1</v>
      </c>
      <c r="D246" s="139" t="s">
        <v>388</v>
      </c>
      <c r="E246" s="139" t="s">
        <v>1741</v>
      </c>
    </row>
    <row r="247" spans="1:5">
      <c r="A247" s="139">
        <v>5</v>
      </c>
      <c r="B247" s="139" t="s">
        <v>43</v>
      </c>
      <c r="C247" s="139">
        <v>1.2700756740000001</v>
      </c>
      <c r="D247" s="139" t="s">
        <v>388</v>
      </c>
      <c r="E247" s="139" t="s">
        <v>1741</v>
      </c>
    </row>
    <row r="248" spans="1:5">
      <c r="A248" s="139">
        <v>0</v>
      </c>
      <c r="B248" s="139" t="s">
        <v>38</v>
      </c>
      <c r="C248" s="139">
        <v>1.67</v>
      </c>
      <c r="D248" s="139" t="s">
        <v>389</v>
      </c>
      <c r="E248" s="139" t="s">
        <v>1741</v>
      </c>
    </row>
    <row r="249" spans="1:5">
      <c r="A249" s="139">
        <v>1</v>
      </c>
      <c r="B249" s="139" t="s">
        <v>39</v>
      </c>
      <c r="C249" s="139">
        <v>21.196137259</v>
      </c>
      <c r="D249" s="139" t="s">
        <v>389</v>
      </c>
      <c r="E249" s="139" t="s">
        <v>1741</v>
      </c>
    </row>
    <row r="250" spans="1:5">
      <c r="A250" s="139">
        <v>2</v>
      </c>
      <c r="B250" s="139" t="s">
        <v>40</v>
      </c>
      <c r="C250" s="139">
        <v>111.394163064</v>
      </c>
      <c r="D250" s="139" t="s">
        <v>389</v>
      </c>
      <c r="E250" s="139" t="s">
        <v>1741</v>
      </c>
    </row>
    <row r="251" spans="1:5">
      <c r="A251" s="139">
        <v>3</v>
      </c>
      <c r="B251" s="139" t="s">
        <v>41</v>
      </c>
      <c r="C251" s="139">
        <v>15.34784043</v>
      </c>
      <c r="D251" s="139" t="s">
        <v>389</v>
      </c>
      <c r="E251" s="139" t="s">
        <v>1741</v>
      </c>
    </row>
    <row r="252" spans="1:5">
      <c r="A252" s="139">
        <v>4</v>
      </c>
      <c r="B252" s="139" t="s">
        <v>42</v>
      </c>
      <c r="C252" s="139">
        <v>1</v>
      </c>
      <c r="D252" s="139" t="s">
        <v>389</v>
      </c>
      <c r="E252" s="139" t="s">
        <v>1741</v>
      </c>
    </row>
    <row r="253" spans="1:5">
      <c r="A253" s="139">
        <v>5</v>
      </c>
      <c r="B253" s="139" t="s">
        <v>43</v>
      </c>
      <c r="C253" s="139">
        <v>1.2700756740000001</v>
      </c>
      <c r="D253" s="139" t="s">
        <v>389</v>
      </c>
      <c r="E253" s="139" t="s">
        <v>1741</v>
      </c>
    </row>
    <row r="254" spans="1:5">
      <c r="A254" s="139">
        <v>0</v>
      </c>
      <c r="B254" s="139" t="s">
        <v>38</v>
      </c>
      <c r="C254" s="139">
        <v>1.67</v>
      </c>
      <c r="D254" s="139" t="s">
        <v>390</v>
      </c>
      <c r="E254" s="139" t="s">
        <v>1741</v>
      </c>
    </row>
    <row r="255" spans="1:5">
      <c r="A255" s="139">
        <v>1</v>
      </c>
      <c r="B255" s="139" t="s">
        <v>39</v>
      </c>
      <c r="C255" s="139">
        <v>21.196137259</v>
      </c>
      <c r="D255" s="139" t="s">
        <v>390</v>
      </c>
      <c r="E255" s="139" t="s">
        <v>1741</v>
      </c>
    </row>
    <row r="256" spans="1:5">
      <c r="A256" s="139">
        <v>2</v>
      </c>
      <c r="B256" s="139" t="s">
        <v>40</v>
      </c>
      <c r="C256" s="139">
        <v>111.394163064</v>
      </c>
      <c r="D256" s="139" t="s">
        <v>390</v>
      </c>
      <c r="E256" s="139" t="s">
        <v>1741</v>
      </c>
    </row>
    <row r="257" spans="1:5">
      <c r="A257" s="139">
        <v>3</v>
      </c>
      <c r="B257" s="139" t="s">
        <v>41</v>
      </c>
      <c r="C257" s="139">
        <v>15.34784043</v>
      </c>
      <c r="D257" s="139" t="s">
        <v>390</v>
      </c>
      <c r="E257" s="139" t="s">
        <v>1741</v>
      </c>
    </row>
    <row r="258" spans="1:5">
      <c r="A258" s="139">
        <v>4</v>
      </c>
      <c r="B258" s="139" t="s">
        <v>42</v>
      </c>
      <c r="C258" s="139">
        <v>1</v>
      </c>
      <c r="D258" s="139" t="s">
        <v>390</v>
      </c>
      <c r="E258" s="139" t="s">
        <v>1741</v>
      </c>
    </row>
    <row r="259" spans="1:5">
      <c r="A259" s="139">
        <v>5</v>
      </c>
      <c r="B259" s="139" t="s">
        <v>43</v>
      </c>
      <c r="C259" s="139">
        <v>1.2700756740000001</v>
      </c>
      <c r="D259" s="139" t="s">
        <v>390</v>
      </c>
      <c r="E259" s="139" t="s">
        <v>1741</v>
      </c>
    </row>
    <row r="260" spans="1:5">
      <c r="A260" s="139">
        <v>0</v>
      </c>
      <c r="B260" s="139" t="s">
        <v>38</v>
      </c>
      <c r="C260" s="139">
        <v>1.67</v>
      </c>
      <c r="D260" s="139" t="s">
        <v>395</v>
      </c>
      <c r="E260" s="139" t="s">
        <v>1741</v>
      </c>
    </row>
    <row r="261" spans="1:5">
      <c r="A261" s="139">
        <v>1</v>
      </c>
      <c r="B261" s="139" t="s">
        <v>39</v>
      </c>
      <c r="C261" s="139">
        <v>21.196137259</v>
      </c>
      <c r="D261" s="139" t="s">
        <v>395</v>
      </c>
      <c r="E261" s="139" t="s">
        <v>1741</v>
      </c>
    </row>
    <row r="262" spans="1:5">
      <c r="A262" s="139">
        <v>2</v>
      </c>
      <c r="B262" s="139" t="s">
        <v>40</v>
      </c>
      <c r="C262" s="139">
        <v>111.394163064</v>
      </c>
      <c r="D262" s="139" t="s">
        <v>395</v>
      </c>
      <c r="E262" s="139" t="s">
        <v>1741</v>
      </c>
    </row>
    <row r="263" spans="1:5">
      <c r="A263" s="139">
        <v>3</v>
      </c>
      <c r="B263" s="139" t="s">
        <v>41</v>
      </c>
      <c r="C263" s="139">
        <v>15.34784043</v>
      </c>
      <c r="D263" s="139" t="s">
        <v>395</v>
      </c>
      <c r="E263" s="139" t="s">
        <v>1741</v>
      </c>
    </row>
    <row r="264" spans="1:5">
      <c r="A264" s="139">
        <v>4</v>
      </c>
      <c r="B264" s="139" t="s">
        <v>42</v>
      </c>
      <c r="C264" s="139">
        <v>1</v>
      </c>
      <c r="D264" s="139" t="s">
        <v>395</v>
      </c>
      <c r="E264" s="139" t="s">
        <v>1741</v>
      </c>
    </row>
    <row r="265" spans="1:5">
      <c r="A265" s="139">
        <v>5</v>
      </c>
      <c r="B265" s="139" t="s">
        <v>43</v>
      </c>
      <c r="C265" s="139">
        <v>1.2700756740000001</v>
      </c>
      <c r="D265" s="139" t="s">
        <v>395</v>
      </c>
      <c r="E265" s="139" t="s">
        <v>1741</v>
      </c>
    </row>
    <row r="266" spans="1:5">
      <c r="A266" s="139">
        <v>0</v>
      </c>
      <c r="B266" s="139" t="s">
        <v>38</v>
      </c>
      <c r="C266" s="139">
        <v>1.67</v>
      </c>
      <c r="D266" s="139" t="s">
        <v>396</v>
      </c>
      <c r="E266" s="139" t="s">
        <v>1741</v>
      </c>
    </row>
    <row r="267" spans="1:5">
      <c r="A267" s="139">
        <v>1</v>
      </c>
      <c r="B267" s="139" t="s">
        <v>39</v>
      </c>
      <c r="C267" s="139">
        <v>21.196137259</v>
      </c>
      <c r="D267" s="139" t="s">
        <v>396</v>
      </c>
      <c r="E267" s="139" t="s">
        <v>1741</v>
      </c>
    </row>
    <row r="268" spans="1:5">
      <c r="A268" s="139">
        <v>2</v>
      </c>
      <c r="B268" s="139" t="s">
        <v>40</v>
      </c>
      <c r="C268" s="139">
        <v>111.394163064</v>
      </c>
      <c r="D268" s="139" t="s">
        <v>396</v>
      </c>
      <c r="E268" s="139" t="s">
        <v>1741</v>
      </c>
    </row>
    <row r="269" spans="1:5">
      <c r="A269" s="139">
        <v>3</v>
      </c>
      <c r="B269" s="139" t="s">
        <v>41</v>
      </c>
      <c r="C269" s="139">
        <v>15.34784043</v>
      </c>
      <c r="D269" s="139" t="s">
        <v>396</v>
      </c>
      <c r="E269" s="139" t="s">
        <v>1741</v>
      </c>
    </row>
    <row r="270" spans="1:5">
      <c r="A270" s="139">
        <v>4</v>
      </c>
      <c r="B270" s="139" t="s">
        <v>42</v>
      </c>
      <c r="C270" s="139">
        <v>1</v>
      </c>
      <c r="D270" s="139" t="s">
        <v>396</v>
      </c>
      <c r="E270" s="139" t="s">
        <v>1741</v>
      </c>
    </row>
    <row r="271" spans="1:5">
      <c r="A271" s="139">
        <v>5</v>
      </c>
      <c r="B271" s="139" t="s">
        <v>43</v>
      </c>
      <c r="C271" s="139">
        <v>1.2700756740000001</v>
      </c>
      <c r="D271" s="139" t="s">
        <v>396</v>
      </c>
      <c r="E271" s="139" t="s">
        <v>1741</v>
      </c>
    </row>
    <row r="272" spans="1:5">
      <c r="A272" s="139">
        <v>0</v>
      </c>
      <c r="B272" s="139" t="s">
        <v>38</v>
      </c>
      <c r="C272" s="139">
        <v>1.67</v>
      </c>
      <c r="D272" s="139" t="s">
        <v>397</v>
      </c>
      <c r="E272" s="139" t="s">
        <v>1741</v>
      </c>
    </row>
    <row r="273" spans="1:5">
      <c r="A273" s="139">
        <v>1</v>
      </c>
      <c r="B273" s="139" t="s">
        <v>39</v>
      </c>
      <c r="C273" s="139">
        <v>21.196137259</v>
      </c>
      <c r="D273" s="139" t="s">
        <v>397</v>
      </c>
      <c r="E273" s="139" t="s">
        <v>1741</v>
      </c>
    </row>
    <row r="274" spans="1:5">
      <c r="A274" s="139">
        <v>2</v>
      </c>
      <c r="B274" s="139" t="s">
        <v>40</v>
      </c>
      <c r="C274" s="139">
        <v>111.394163064</v>
      </c>
      <c r="D274" s="139" t="s">
        <v>397</v>
      </c>
      <c r="E274" s="139" t="s">
        <v>1741</v>
      </c>
    </row>
    <row r="275" spans="1:5">
      <c r="A275" s="139">
        <v>3</v>
      </c>
      <c r="B275" s="139" t="s">
        <v>41</v>
      </c>
      <c r="C275" s="139">
        <v>15.34784043</v>
      </c>
      <c r="D275" s="139" t="s">
        <v>397</v>
      </c>
      <c r="E275" s="139" t="s">
        <v>1741</v>
      </c>
    </row>
    <row r="276" spans="1:5">
      <c r="A276" s="139">
        <v>4</v>
      </c>
      <c r="B276" s="139" t="s">
        <v>42</v>
      </c>
      <c r="C276" s="139">
        <v>1</v>
      </c>
      <c r="D276" s="139" t="s">
        <v>397</v>
      </c>
      <c r="E276" s="139" t="s">
        <v>1741</v>
      </c>
    </row>
    <row r="277" spans="1:5">
      <c r="A277" s="139">
        <v>5</v>
      </c>
      <c r="B277" s="139" t="s">
        <v>43</v>
      </c>
      <c r="C277" s="139">
        <v>1.2700756740000001</v>
      </c>
      <c r="D277" s="139" t="s">
        <v>397</v>
      </c>
      <c r="E277" s="139" t="s">
        <v>1741</v>
      </c>
    </row>
    <row r="278" spans="1:5">
      <c r="A278" s="139">
        <v>0</v>
      </c>
      <c r="B278" s="139" t="s">
        <v>38</v>
      </c>
      <c r="C278" s="139">
        <v>1.67</v>
      </c>
      <c r="D278" s="139" t="s">
        <v>398</v>
      </c>
      <c r="E278" s="139" t="s">
        <v>1741</v>
      </c>
    </row>
    <row r="279" spans="1:5">
      <c r="A279" s="139">
        <v>1</v>
      </c>
      <c r="B279" s="139" t="s">
        <v>39</v>
      </c>
      <c r="C279" s="139">
        <v>21.196137259</v>
      </c>
      <c r="D279" s="139" t="s">
        <v>398</v>
      </c>
      <c r="E279" s="139" t="s">
        <v>1741</v>
      </c>
    </row>
    <row r="280" spans="1:5">
      <c r="A280" s="139">
        <v>2</v>
      </c>
      <c r="B280" s="139" t="s">
        <v>40</v>
      </c>
      <c r="C280" s="139">
        <v>111.394163064</v>
      </c>
      <c r="D280" s="139" t="s">
        <v>398</v>
      </c>
      <c r="E280" s="139" t="s">
        <v>1741</v>
      </c>
    </row>
    <row r="281" spans="1:5">
      <c r="A281" s="139">
        <v>3</v>
      </c>
      <c r="B281" s="139" t="s">
        <v>41</v>
      </c>
      <c r="C281" s="139">
        <v>15.34784043</v>
      </c>
      <c r="D281" s="139" t="s">
        <v>398</v>
      </c>
      <c r="E281" s="139" t="s">
        <v>1741</v>
      </c>
    </row>
    <row r="282" spans="1:5">
      <c r="A282" s="139">
        <v>4</v>
      </c>
      <c r="B282" s="139" t="s">
        <v>42</v>
      </c>
      <c r="C282" s="139">
        <v>1</v>
      </c>
      <c r="D282" s="139" t="s">
        <v>398</v>
      </c>
      <c r="E282" s="139" t="s">
        <v>1741</v>
      </c>
    </row>
    <row r="283" spans="1:5">
      <c r="A283" s="139">
        <v>5</v>
      </c>
      <c r="B283" s="139" t="s">
        <v>43</v>
      </c>
      <c r="C283" s="139">
        <v>1.2700756740000001</v>
      </c>
      <c r="D283" s="139" t="s">
        <v>398</v>
      </c>
      <c r="E283" s="139" t="s">
        <v>1741</v>
      </c>
    </row>
    <row r="284" spans="1:5">
      <c r="A284" s="139">
        <v>0</v>
      </c>
      <c r="B284" s="139" t="s">
        <v>38</v>
      </c>
      <c r="C284" s="139">
        <v>1.67</v>
      </c>
      <c r="D284" s="139" t="s">
        <v>399</v>
      </c>
      <c r="E284" s="139" t="s">
        <v>1741</v>
      </c>
    </row>
    <row r="285" spans="1:5">
      <c r="A285" s="139">
        <v>1</v>
      </c>
      <c r="B285" s="139" t="s">
        <v>39</v>
      </c>
      <c r="C285" s="139">
        <v>21.196137259</v>
      </c>
      <c r="D285" s="139" t="s">
        <v>399</v>
      </c>
      <c r="E285" s="139" t="s">
        <v>1741</v>
      </c>
    </row>
    <row r="286" spans="1:5">
      <c r="A286" s="139">
        <v>2</v>
      </c>
      <c r="B286" s="139" t="s">
        <v>40</v>
      </c>
      <c r="C286" s="139">
        <v>111.394163064</v>
      </c>
      <c r="D286" s="139" t="s">
        <v>399</v>
      </c>
      <c r="E286" s="139" t="s">
        <v>1741</v>
      </c>
    </row>
    <row r="287" spans="1:5">
      <c r="A287" s="139">
        <v>3</v>
      </c>
      <c r="B287" s="139" t="s">
        <v>41</v>
      </c>
      <c r="C287" s="139">
        <v>15.34784043</v>
      </c>
      <c r="D287" s="139" t="s">
        <v>399</v>
      </c>
      <c r="E287" s="139" t="s">
        <v>1741</v>
      </c>
    </row>
    <row r="288" spans="1:5">
      <c r="A288" s="139">
        <v>4</v>
      </c>
      <c r="B288" s="139" t="s">
        <v>42</v>
      </c>
      <c r="C288" s="139">
        <v>1</v>
      </c>
      <c r="D288" s="139" t="s">
        <v>399</v>
      </c>
      <c r="E288" s="139" t="s">
        <v>1741</v>
      </c>
    </row>
    <row r="289" spans="1:5">
      <c r="A289" s="139">
        <v>5</v>
      </c>
      <c r="B289" s="139" t="s">
        <v>43</v>
      </c>
      <c r="C289" s="139">
        <v>1.2700756740000001</v>
      </c>
      <c r="D289" s="139" t="s">
        <v>399</v>
      </c>
      <c r="E289" s="139" t="s">
        <v>1741</v>
      </c>
    </row>
    <row r="290" spans="1:5">
      <c r="A290" s="139">
        <v>0</v>
      </c>
      <c r="B290" s="139" t="s">
        <v>38</v>
      </c>
      <c r="C290" s="139">
        <v>1.67</v>
      </c>
      <c r="D290" s="139" t="s">
        <v>400</v>
      </c>
      <c r="E290" s="139" t="s">
        <v>1741</v>
      </c>
    </row>
    <row r="291" spans="1:5">
      <c r="A291" s="139">
        <v>1</v>
      </c>
      <c r="B291" s="139" t="s">
        <v>39</v>
      </c>
      <c r="C291" s="139">
        <v>21.196137259</v>
      </c>
      <c r="D291" s="139" t="s">
        <v>400</v>
      </c>
      <c r="E291" s="139" t="s">
        <v>1741</v>
      </c>
    </row>
    <row r="292" spans="1:5">
      <c r="A292" s="139">
        <v>2</v>
      </c>
      <c r="B292" s="139" t="s">
        <v>40</v>
      </c>
      <c r="C292" s="139">
        <v>111.394163064</v>
      </c>
      <c r="D292" s="139" t="s">
        <v>400</v>
      </c>
      <c r="E292" s="139" t="s">
        <v>1741</v>
      </c>
    </row>
    <row r="293" spans="1:5">
      <c r="A293" s="139">
        <v>3</v>
      </c>
      <c r="B293" s="139" t="s">
        <v>41</v>
      </c>
      <c r="C293" s="139">
        <v>15.34784043</v>
      </c>
      <c r="D293" s="139" t="s">
        <v>400</v>
      </c>
      <c r="E293" s="139" t="s">
        <v>1741</v>
      </c>
    </row>
    <row r="294" spans="1:5">
      <c r="A294" s="139">
        <v>4</v>
      </c>
      <c r="B294" s="139" t="s">
        <v>42</v>
      </c>
      <c r="C294" s="139">
        <v>1</v>
      </c>
      <c r="D294" s="139" t="s">
        <v>400</v>
      </c>
      <c r="E294" s="139" t="s">
        <v>1741</v>
      </c>
    </row>
    <row r="295" spans="1:5">
      <c r="A295" s="139">
        <v>5</v>
      </c>
      <c r="B295" s="139" t="s">
        <v>43</v>
      </c>
      <c r="C295" s="139">
        <v>1.2700756740000001</v>
      </c>
      <c r="D295" s="139" t="s">
        <v>400</v>
      </c>
      <c r="E295" s="139" t="s">
        <v>1741</v>
      </c>
    </row>
    <row r="296" spans="1:5">
      <c r="A296" s="139">
        <v>0</v>
      </c>
      <c r="B296" s="139" t="s">
        <v>38</v>
      </c>
      <c r="C296" s="139">
        <v>1.67</v>
      </c>
      <c r="D296" s="139" t="s">
        <v>401</v>
      </c>
      <c r="E296" s="139" t="s">
        <v>1741</v>
      </c>
    </row>
    <row r="297" spans="1:5">
      <c r="A297" s="139">
        <v>1</v>
      </c>
      <c r="B297" s="139" t="s">
        <v>39</v>
      </c>
      <c r="C297" s="139">
        <v>21.196137259</v>
      </c>
      <c r="D297" s="139" t="s">
        <v>401</v>
      </c>
      <c r="E297" s="139" t="s">
        <v>1741</v>
      </c>
    </row>
    <row r="298" spans="1:5">
      <c r="A298" s="139">
        <v>2</v>
      </c>
      <c r="B298" s="139" t="s">
        <v>40</v>
      </c>
      <c r="C298" s="139">
        <v>111.394163064</v>
      </c>
      <c r="D298" s="139" t="s">
        <v>401</v>
      </c>
      <c r="E298" s="139" t="s">
        <v>1741</v>
      </c>
    </row>
    <row r="299" spans="1:5">
      <c r="A299" s="139">
        <v>3</v>
      </c>
      <c r="B299" s="139" t="s">
        <v>41</v>
      </c>
      <c r="C299" s="139">
        <v>15.34784043</v>
      </c>
      <c r="D299" s="139" t="s">
        <v>401</v>
      </c>
      <c r="E299" s="139" t="s">
        <v>1741</v>
      </c>
    </row>
    <row r="300" spans="1:5">
      <c r="A300" s="139">
        <v>4</v>
      </c>
      <c r="B300" s="139" t="s">
        <v>42</v>
      </c>
      <c r="C300" s="139">
        <v>1</v>
      </c>
      <c r="D300" s="139" t="s">
        <v>401</v>
      </c>
      <c r="E300" s="139" t="s">
        <v>1741</v>
      </c>
    </row>
    <row r="301" spans="1:5">
      <c r="A301" s="139">
        <v>5</v>
      </c>
      <c r="B301" s="139" t="s">
        <v>43</v>
      </c>
      <c r="C301" s="139">
        <v>1.2700756740000001</v>
      </c>
      <c r="D301" s="139" t="s">
        <v>401</v>
      </c>
      <c r="E301" s="139" t="s">
        <v>1741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activeCell="J5" sqref="J5"/>
    </sheetView>
  </sheetViews>
  <sheetFormatPr defaultRowHeight="14.75"/>
  <sheetData>
    <row r="1" spans="1:5">
      <c r="A1" s="139"/>
      <c r="B1" s="139" t="s">
        <v>45</v>
      </c>
      <c r="C1" s="139">
        <v>2021</v>
      </c>
      <c r="D1" s="139" t="s">
        <v>130</v>
      </c>
      <c r="E1" s="139" t="s">
        <v>1739</v>
      </c>
    </row>
    <row r="2" spans="1:5">
      <c r="A2" s="139">
        <v>0</v>
      </c>
      <c r="B2" s="139" t="s">
        <v>38</v>
      </c>
      <c r="C2" s="139">
        <v>1</v>
      </c>
      <c r="D2" s="139" t="s">
        <v>132</v>
      </c>
      <c r="E2" s="139" t="s">
        <v>1740</v>
      </c>
    </row>
    <row r="3" spans="1:5">
      <c r="A3" s="139">
        <v>1</v>
      </c>
      <c r="B3" s="139" t="s">
        <v>39</v>
      </c>
      <c r="C3" s="139">
        <v>16</v>
      </c>
      <c r="D3" s="139" t="s">
        <v>132</v>
      </c>
      <c r="E3" s="139" t="s">
        <v>1740</v>
      </c>
    </row>
    <row r="4" spans="1:5">
      <c r="A4" s="139">
        <v>2</v>
      </c>
      <c r="B4" s="139" t="s">
        <v>40</v>
      </c>
      <c r="C4" s="139">
        <v>41.989116133000003</v>
      </c>
      <c r="D4" s="139" t="s">
        <v>132</v>
      </c>
      <c r="E4" s="139" t="s">
        <v>1740</v>
      </c>
    </row>
    <row r="5" spans="1:5">
      <c r="A5" s="139">
        <v>3</v>
      </c>
      <c r="B5" s="139" t="s">
        <v>41</v>
      </c>
      <c r="C5" s="139">
        <v>3512.359164212</v>
      </c>
      <c r="D5" s="139" t="s">
        <v>132</v>
      </c>
      <c r="E5" s="139" t="s">
        <v>1740</v>
      </c>
    </row>
    <row r="6" spans="1:5">
      <c r="A6" s="139">
        <v>4</v>
      </c>
      <c r="B6" s="139" t="s">
        <v>42</v>
      </c>
      <c r="C6" s="139">
        <v>1974.4736422179999</v>
      </c>
      <c r="D6" s="139" t="s">
        <v>132</v>
      </c>
      <c r="E6" s="139" t="s">
        <v>1740</v>
      </c>
    </row>
    <row r="7" spans="1:5">
      <c r="A7" s="139">
        <v>5</v>
      </c>
      <c r="B7" s="139" t="s">
        <v>43</v>
      </c>
      <c r="C7" s="139">
        <v>0</v>
      </c>
      <c r="D7" s="139" t="s">
        <v>132</v>
      </c>
      <c r="E7" s="139" t="s">
        <v>1740</v>
      </c>
    </row>
    <row r="8" spans="1:5">
      <c r="A8" s="139">
        <v>0</v>
      </c>
      <c r="B8" s="139" t="s">
        <v>38</v>
      </c>
      <c r="C8" s="139">
        <v>1</v>
      </c>
      <c r="D8" s="139" t="s">
        <v>348</v>
      </c>
      <c r="E8" s="139" t="s">
        <v>1740</v>
      </c>
    </row>
    <row r="9" spans="1:5">
      <c r="A9" s="139">
        <v>1</v>
      </c>
      <c r="B9" s="139" t="s">
        <v>39</v>
      </c>
      <c r="C9" s="139">
        <v>16</v>
      </c>
      <c r="D9" s="139" t="s">
        <v>348</v>
      </c>
      <c r="E9" s="139" t="s">
        <v>1740</v>
      </c>
    </row>
    <row r="10" spans="1:5">
      <c r="A10" s="139">
        <v>2</v>
      </c>
      <c r="B10" s="139" t="s">
        <v>40</v>
      </c>
      <c r="C10" s="139">
        <v>41.989116133000003</v>
      </c>
      <c r="D10" s="139" t="s">
        <v>348</v>
      </c>
      <c r="E10" s="139" t="s">
        <v>1740</v>
      </c>
    </row>
    <row r="11" spans="1:5">
      <c r="A11" s="139">
        <v>3</v>
      </c>
      <c r="B11" s="139" t="s">
        <v>41</v>
      </c>
      <c r="C11" s="139">
        <v>3512.359164212</v>
      </c>
      <c r="D11" s="139" t="s">
        <v>348</v>
      </c>
      <c r="E11" s="139" t="s">
        <v>1740</v>
      </c>
    </row>
    <row r="12" spans="1:5">
      <c r="A12" s="139">
        <v>4</v>
      </c>
      <c r="B12" s="139" t="s">
        <v>42</v>
      </c>
      <c r="C12" s="139">
        <v>1974.4736422179999</v>
      </c>
      <c r="D12" s="139" t="s">
        <v>348</v>
      </c>
      <c r="E12" s="139" t="s">
        <v>1740</v>
      </c>
    </row>
    <row r="13" spans="1:5">
      <c r="A13" s="139">
        <v>5</v>
      </c>
      <c r="B13" s="139" t="s">
        <v>43</v>
      </c>
      <c r="C13" s="139">
        <v>0</v>
      </c>
      <c r="D13" s="139" t="s">
        <v>348</v>
      </c>
      <c r="E13" s="139" t="s">
        <v>1740</v>
      </c>
    </row>
    <row r="14" spans="1:5">
      <c r="A14" s="139">
        <v>0</v>
      </c>
      <c r="B14" s="139" t="s">
        <v>38</v>
      </c>
      <c r="C14" s="139">
        <v>1</v>
      </c>
      <c r="D14" s="139" t="s">
        <v>349</v>
      </c>
      <c r="E14" s="139" t="s">
        <v>1740</v>
      </c>
    </row>
    <row r="15" spans="1:5">
      <c r="A15" s="139">
        <v>1</v>
      </c>
      <c r="B15" s="139" t="s">
        <v>39</v>
      </c>
      <c r="C15" s="139">
        <v>16</v>
      </c>
      <c r="D15" s="139" t="s">
        <v>349</v>
      </c>
      <c r="E15" s="139" t="s">
        <v>1740</v>
      </c>
    </row>
    <row r="16" spans="1:5">
      <c r="A16" s="139">
        <v>2</v>
      </c>
      <c r="B16" s="139" t="s">
        <v>40</v>
      </c>
      <c r="C16" s="139">
        <v>41.989116133000003</v>
      </c>
      <c r="D16" s="139" t="s">
        <v>349</v>
      </c>
      <c r="E16" s="139" t="s">
        <v>1740</v>
      </c>
    </row>
    <row r="17" spans="1:5">
      <c r="A17" s="139">
        <v>3</v>
      </c>
      <c r="B17" s="139" t="s">
        <v>41</v>
      </c>
      <c r="C17" s="139">
        <v>3512.359164212</v>
      </c>
      <c r="D17" s="139" t="s">
        <v>349</v>
      </c>
      <c r="E17" s="139" t="s">
        <v>1740</v>
      </c>
    </row>
    <row r="18" spans="1:5">
      <c r="A18" s="139">
        <v>4</v>
      </c>
      <c r="B18" s="139" t="s">
        <v>42</v>
      </c>
      <c r="C18" s="139">
        <v>1974.4736422179999</v>
      </c>
      <c r="D18" s="139" t="s">
        <v>349</v>
      </c>
      <c r="E18" s="139" t="s">
        <v>1740</v>
      </c>
    </row>
    <row r="19" spans="1:5">
      <c r="A19" s="139">
        <v>5</v>
      </c>
      <c r="B19" s="139" t="s">
        <v>43</v>
      </c>
      <c r="C19" s="139">
        <v>0</v>
      </c>
      <c r="D19" s="139" t="s">
        <v>349</v>
      </c>
      <c r="E19" s="139" t="s">
        <v>1740</v>
      </c>
    </row>
    <row r="20" spans="1:5">
      <c r="A20" s="139">
        <v>0</v>
      </c>
      <c r="B20" s="139" t="s">
        <v>38</v>
      </c>
      <c r="C20" s="139">
        <v>1</v>
      </c>
      <c r="D20" s="139" t="s">
        <v>350</v>
      </c>
      <c r="E20" s="139" t="s">
        <v>1740</v>
      </c>
    </row>
    <row r="21" spans="1:5">
      <c r="A21" s="139">
        <v>1</v>
      </c>
      <c r="B21" s="139" t="s">
        <v>39</v>
      </c>
      <c r="C21" s="139">
        <v>16</v>
      </c>
      <c r="D21" s="139" t="s">
        <v>350</v>
      </c>
      <c r="E21" s="139" t="s">
        <v>1740</v>
      </c>
    </row>
    <row r="22" spans="1:5">
      <c r="A22" s="139">
        <v>2</v>
      </c>
      <c r="B22" s="139" t="s">
        <v>40</v>
      </c>
      <c r="C22" s="139">
        <v>41.989116133000003</v>
      </c>
      <c r="D22" s="139" t="s">
        <v>350</v>
      </c>
      <c r="E22" s="139" t="s">
        <v>1740</v>
      </c>
    </row>
    <row r="23" spans="1:5">
      <c r="A23" s="139">
        <v>3</v>
      </c>
      <c r="B23" s="139" t="s">
        <v>41</v>
      </c>
      <c r="C23" s="139">
        <v>3512.359164212</v>
      </c>
      <c r="D23" s="139" t="s">
        <v>350</v>
      </c>
      <c r="E23" s="139" t="s">
        <v>1740</v>
      </c>
    </row>
    <row r="24" spans="1:5">
      <c r="A24" s="139">
        <v>4</v>
      </c>
      <c r="B24" s="139" t="s">
        <v>42</v>
      </c>
      <c r="C24" s="139">
        <v>1974.4736422179999</v>
      </c>
      <c r="D24" s="139" t="s">
        <v>350</v>
      </c>
      <c r="E24" s="139" t="s">
        <v>1740</v>
      </c>
    </row>
    <row r="25" spans="1:5">
      <c r="A25" s="139">
        <v>5</v>
      </c>
      <c r="B25" s="139" t="s">
        <v>43</v>
      </c>
      <c r="C25" s="139">
        <v>0</v>
      </c>
      <c r="D25" s="139" t="s">
        <v>350</v>
      </c>
      <c r="E25" s="139" t="s">
        <v>1740</v>
      </c>
    </row>
    <row r="26" spans="1:5">
      <c r="A26" s="139">
        <v>0</v>
      </c>
      <c r="B26" s="139" t="s">
        <v>38</v>
      </c>
      <c r="C26" s="139">
        <v>1</v>
      </c>
      <c r="D26" s="139" t="s">
        <v>351</v>
      </c>
      <c r="E26" s="139" t="s">
        <v>1740</v>
      </c>
    </row>
    <row r="27" spans="1:5">
      <c r="A27" s="139">
        <v>1</v>
      </c>
      <c r="B27" s="139" t="s">
        <v>39</v>
      </c>
      <c r="C27" s="139">
        <v>16</v>
      </c>
      <c r="D27" s="139" t="s">
        <v>351</v>
      </c>
      <c r="E27" s="139" t="s">
        <v>1740</v>
      </c>
    </row>
    <row r="28" spans="1:5">
      <c r="A28" s="139">
        <v>2</v>
      </c>
      <c r="B28" s="139" t="s">
        <v>40</v>
      </c>
      <c r="C28" s="139">
        <v>41.989116133000003</v>
      </c>
      <c r="D28" s="139" t="s">
        <v>351</v>
      </c>
      <c r="E28" s="139" t="s">
        <v>1740</v>
      </c>
    </row>
    <row r="29" spans="1:5">
      <c r="A29" s="139">
        <v>3</v>
      </c>
      <c r="B29" s="139" t="s">
        <v>41</v>
      </c>
      <c r="C29" s="139">
        <v>3512.359164212</v>
      </c>
      <c r="D29" s="139" t="s">
        <v>351</v>
      </c>
      <c r="E29" s="139" t="s">
        <v>1740</v>
      </c>
    </row>
    <row r="30" spans="1:5">
      <c r="A30" s="139">
        <v>4</v>
      </c>
      <c r="B30" s="139" t="s">
        <v>42</v>
      </c>
      <c r="C30" s="139">
        <v>1974.4736422179999</v>
      </c>
      <c r="D30" s="139" t="s">
        <v>351</v>
      </c>
      <c r="E30" s="139" t="s">
        <v>1740</v>
      </c>
    </row>
    <row r="31" spans="1:5">
      <c r="A31" s="139">
        <v>5</v>
      </c>
      <c r="B31" s="139" t="s">
        <v>43</v>
      </c>
      <c r="C31" s="139">
        <v>0</v>
      </c>
      <c r="D31" s="139" t="s">
        <v>351</v>
      </c>
      <c r="E31" s="139" t="s">
        <v>1740</v>
      </c>
    </row>
    <row r="32" spans="1:5">
      <c r="A32" s="139">
        <v>0</v>
      </c>
      <c r="B32" s="139" t="s">
        <v>38</v>
      </c>
      <c r="C32" s="139">
        <v>1</v>
      </c>
      <c r="D32" s="139" t="s">
        <v>352</v>
      </c>
      <c r="E32" s="139" t="s">
        <v>1740</v>
      </c>
    </row>
    <row r="33" spans="1:5">
      <c r="A33" s="139">
        <v>1</v>
      </c>
      <c r="B33" s="139" t="s">
        <v>39</v>
      </c>
      <c r="C33" s="139">
        <v>16</v>
      </c>
      <c r="D33" s="139" t="s">
        <v>352</v>
      </c>
      <c r="E33" s="139" t="s">
        <v>1740</v>
      </c>
    </row>
    <row r="34" spans="1:5">
      <c r="A34" s="139">
        <v>2</v>
      </c>
      <c r="B34" s="139" t="s">
        <v>40</v>
      </c>
      <c r="C34" s="139">
        <v>41.989116133000003</v>
      </c>
      <c r="D34" s="139" t="s">
        <v>352</v>
      </c>
      <c r="E34" s="139" t="s">
        <v>1740</v>
      </c>
    </row>
    <row r="35" spans="1:5">
      <c r="A35" s="139">
        <v>3</v>
      </c>
      <c r="B35" s="139" t="s">
        <v>41</v>
      </c>
      <c r="C35" s="139">
        <v>3512.359164212</v>
      </c>
      <c r="D35" s="139" t="s">
        <v>352</v>
      </c>
      <c r="E35" s="139" t="s">
        <v>1740</v>
      </c>
    </row>
    <row r="36" spans="1:5">
      <c r="A36" s="139">
        <v>4</v>
      </c>
      <c r="B36" s="139" t="s">
        <v>42</v>
      </c>
      <c r="C36" s="139">
        <v>1974.4736422179999</v>
      </c>
      <c r="D36" s="139" t="s">
        <v>352</v>
      </c>
      <c r="E36" s="139" t="s">
        <v>1740</v>
      </c>
    </row>
    <row r="37" spans="1:5">
      <c r="A37" s="139">
        <v>5</v>
      </c>
      <c r="B37" s="139" t="s">
        <v>43</v>
      </c>
      <c r="C37" s="139">
        <v>0</v>
      </c>
      <c r="D37" s="139" t="s">
        <v>352</v>
      </c>
      <c r="E37" s="139" t="s">
        <v>1740</v>
      </c>
    </row>
    <row r="38" spans="1:5">
      <c r="A38" s="139">
        <v>0</v>
      </c>
      <c r="B38" s="139" t="s">
        <v>38</v>
      </c>
      <c r="C38" s="139">
        <v>1</v>
      </c>
      <c r="D38" s="139" t="s">
        <v>353</v>
      </c>
      <c r="E38" s="139" t="s">
        <v>1740</v>
      </c>
    </row>
    <row r="39" spans="1:5">
      <c r="A39" s="139">
        <v>1</v>
      </c>
      <c r="B39" s="139" t="s">
        <v>39</v>
      </c>
      <c r="C39" s="139">
        <v>16</v>
      </c>
      <c r="D39" s="139" t="s">
        <v>353</v>
      </c>
      <c r="E39" s="139" t="s">
        <v>1740</v>
      </c>
    </row>
    <row r="40" spans="1:5">
      <c r="A40" s="139">
        <v>2</v>
      </c>
      <c r="B40" s="139" t="s">
        <v>40</v>
      </c>
      <c r="C40" s="139">
        <v>41.989116133000003</v>
      </c>
      <c r="D40" s="139" t="s">
        <v>353</v>
      </c>
      <c r="E40" s="139" t="s">
        <v>1740</v>
      </c>
    </row>
    <row r="41" spans="1:5">
      <c r="A41" s="139">
        <v>3</v>
      </c>
      <c r="B41" s="139" t="s">
        <v>41</v>
      </c>
      <c r="C41" s="139">
        <v>3512.359164212</v>
      </c>
      <c r="D41" s="139" t="s">
        <v>353</v>
      </c>
      <c r="E41" s="139" t="s">
        <v>1740</v>
      </c>
    </row>
    <row r="42" spans="1:5">
      <c r="A42" s="139">
        <v>4</v>
      </c>
      <c r="B42" s="139" t="s">
        <v>42</v>
      </c>
      <c r="C42" s="139">
        <v>1974.4736422179999</v>
      </c>
      <c r="D42" s="139" t="s">
        <v>353</v>
      </c>
      <c r="E42" s="139" t="s">
        <v>1740</v>
      </c>
    </row>
    <row r="43" spans="1:5">
      <c r="A43" s="139">
        <v>5</v>
      </c>
      <c r="B43" s="139" t="s">
        <v>43</v>
      </c>
      <c r="C43" s="139">
        <v>0</v>
      </c>
      <c r="D43" s="139" t="s">
        <v>353</v>
      </c>
      <c r="E43" s="139" t="s">
        <v>1740</v>
      </c>
    </row>
    <row r="44" spans="1:5">
      <c r="A44" s="139">
        <v>0</v>
      </c>
      <c r="B44" s="139" t="s">
        <v>38</v>
      </c>
      <c r="C44" s="139">
        <v>1</v>
      </c>
      <c r="D44" s="139" t="s">
        <v>355</v>
      </c>
      <c r="E44" s="139" t="s">
        <v>1740</v>
      </c>
    </row>
    <row r="45" spans="1:5">
      <c r="A45" s="139">
        <v>1</v>
      </c>
      <c r="B45" s="139" t="s">
        <v>39</v>
      </c>
      <c r="C45" s="139">
        <v>16</v>
      </c>
      <c r="D45" s="139" t="s">
        <v>355</v>
      </c>
      <c r="E45" s="139" t="s">
        <v>1740</v>
      </c>
    </row>
    <row r="46" spans="1:5">
      <c r="A46" s="139">
        <v>2</v>
      </c>
      <c r="B46" s="139" t="s">
        <v>40</v>
      </c>
      <c r="C46" s="139">
        <v>41.989116133000003</v>
      </c>
      <c r="D46" s="139" t="s">
        <v>355</v>
      </c>
      <c r="E46" s="139" t="s">
        <v>1740</v>
      </c>
    </row>
    <row r="47" spans="1:5">
      <c r="A47" s="139">
        <v>3</v>
      </c>
      <c r="B47" s="139" t="s">
        <v>41</v>
      </c>
      <c r="C47" s="139">
        <v>3512.359164212</v>
      </c>
      <c r="D47" s="139" t="s">
        <v>355</v>
      </c>
      <c r="E47" s="139" t="s">
        <v>1740</v>
      </c>
    </row>
    <row r="48" spans="1:5">
      <c r="A48" s="139">
        <v>4</v>
      </c>
      <c r="B48" s="139" t="s">
        <v>42</v>
      </c>
      <c r="C48" s="139">
        <v>1974.4736422179999</v>
      </c>
      <c r="D48" s="139" t="s">
        <v>355</v>
      </c>
      <c r="E48" s="139" t="s">
        <v>1740</v>
      </c>
    </row>
    <row r="49" spans="1:5">
      <c r="A49" s="139">
        <v>5</v>
      </c>
      <c r="B49" s="139" t="s">
        <v>43</v>
      </c>
      <c r="C49" s="139">
        <v>0</v>
      </c>
      <c r="D49" s="139" t="s">
        <v>355</v>
      </c>
      <c r="E49" s="139" t="s">
        <v>1740</v>
      </c>
    </row>
    <row r="50" spans="1:5">
      <c r="A50" s="139">
        <v>0</v>
      </c>
      <c r="B50" s="139" t="s">
        <v>38</v>
      </c>
      <c r="C50" s="139">
        <v>1</v>
      </c>
      <c r="D50" s="139" t="s">
        <v>356</v>
      </c>
      <c r="E50" s="139" t="s">
        <v>1740</v>
      </c>
    </row>
    <row r="51" spans="1:5">
      <c r="A51" s="139">
        <v>1</v>
      </c>
      <c r="B51" s="139" t="s">
        <v>39</v>
      </c>
      <c r="C51" s="139">
        <v>16</v>
      </c>
      <c r="D51" s="139" t="s">
        <v>356</v>
      </c>
      <c r="E51" s="139" t="s">
        <v>1740</v>
      </c>
    </row>
    <row r="52" spans="1:5">
      <c r="A52" s="139">
        <v>2</v>
      </c>
      <c r="B52" s="139" t="s">
        <v>40</v>
      </c>
      <c r="C52" s="139">
        <v>41.989116133000003</v>
      </c>
      <c r="D52" s="139" t="s">
        <v>356</v>
      </c>
      <c r="E52" s="139" t="s">
        <v>1740</v>
      </c>
    </row>
    <row r="53" spans="1:5">
      <c r="A53" s="139">
        <v>3</v>
      </c>
      <c r="B53" s="139" t="s">
        <v>41</v>
      </c>
      <c r="C53" s="139">
        <v>3512.359164212</v>
      </c>
      <c r="D53" s="139" t="s">
        <v>356</v>
      </c>
      <c r="E53" s="139" t="s">
        <v>1740</v>
      </c>
    </row>
    <row r="54" spans="1:5">
      <c r="A54" s="139">
        <v>4</v>
      </c>
      <c r="B54" s="139" t="s">
        <v>42</v>
      </c>
      <c r="C54" s="139">
        <v>1974.4736422179999</v>
      </c>
      <c r="D54" s="139" t="s">
        <v>356</v>
      </c>
      <c r="E54" s="139" t="s">
        <v>1740</v>
      </c>
    </row>
    <row r="55" spans="1:5">
      <c r="A55" s="139">
        <v>5</v>
      </c>
      <c r="B55" s="139" t="s">
        <v>43</v>
      </c>
      <c r="C55" s="139">
        <v>0</v>
      </c>
      <c r="D55" s="139" t="s">
        <v>356</v>
      </c>
      <c r="E55" s="139" t="s">
        <v>1740</v>
      </c>
    </row>
    <row r="56" spans="1:5">
      <c r="A56" s="139">
        <v>0</v>
      </c>
      <c r="B56" s="139" t="s">
        <v>38</v>
      </c>
      <c r="C56" s="139">
        <v>1</v>
      </c>
      <c r="D56" s="139" t="s">
        <v>357</v>
      </c>
      <c r="E56" s="139" t="s">
        <v>1740</v>
      </c>
    </row>
    <row r="57" spans="1:5">
      <c r="A57" s="139">
        <v>1</v>
      </c>
      <c r="B57" s="139" t="s">
        <v>39</v>
      </c>
      <c r="C57" s="139">
        <v>16</v>
      </c>
      <c r="D57" s="139" t="s">
        <v>357</v>
      </c>
      <c r="E57" s="139" t="s">
        <v>1740</v>
      </c>
    </row>
    <row r="58" spans="1:5">
      <c r="A58" s="139">
        <v>2</v>
      </c>
      <c r="B58" s="139" t="s">
        <v>40</v>
      </c>
      <c r="C58" s="139">
        <v>41.989116133000003</v>
      </c>
      <c r="D58" s="139" t="s">
        <v>357</v>
      </c>
      <c r="E58" s="139" t="s">
        <v>1740</v>
      </c>
    </row>
    <row r="59" spans="1:5">
      <c r="A59" s="139">
        <v>3</v>
      </c>
      <c r="B59" s="139" t="s">
        <v>41</v>
      </c>
      <c r="C59" s="139">
        <v>3512.359164212</v>
      </c>
      <c r="D59" s="139" t="s">
        <v>357</v>
      </c>
      <c r="E59" s="139" t="s">
        <v>1740</v>
      </c>
    </row>
    <row r="60" spans="1:5">
      <c r="A60" s="139">
        <v>4</v>
      </c>
      <c r="B60" s="139" t="s">
        <v>42</v>
      </c>
      <c r="C60" s="139">
        <v>1974.4736422179999</v>
      </c>
      <c r="D60" s="139" t="s">
        <v>357</v>
      </c>
      <c r="E60" s="139" t="s">
        <v>1740</v>
      </c>
    </row>
    <row r="61" spans="1:5">
      <c r="A61" s="139">
        <v>5</v>
      </c>
      <c r="B61" s="139" t="s">
        <v>43</v>
      </c>
      <c r="C61" s="139">
        <v>0</v>
      </c>
      <c r="D61" s="139" t="s">
        <v>357</v>
      </c>
      <c r="E61" s="139" t="s">
        <v>1740</v>
      </c>
    </row>
    <row r="62" spans="1:5">
      <c r="A62" s="139">
        <v>0</v>
      </c>
      <c r="B62" s="139" t="s">
        <v>38</v>
      </c>
      <c r="C62" s="139">
        <v>1</v>
      </c>
      <c r="D62" s="139" t="s">
        <v>358</v>
      </c>
      <c r="E62" s="139" t="s">
        <v>1740</v>
      </c>
    </row>
    <row r="63" spans="1:5">
      <c r="A63" s="139">
        <v>1</v>
      </c>
      <c r="B63" s="139" t="s">
        <v>39</v>
      </c>
      <c r="C63" s="139">
        <v>16</v>
      </c>
      <c r="D63" s="139" t="s">
        <v>358</v>
      </c>
      <c r="E63" s="139" t="s">
        <v>1740</v>
      </c>
    </row>
    <row r="64" spans="1:5">
      <c r="A64" s="139">
        <v>2</v>
      </c>
      <c r="B64" s="139" t="s">
        <v>40</v>
      </c>
      <c r="C64" s="139">
        <v>41.989116133000003</v>
      </c>
      <c r="D64" s="139" t="s">
        <v>358</v>
      </c>
      <c r="E64" s="139" t="s">
        <v>1740</v>
      </c>
    </row>
    <row r="65" spans="1:5">
      <c r="A65" s="139">
        <v>3</v>
      </c>
      <c r="B65" s="139" t="s">
        <v>41</v>
      </c>
      <c r="C65" s="139">
        <v>3512.359164212</v>
      </c>
      <c r="D65" s="139" t="s">
        <v>358</v>
      </c>
      <c r="E65" s="139" t="s">
        <v>1740</v>
      </c>
    </row>
    <row r="66" spans="1:5">
      <c r="A66" s="139">
        <v>4</v>
      </c>
      <c r="B66" s="139" t="s">
        <v>42</v>
      </c>
      <c r="C66" s="139">
        <v>1974.4736422179999</v>
      </c>
      <c r="D66" s="139" t="s">
        <v>358</v>
      </c>
      <c r="E66" s="139" t="s">
        <v>1740</v>
      </c>
    </row>
    <row r="67" spans="1:5">
      <c r="A67" s="139">
        <v>5</v>
      </c>
      <c r="B67" s="139" t="s">
        <v>43</v>
      </c>
      <c r="C67" s="139">
        <v>0</v>
      </c>
      <c r="D67" s="139" t="s">
        <v>358</v>
      </c>
      <c r="E67" s="139" t="s">
        <v>1740</v>
      </c>
    </row>
    <row r="68" spans="1:5">
      <c r="A68" s="139">
        <v>0</v>
      </c>
      <c r="B68" s="139" t="s">
        <v>38</v>
      </c>
      <c r="C68" s="139">
        <v>1</v>
      </c>
      <c r="D68" s="139" t="s">
        <v>359</v>
      </c>
      <c r="E68" s="139" t="s">
        <v>1740</v>
      </c>
    </row>
    <row r="69" spans="1:5">
      <c r="A69" s="139">
        <v>1</v>
      </c>
      <c r="B69" s="139" t="s">
        <v>39</v>
      </c>
      <c r="C69" s="139">
        <v>16</v>
      </c>
      <c r="D69" s="139" t="s">
        <v>359</v>
      </c>
      <c r="E69" s="139" t="s">
        <v>1740</v>
      </c>
    </row>
    <row r="70" spans="1:5">
      <c r="A70" s="139">
        <v>2</v>
      </c>
      <c r="B70" s="139" t="s">
        <v>40</v>
      </c>
      <c r="C70" s="139">
        <v>41.989116133000003</v>
      </c>
      <c r="D70" s="139" t="s">
        <v>359</v>
      </c>
      <c r="E70" s="139" t="s">
        <v>1740</v>
      </c>
    </row>
    <row r="71" spans="1:5">
      <c r="A71" s="139">
        <v>3</v>
      </c>
      <c r="B71" s="139" t="s">
        <v>41</v>
      </c>
      <c r="C71" s="139">
        <v>3512.359164212</v>
      </c>
      <c r="D71" s="139" t="s">
        <v>359</v>
      </c>
      <c r="E71" s="139" t="s">
        <v>1740</v>
      </c>
    </row>
    <row r="72" spans="1:5">
      <c r="A72" s="139">
        <v>4</v>
      </c>
      <c r="B72" s="139" t="s">
        <v>42</v>
      </c>
      <c r="C72" s="139">
        <v>1974.4736422179999</v>
      </c>
      <c r="D72" s="139" t="s">
        <v>359</v>
      </c>
      <c r="E72" s="139" t="s">
        <v>1740</v>
      </c>
    </row>
    <row r="73" spans="1:5">
      <c r="A73" s="139">
        <v>5</v>
      </c>
      <c r="B73" s="139" t="s">
        <v>43</v>
      </c>
      <c r="C73" s="139">
        <v>0</v>
      </c>
      <c r="D73" s="139" t="s">
        <v>359</v>
      </c>
      <c r="E73" s="139" t="s">
        <v>1740</v>
      </c>
    </row>
    <row r="74" spans="1:5">
      <c r="A74" s="139">
        <v>0</v>
      </c>
      <c r="B74" s="139" t="s">
        <v>38</v>
      </c>
      <c r="C74" s="139">
        <v>1</v>
      </c>
      <c r="D74" s="139" t="s">
        <v>360</v>
      </c>
      <c r="E74" s="139" t="s">
        <v>1740</v>
      </c>
    </row>
    <row r="75" spans="1:5">
      <c r="A75" s="139">
        <v>1</v>
      </c>
      <c r="B75" s="139" t="s">
        <v>39</v>
      </c>
      <c r="C75" s="139">
        <v>16</v>
      </c>
      <c r="D75" s="139" t="s">
        <v>360</v>
      </c>
      <c r="E75" s="139" t="s">
        <v>1740</v>
      </c>
    </row>
    <row r="76" spans="1:5">
      <c r="A76" s="139">
        <v>2</v>
      </c>
      <c r="B76" s="139" t="s">
        <v>40</v>
      </c>
      <c r="C76" s="139">
        <v>41.989116133000003</v>
      </c>
      <c r="D76" s="139" t="s">
        <v>360</v>
      </c>
      <c r="E76" s="139" t="s">
        <v>1740</v>
      </c>
    </row>
    <row r="77" spans="1:5">
      <c r="A77" s="139">
        <v>3</v>
      </c>
      <c r="B77" s="139" t="s">
        <v>41</v>
      </c>
      <c r="C77" s="139">
        <v>3512.359164212</v>
      </c>
      <c r="D77" s="139" t="s">
        <v>360</v>
      </c>
      <c r="E77" s="139" t="s">
        <v>1740</v>
      </c>
    </row>
    <row r="78" spans="1:5">
      <c r="A78" s="139">
        <v>4</v>
      </c>
      <c r="B78" s="139" t="s">
        <v>42</v>
      </c>
      <c r="C78" s="139">
        <v>1974.4736422179999</v>
      </c>
      <c r="D78" s="139" t="s">
        <v>360</v>
      </c>
      <c r="E78" s="139" t="s">
        <v>1740</v>
      </c>
    </row>
    <row r="79" spans="1:5">
      <c r="A79" s="139">
        <v>5</v>
      </c>
      <c r="B79" s="139" t="s">
        <v>43</v>
      </c>
      <c r="C79" s="139">
        <v>0</v>
      </c>
      <c r="D79" s="139" t="s">
        <v>360</v>
      </c>
      <c r="E79" s="139" t="s">
        <v>1740</v>
      </c>
    </row>
    <row r="80" spans="1:5">
      <c r="A80" s="139">
        <v>0</v>
      </c>
      <c r="B80" s="139" t="s">
        <v>38</v>
      </c>
      <c r="C80" s="139">
        <v>1</v>
      </c>
      <c r="D80" s="139" t="s">
        <v>361</v>
      </c>
      <c r="E80" s="139" t="s">
        <v>1740</v>
      </c>
    </row>
    <row r="81" spans="1:5">
      <c r="A81" s="139">
        <v>1</v>
      </c>
      <c r="B81" s="139" t="s">
        <v>39</v>
      </c>
      <c r="C81" s="139">
        <v>16</v>
      </c>
      <c r="D81" s="139" t="s">
        <v>361</v>
      </c>
      <c r="E81" s="139" t="s">
        <v>1740</v>
      </c>
    </row>
    <row r="82" spans="1:5">
      <c r="A82" s="139">
        <v>2</v>
      </c>
      <c r="B82" s="139" t="s">
        <v>40</v>
      </c>
      <c r="C82" s="139">
        <v>41.989116133000003</v>
      </c>
      <c r="D82" s="139" t="s">
        <v>361</v>
      </c>
      <c r="E82" s="139" t="s">
        <v>1740</v>
      </c>
    </row>
    <row r="83" spans="1:5">
      <c r="A83" s="139">
        <v>3</v>
      </c>
      <c r="B83" s="139" t="s">
        <v>41</v>
      </c>
      <c r="C83" s="139">
        <v>3512.359164212</v>
      </c>
      <c r="D83" s="139" t="s">
        <v>361</v>
      </c>
      <c r="E83" s="139" t="s">
        <v>1740</v>
      </c>
    </row>
    <row r="84" spans="1:5">
      <c r="A84" s="139">
        <v>4</v>
      </c>
      <c r="B84" s="139" t="s">
        <v>42</v>
      </c>
      <c r="C84" s="139">
        <v>1974.4736422179999</v>
      </c>
      <c r="D84" s="139" t="s">
        <v>361</v>
      </c>
      <c r="E84" s="139" t="s">
        <v>1740</v>
      </c>
    </row>
    <row r="85" spans="1:5">
      <c r="A85" s="139">
        <v>5</v>
      </c>
      <c r="B85" s="139" t="s">
        <v>43</v>
      </c>
      <c r="C85" s="139">
        <v>0</v>
      </c>
      <c r="D85" s="139" t="s">
        <v>361</v>
      </c>
      <c r="E85" s="139" t="s">
        <v>1740</v>
      </c>
    </row>
    <row r="86" spans="1:5">
      <c r="A86" s="139">
        <v>0</v>
      </c>
      <c r="B86" s="139" t="s">
        <v>38</v>
      </c>
      <c r="C86" s="139">
        <v>1</v>
      </c>
      <c r="D86" s="139" t="s">
        <v>362</v>
      </c>
      <c r="E86" s="139" t="s">
        <v>1740</v>
      </c>
    </row>
    <row r="87" spans="1:5">
      <c r="A87" s="139">
        <v>1</v>
      </c>
      <c r="B87" s="139" t="s">
        <v>39</v>
      </c>
      <c r="C87" s="139">
        <v>16</v>
      </c>
      <c r="D87" s="139" t="s">
        <v>362</v>
      </c>
      <c r="E87" s="139" t="s">
        <v>1740</v>
      </c>
    </row>
    <row r="88" spans="1:5">
      <c r="A88" s="139">
        <v>2</v>
      </c>
      <c r="B88" s="139" t="s">
        <v>40</v>
      </c>
      <c r="C88" s="139">
        <v>41.989116133000003</v>
      </c>
      <c r="D88" s="139" t="s">
        <v>362</v>
      </c>
      <c r="E88" s="139" t="s">
        <v>1740</v>
      </c>
    </row>
    <row r="89" spans="1:5">
      <c r="A89" s="139">
        <v>3</v>
      </c>
      <c r="B89" s="139" t="s">
        <v>41</v>
      </c>
      <c r="C89" s="139">
        <v>3512.359164212</v>
      </c>
      <c r="D89" s="139" t="s">
        <v>362</v>
      </c>
      <c r="E89" s="139" t="s">
        <v>1740</v>
      </c>
    </row>
    <row r="90" spans="1:5">
      <c r="A90" s="139">
        <v>4</v>
      </c>
      <c r="B90" s="139" t="s">
        <v>42</v>
      </c>
      <c r="C90" s="139">
        <v>1974.4736422179999</v>
      </c>
      <c r="D90" s="139" t="s">
        <v>362</v>
      </c>
      <c r="E90" s="139" t="s">
        <v>1740</v>
      </c>
    </row>
    <row r="91" spans="1:5">
      <c r="A91" s="139">
        <v>5</v>
      </c>
      <c r="B91" s="139" t="s">
        <v>43</v>
      </c>
      <c r="C91" s="139">
        <v>0</v>
      </c>
      <c r="D91" s="139" t="s">
        <v>362</v>
      </c>
      <c r="E91" s="139" t="s">
        <v>1740</v>
      </c>
    </row>
    <row r="92" spans="1:5">
      <c r="A92" s="139">
        <v>0</v>
      </c>
      <c r="B92" s="139" t="s">
        <v>38</v>
      </c>
      <c r="C92" s="139">
        <v>1</v>
      </c>
      <c r="D92" s="139" t="s">
        <v>363</v>
      </c>
      <c r="E92" s="139" t="s">
        <v>1740</v>
      </c>
    </row>
    <row r="93" spans="1:5">
      <c r="A93" s="139">
        <v>1</v>
      </c>
      <c r="B93" s="139" t="s">
        <v>39</v>
      </c>
      <c r="C93" s="139">
        <v>16</v>
      </c>
      <c r="D93" s="139" t="s">
        <v>363</v>
      </c>
      <c r="E93" s="139" t="s">
        <v>1740</v>
      </c>
    </row>
    <row r="94" spans="1:5">
      <c r="A94" s="139">
        <v>2</v>
      </c>
      <c r="B94" s="139" t="s">
        <v>40</v>
      </c>
      <c r="C94" s="139">
        <v>41.989116133000003</v>
      </c>
      <c r="D94" s="139" t="s">
        <v>363</v>
      </c>
      <c r="E94" s="139" t="s">
        <v>1740</v>
      </c>
    </row>
    <row r="95" spans="1:5">
      <c r="A95" s="139">
        <v>3</v>
      </c>
      <c r="B95" s="139" t="s">
        <v>41</v>
      </c>
      <c r="C95" s="139">
        <v>3512.359164212</v>
      </c>
      <c r="D95" s="139" t="s">
        <v>363</v>
      </c>
      <c r="E95" s="139" t="s">
        <v>1740</v>
      </c>
    </row>
    <row r="96" spans="1:5">
      <c r="A96" s="139">
        <v>4</v>
      </c>
      <c r="B96" s="139" t="s">
        <v>42</v>
      </c>
      <c r="C96" s="139">
        <v>1974.4736422179999</v>
      </c>
      <c r="D96" s="139" t="s">
        <v>363</v>
      </c>
      <c r="E96" s="139" t="s">
        <v>1740</v>
      </c>
    </row>
    <row r="97" spans="1:5">
      <c r="A97" s="139">
        <v>5</v>
      </c>
      <c r="B97" s="139" t="s">
        <v>43</v>
      </c>
      <c r="C97" s="139">
        <v>0</v>
      </c>
      <c r="D97" s="139" t="s">
        <v>363</v>
      </c>
      <c r="E97" s="139" t="s">
        <v>1740</v>
      </c>
    </row>
    <row r="98" spans="1:5">
      <c r="A98" s="139">
        <v>0</v>
      </c>
      <c r="B98" s="139" t="s">
        <v>38</v>
      </c>
      <c r="C98" s="139">
        <v>1</v>
      </c>
      <c r="D98" s="139" t="s">
        <v>364</v>
      </c>
      <c r="E98" s="139" t="s">
        <v>1740</v>
      </c>
    </row>
    <row r="99" spans="1:5">
      <c r="A99" s="139">
        <v>1</v>
      </c>
      <c r="B99" s="139" t="s">
        <v>39</v>
      </c>
      <c r="C99" s="139">
        <v>16</v>
      </c>
      <c r="D99" s="139" t="s">
        <v>364</v>
      </c>
      <c r="E99" s="139" t="s">
        <v>1740</v>
      </c>
    </row>
    <row r="100" spans="1:5">
      <c r="A100" s="139">
        <v>2</v>
      </c>
      <c r="B100" s="139" t="s">
        <v>40</v>
      </c>
      <c r="C100" s="139">
        <v>41.989116133000003</v>
      </c>
      <c r="D100" s="139" t="s">
        <v>364</v>
      </c>
      <c r="E100" s="139" t="s">
        <v>1740</v>
      </c>
    </row>
    <row r="101" spans="1:5">
      <c r="A101" s="139">
        <v>3</v>
      </c>
      <c r="B101" s="139" t="s">
        <v>41</v>
      </c>
      <c r="C101" s="139">
        <v>3512.359164212</v>
      </c>
      <c r="D101" s="139" t="s">
        <v>364</v>
      </c>
      <c r="E101" s="139" t="s">
        <v>1740</v>
      </c>
    </row>
    <row r="102" spans="1:5">
      <c r="A102" s="139">
        <v>4</v>
      </c>
      <c r="B102" s="139" t="s">
        <v>42</v>
      </c>
      <c r="C102" s="139">
        <v>1974.4736422179999</v>
      </c>
      <c r="D102" s="139" t="s">
        <v>364</v>
      </c>
      <c r="E102" s="139" t="s">
        <v>1740</v>
      </c>
    </row>
    <row r="103" spans="1:5">
      <c r="A103" s="139">
        <v>5</v>
      </c>
      <c r="B103" s="139" t="s">
        <v>43</v>
      </c>
      <c r="C103" s="139">
        <v>0</v>
      </c>
      <c r="D103" s="139" t="s">
        <v>364</v>
      </c>
      <c r="E103" s="139" t="s">
        <v>1740</v>
      </c>
    </row>
    <row r="104" spans="1:5">
      <c r="A104" s="139">
        <v>0</v>
      </c>
      <c r="B104" s="139" t="s">
        <v>38</v>
      </c>
      <c r="C104" s="139">
        <v>1</v>
      </c>
      <c r="D104" s="139" t="s">
        <v>365</v>
      </c>
      <c r="E104" s="139" t="s">
        <v>1740</v>
      </c>
    </row>
    <row r="105" spans="1:5">
      <c r="A105" s="139">
        <v>1</v>
      </c>
      <c r="B105" s="139" t="s">
        <v>39</v>
      </c>
      <c r="C105" s="139">
        <v>16</v>
      </c>
      <c r="D105" s="139" t="s">
        <v>365</v>
      </c>
      <c r="E105" s="139" t="s">
        <v>1740</v>
      </c>
    </row>
    <row r="106" spans="1:5">
      <c r="A106" s="139">
        <v>2</v>
      </c>
      <c r="B106" s="139" t="s">
        <v>40</v>
      </c>
      <c r="C106" s="139">
        <v>41.989116133000003</v>
      </c>
      <c r="D106" s="139" t="s">
        <v>365</v>
      </c>
      <c r="E106" s="139" t="s">
        <v>1740</v>
      </c>
    </row>
    <row r="107" spans="1:5">
      <c r="A107" s="139">
        <v>3</v>
      </c>
      <c r="B107" s="139" t="s">
        <v>41</v>
      </c>
      <c r="C107" s="139">
        <v>3512.359164212</v>
      </c>
      <c r="D107" s="139" t="s">
        <v>365</v>
      </c>
      <c r="E107" s="139" t="s">
        <v>1740</v>
      </c>
    </row>
    <row r="108" spans="1:5">
      <c r="A108" s="139">
        <v>4</v>
      </c>
      <c r="B108" s="139" t="s">
        <v>42</v>
      </c>
      <c r="C108" s="139">
        <v>1974.4736422179999</v>
      </c>
      <c r="D108" s="139" t="s">
        <v>365</v>
      </c>
      <c r="E108" s="139" t="s">
        <v>1740</v>
      </c>
    </row>
    <row r="109" spans="1:5">
      <c r="A109" s="139">
        <v>5</v>
      </c>
      <c r="B109" s="139" t="s">
        <v>43</v>
      </c>
      <c r="C109" s="139">
        <v>0</v>
      </c>
      <c r="D109" s="139" t="s">
        <v>365</v>
      </c>
      <c r="E109" s="139" t="s">
        <v>1740</v>
      </c>
    </row>
    <row r="110" spans="1:5">
      <c r="A110" s="139">
        <v>0</v>
      </c>
      <c r="B110" s="139" t="s">
        <v>38</v>
      </c>
      <c r="C110" s="139">
        <v>1</v>
      </c>
      <c r="D110" s="139" t="s">
        <v>366</v>
      </c>
      <c r="E110" s="139" t="s">
        <v>1740</v>
      </c>
    </row>
    <row r="111" spans="1:5">
      <c r="A111" s="139">
        <v>1</v>
      </c>
      <c r="B111" s="139" t="s">
        <v>39</v>
      </c>
      <c r="C111" s="139">
        <v>16</v>
      </c>
      <c r="D111" s="139" t="s">
        <v>366</v>
      </c>
      <c r="E111" s="139" t="s">
        <v>1740</v>
      </c>
    </row>
    <row r="112" spans="1:5">
      <c r="A112" s="139">
        <v>2</v>
      </c>
      <c r="B112" s="139" t="s">
        <v>40</v>
      </c>
      <c r="C112" s="139">
        <v>41.989116133000003</v>
      </c>
      <c r="D112" s="139" t="s">
        <v>366</v>
      </c>
      <c r="E112" s="139" t="s">
        <v>1740</v>
      </c>
    </row>
    <row r="113" spans="1:5">
      <c r="A113" s="139">
        <v>3</v>
      </c>
      <c r="B113" s="139" t="s">
        <v>41</v>
      </c>
      <c r="C113" s="139">
        <v>3512.359164212</v>
      </c>
      <c r="D113" s="139" t="s">
        <v>366</v>
      </c>
      <c r="E113" s="139" t="s">
        <v>1740</v>
      </c>
    </row>
    <row r="114" spans="1:5">
      <c r="A114" s="139">
        <v>4</v>
      </c>
      <c r="B114" s="139" t="s">
        <v>42</v>
      </c>
      <c r="C114" s="139">
        <v>1974.4736422179999</v>
      </c>
      <c r="D114" s="139" t="s">
        <v>366</v>
      </c>
      <c r="E114" s="139" t="s">
        <v>1740</v>
      </c>
    </row>
    <row r="115" spans="1:5">
      <c r="A115" s="139">
        <v>5</v>
      </c>
      <c r="B115" s="139" t="s">
        <v>43</v>
      </c>
      <c r="C115" s="139">
        <v>0</v>
      </c>
      <c r="D115" s="139" t="s">
        <v>366</v>
      </c>
      <c r="E115" s="139" t="s">
        <v>1740</v>
      </c>
    </row>
    <row r="116" spans="1:5">
      <c r="A116" s="139">
        <v>0</v>
      </c>
      <c r="B116" s="139" t="s">
        <v>38</v>
      </c>
      <c r="C116" s="139">
        <v>1</v>
      </c>
      <c r="D116" s="139" t="s">
        <v>367</v>
      </c>
      <c r="E116" s="139" t="s">
        <v>1740</v>
      </c>
    </row>
    <row r="117" spans="1:5">
      <c r="A117" s="139">
        <v>1</v>
      </c>
      <c r="B117" s="139" t="s">
        <v>39</v>
      </c>
      <c r="C117" s="139">
        <v>16</v>
      </c>
      <c r="D117" s="139" t="s">
        <v>367</v>
      </c>
      <c r="E117" s="139" t="s">
        <v>1740</v>
      </c>
    </row>
    <row r="118" spans="1:5">
      <c r="A118" s="139">
        <v>2</v>
      </c>
      <c r="B118" s="139" t="s">
        <v>40</v>
      </c>
      <c r="C118" s="139">
        <v>41.989116133000003</v>
      </c>
      <c r="D118" s="139" t="s">
        <v>367</v>
      </c>
      <c r="E118" s="139" t="s">
        <v>1740</v>
      </c>
    </row>
    <row r="119" spans="1:5">
      <c r="A119" s="139">
        <v>3</v>
      </c>
      <c r="B119" s="139" t="s">
        <v>41</v>
      </c>
      <c r="C119" s="139">
        <v>3512.359164212</v>
      </c>
      <c r="D119" s="139" t="s">
        <v>367</v>
      </c>
      <c r="E119" s="139" t="s">
        <v>1740</v>
      </c>
    </row>
    <row r="120" spans="1:5">
      <c r="A120" s="139">
        <v>4</v>
      </c>
      <c r="B120" s="139" t="s">
        <v>42</v>
      </c>
      <c r="C120" s="139">
        <v>1974.4736422179999</v>
      </c>
      <c r="D120" s="139" t="s">
        <v>367</v>
      </c>
      <c r="E120" s="139" t="s">
        <v>1740</v>
      </c>
    </row>
    <row r="121" spans="1:5">
      <c r="A121" s="139">
        <v>5</v>
      </c>
      <c r="B121" s="139" t="s">
        <v>43</v>
      </c>
      <c r="C121" s="139">
        <v>0</v>
      </c>
      <c r="D121" s="139" t="s">
        <v>367</v>
      </c>
      <c r="E121" s="139" t="s">
        <v>1740</v>
      </c>
    </row>
    <row r="122" spans="1:5">
      <c r="A122" s="139">
        <v>0</v>
      </c>
      <c r="B122" s="139" t="s">
        <v>38</v>
      </c>
      <c r="C122" s="139">
        <v>1</v>
      </c>
      <c r="D122" s="139" t="s">
        <v>368</v>
      </c>
      <c r="E122" s="139" t="s">
        <v>1740</v>
      </c>
    </row>
    <row r="123" spans="1:5">
      <c r="A123" s="139">
        <v>1</v>
      </c>
      <c r="B123" s="139" t="s">
        <v>39</v>
      </c>
      <c r="C123" s="139">
        <v>16</v>
      </c>
      <c r="D123" s="139" t="s">
        <v>368</v>
      </c>
      <c r="E123" s="139" t="s">
        <v>1740</v>
      </c>
    </row>
    <row r="124" spans="1:5">
      <c r="A124" s="139">
        <v>2</v>
      </c>
      <c r="B124" s="139" t="s">
        <v>40</v>
      </c>
      <c r="C124" s="139">
        <v>41.989116133000003</v>
      </c>
      <c r="D124" s="139" t="s">
        <v>368</v>
      </c>
      <c r="E124" s="139" t="s">
        <v>1740</v>
      </c>
    </row>
    <row r="125" spans="1:5">
      <c r="A125" s="139">
        <v>3</v>
      </c>
      <c r="B125" s="139" t="s">
        <v>41</v>
      </c>
      <c r="C125" s="139">
        <v>3512.359164212</v>
      </c>
      <c r="D125" s="139" t="s">
        <v>368</v>
      </c>
      <c r="E125" s="139" t="s">
        <v>1740</v>
      </c>
    </row>
    <row r="126" spans="1:5">
      <c r="A126" s="139">
        <v>4</v>
      </c>
      <c r="B126" s="139" t="s">
        <v>42</v>
      </c>
      <c r="C126" s="139">
        <v>1974.4736422179999</v>
      </c>
      <c r="D126" s="139" t="s">
        <v>368</v>
      </c>
      <c r="E126" s="139" t="s">
        <v>1740</v>
      </c>
    </row>
    <row r="127" spans="1:5">
      <c r="A127" s="139">
        <v>5</v>
      </c>
      <c r="B127" s="139" t="s">
        <v>43</v>
      </c>
      <c r="C127" s="139">
        <v>0</v>
      </c>
      <c r="D127" s="139" t="s">
        <v>368</v>
      </c>
      <c r="E127" s="139" t="s">
        <v>1740</v>
      </c>
    </row>
    <row r="128" spans="1:5">
      <c r="A128" s="139">
        <v>0</v>
      </c>
      <c r="B128" s="139" t="s">
        <v>38</v>
      </c>
      <c r="C128" s="139">
        <v>1</v>
      </c>
      <c r="D128" s="139" t="s">
        <v>369</v>
      </c>
      <c r="E128" s="139" t="s">
        <v>1740</v>
      </c>
    </row>
    <row r="129" spans="1:5">
      <c r="A129" s="139">
        <v>1</v>
      </c>
      <c r="B129" s="139" t="s">
        <v>39</v>
      </c>
      <c r="C129" s="139">
        <v>16</v>
      </c>
      <c r="D129" s="139" t="s">
        <v>369</v>
      </c>
      <c r="E129" s="139" t="s">
        <v>1740</v>
      </c>
    </row>
    <row r="130" spans="1:5">
      <c r="A130" s="139">
        <v>2</v>
      </c>
      <c r="B130" s="139" t="s">
        <v>40</v>
      </c>
      <c r="C130" s="139">
        <v>41.989116133000003</v>
      </c>
      <c r="D130" s="139" t="s">
        <v>369</v>
      </c>
      <c r="E130" s="139" t="s">
        <v>1740</v>
      </c>
    </row>
    <row r="131" spans="1:5">
      <c r="A131" s="139">
        <v>3</v>
      </c>
      <c r="B131" s="139" t="s">
        <v>41</v>
      </c>
      <c r="C131" s="139">
        <v>3512.359164212</v>
      </c>
      <c r="D131" s="139" t="s">
        <v>369</v>
      </c>
      <c r="E131" s="139" t="s">
        <v>1740</v>
      </c>
    </row>
    <row r="132" spans="1:5">
      <c r="A132" s="139">
        <v>4</v>
      </c>
      <c r="B132" s="139" t="s">
        <v>42</v>
      </c>
      <c r="C132" s="139">
        <v>1974.4736422179999</v>
      </c>
      <c r="D132" s="139" t="s">
        <v>369</v>
      </c>
      <c r="E132" s="139" t="s">
        <v>1740</v>
      </c>
    </row>
    <row r="133" spans="1:5">
      <c r="A133" s="139">
        <v>5</v>
      </c>
      <c r="B133" s="139" t="s">
        <v>43</v>
      </c>
      <c r="C133" s="139">
        <v>0</v>
      </c>
      <c r="D133" s="139" t="s">
        <v>369</v>
      </c>
      <c r="E133" s="139" t="s">
        <v>1740</v>
      </c>
    </row>
    <row r="134" spans="1:5">
      <c r="A134" s="139">
        <v>0</v>
      </c>
      <c r="B134" s="139" t="s">
        <v>38</v>
      </c>
      <c r="C134" s="139">
        <v>1</v>
      </c>
      <c r="D134" s="139" t="s">
        <v>370</v>
      </c>
      <c r="E134" s="139" t="s">
        <v>1740</v>
      </c>
    </row>
    <row r="135" spans="1:5">
      <c r="A135" s="139">
        <v>1</v>
      </c>
      <c r="B135" s="139" t="s">
        <v>39</v>
      </c>
      <c r="C135" s="139">
        <v>16</v>
      </c>
      <c r="D135" s="139" t="s">
        <v>370</v>
      </c>
      <c r="E135" s="139" t="s">
        <v>1740</v>
      </c>
    </row>
    <row r="136" spans="1:5">
      <c r="A136" s="139">
        <v>2</v>
      </c>
      <c r="B136" s="139" t="s">
        <v>40</v>
      </c>
      <c r="C136" s="139">
        <v>41.989116133000003</v>
      </c>
      <c r="D136" s="139" t="s">
        <v>370</v>
      </c>
      <c r="E136" s="139" t="s">
        <v>1740</v>
      </c>
    </row>
    <row r="137" spans="1:5">
      <c r="A137" s="139">
        <v>3</v>
      </c>
      <c r="B137" s="139" t="s">
        <v>41</v>
      </c>
      <c r="C137" s="139">
        <v>3512.359164212</v>
      </c>
      <c r="D137" s="139" t="s">
        <v>370</v>
      </c>
      <c r="E137" s="139" t="s">
        <v>1740</v>
      </c>
    </row>
    <row r="138" spans="1:5">
      <c r="A138" s="139">
        <v>4</v>
      </c>
      <c r="B138" s="139" t="s">
        <v>42</v>
      </c>
      <c r="C138" s="139">
        <v>1974.4736422179999</v>
      </c>
      <c r="D138" s="139" t="s">
        <v>370</v>
      </c>
      <c r="E138" s="139" t="s">
        <v>1740</v>
      </c>
    </row>
    <row r="139" spans="1:5">
      <c r="A139" s="139">
        <v>5</v>
      </c>
      <c r="B139" s="139" t="s">
        <v>43</v>
      </c>
      <c r="C139" s="139">
        <v>0</v>
      </c>
      <c r="D139" s="139" t="s">
        <v>370</v>
      </c>
      <c r="E139" s="139" t="s">
        <v>1740</v>
      </c>
    </row>
    <row r="140" spans="1:5">
      <c r="A140" s="139">
        <v>0</v>
      </c>
      <c r="B140" s="139" t="s">
        <v>38</v>
      </c>
      <c r="C140" s="139">
        <v>1</v>
      </c>
      <c r="D140" s="139" t="s">
        <v>371</v>
      </c>
      <c r="E140" s="139" t="s">
        <v>1740</v>
      </c>
    </row>
    <row r="141" spans="1:5">
      <c r="A141" s="139">
        <v>1</v>
      </c>
      <c r="B141" s="139" t="s">
        <v>39</v>
      </c>
      <c r="C141" s="139">
        <v>16</v>
      </c>
      <c r="D141" s="139" t="s">
        <v>371</v>
      </c>
      <c r="E141" s="139" t="s">
        <v>1740</v>
      </c>
    </row>
    <row r="142" spans="1:5">
      <c r="A142" s="139">
        <v>2</v>
      </c>
      <c r="B142" s="139" t="s">
        <v>40</v>
      </c>
      <c r="C142" s="139">
        <v>41.989116133000003</v>
      </c>
      <c r="D142" s="139" t="s">
        <v>371</v>
      </c>
      <c r="E142" s="139" t="s">
        <v>1740</v>
      </c>
    </row>
    <row r="143" spans="1:5">
      <c r="A143" s="139">
        <v>3</v>
      </c>
      <c r="B143" s="139" t="s">
        <v>41</v>
      </c>
      <c r="C143" s="139">
        <v>3512.359164212</v>
      </c>
      <c r="D143" s="139" t="s">
        <v>371</v>
      </c>
      <c r="E143" s="139" t="s">
        <v>1740</v>
      </c>
    </row>
    <row r="144" spans="1:5">
      <c r="A144" s="139">
        <v>4</v>
      </c>
      <c r="B144" s="139" t="s">
        <v>42</v>
      </c>
      <c r="C144" s="139">
        <v>1974.4736422179999</v>
      </c>
      <c r="D144" s="139" t="s">
        <v>371</v>
      </c>
      <c r="E144" s="139" t="s">
        <v>1740</v>
      </c>
    </row>
    <row r="145" spans="1:5">
      <c r="A145" s="139">
        <v>5</v>
      </c>
      <c r="B145" s="139" t="s">
        <v>43</v>
      </c>
      <c r="C145" s="139">
        <v>0</v>
      </c>
      <c r="D145" s="139" t="s">
        <v>371</v>
      </c>
      <c r="E145" s="139" t="s">
        <v>1740</v>
      </c>
    </row>
    <row r="146" spans="1:5">
      <c r="A146" s="139">
        <v>0</v>
      </c>
      <c r="B146" s="139" t="s">
        <v>38</v>
      </c>
      <c r="C146" s="139">
        <v>1</v>
      </c>
      <c r="D146" s="139" t="s">
        <v>372</v>
      </c>
      <c r="E146" s="139" t="s">
        <v>1740</v>
      </c>
    </row>
    <row r="147" spans="1:5">
      <c r="A147" s="139">
        <v>1</v>
      </c>
      <c r="B147" s="139" t="s">
        <v>39</v>
      </c>
      <c r="C147" s="139">
        <v>16</v>
      </c>
      <c r="D147" s="139" t="s">
        <v>372</v>
      </c>
      <c r="E147" s="139" t="s">
        <v>1740</v>
      </c>
    </row>
    <row r="148" spans="1:5">
      <c r="A148" s="139">
        <v>2</v>
      </c>
      <c r="B148" s="139" t="s">
        <v>40</v>
      </c>
      <c r="C148" s="139">
        <v>41.989116133000003</v>
      </c>
      <c r="D148" s="139" t="s">
        <v>372</v>
      </c>
      <c r="E148" s="139" t="s">
        <v>1740</v>
      </c>
    </row>
    <row r="149" spans="1:5">
      <c r="A149" s="139">
        <v>3</v>
      </c>
      <c r="B149" s="139" t="s">
        <v>41</v>
      </c>
      <c r="C149" s="139">
        <v>3512.359164212</v>
      </c>
      <c r="D149" s="139" t="s">
        <v>372</v>
      </c>
      <c r="E149" s="139" t="s">
        <v>1740</v>
      </c>
    </row>
    <row r="150" spans="1:5">
      <c r="A150" s="139">
        <v>4</v>
      </c>
      <c r="B150" s="139" t="s">
        <v>42</v>
      </c>
      <c r="C150" s="139">
        <v>1974.4736422179999</v>
      </c>
      <c r="D150" s="139" t="s">
        <v>372</v>
      </c>
      <c r="E150" s="139" t="s">
        <v>1740</v>
      </c>
    </row>
    <row r="151" spans="1:5">
      <c r="A151" s="139">
        <v>5</v>
      </c>
      <c r="B151" s="139" t="s">
        <v>43</v>
      </c>
      <c r="C151" s="139">
        <v>0</v>
      </c>
      <c r="D151" s="139" t="s">
        <v>372</v>
      </c>
      <c r="E151" s="139" t="s">
        <v>1740</v>
      </c>
    </row>
    <row r="152" spans="1:5">
      <c r="A152" s="139">
        <v>0</v>
      </c>
      <c r="B152" s="139" t="s">
        <v>38</v>
      </c>
      <c r="C152" s="139">
        <v>1</v>
      </c>
      <c r="D152" s="139" t="s">
        <v>373</v>
      </c>
      <c r="E152" s="139" t="s">
        <v>1740</v>
      </c>
    </row>
    <row r="153" spans="1:5">
      <c r="A153" s="139">
        <v>1</v>
      </c>
      <c r="B153" s="139" t="s">
        <v>39</v>
      </c>
      <c r="C153" s="139">
        <v>16</v>
      </c>
      <c r="D153" s="139" t="s">
        <v>373</v>
      </c>
      <c r="E153" s="139" t="s">
        <v>1740</v>
      </c>
    </row>
    <row r="154" spans="1:5">
      <c r="A154" s="139">
        <v>2</v>
      </c>
      <c r="B154" s="139" t="s">
        <v>40</v>
      </c>
      <c r="C154" s="139">
        <v>41.989116133000003</v>
      </c>
      <c r="D154" s="139" t="s">
        <v>373</v>
      </c>
      <c r="E154" s="139" t="s">
        <v>1740</v>
      </c>
    </row>
    <row r="155" spans="1:5">
      <c r="A155" s="139">
        <v>3</v>
      </c>
      <c r="B155" s="139" t="s">
        <v>41</v>
      </c>
      <c r="C155" s="139">
        <v>3512.359164212</v>
      </c>
      <c r="D155" s="139" t="s">
        <v>373</v>
      </c>
      <c r="E155" s="139" t="s">
        <v>1740</v>
      </c>
    </row>
    <row r="156" spans="1:5">
      <c r="A156" s="139">
        <v>4</v>
      </c>
      <c r="B156" s="139" t="s">
        <v>42</v>
      </c>
      <c r="C156" s="139">
        <v>1974.4736422179999</v>
      </c>
      <c r="D156" s="139" t="s">
        <v>373</v>
      </c>
      <c r="E156" s="139" t="s">
        <v>1740</v>
      </c>
    </row>
    <row r="157" spans="1:5">
      <c r="A157" s="139">
        <v>5</v>
      </c>
      <c r="B157" s="139" t="s">
        <v>43</v>
      </c>
      <c r="C157" s="139">
        <v>0</v>
      </c>
      <c r="D157" s="139" t="s">
        <v>373</v>
      </c>
      <c r="E157" s="139" t="s">
        <v>1740</v>
      </c>
    </row>
    <row r="158" spans="1:5">
      <c r="A158" s="139">
        <v>0</v>
      </c>
      <c r="B158" s="139" t="s">
        <v>38</v>
      </c>
      <c r="C158" s="139">
        <v>1</v>
      </c>
      <c r="D158" s="139" t="s">
        <v>374</v>
      </c>
      <c r="E158" s="139" t="s">
        <v>1740</v>
      </c>
    </row>
    <row r="159" spans="1:5">
      <c r="A159" s="139">
        <v>1</v>
      </c>
      <c r="B159" s="139" t="s">
        <v>39</v>
      </c>
      <c r="C159" s="139">
        <v>16</v>
      </c>
      <c r="D159" s="139" t="s">
        <v>374</v>
      </c>
      <c r="E159" s="139" t="s">
        <v>1740</v>
      </c>
    </row>
    <row r="160" spans="1:5">
      <c r="A160" s="139">
        <v>2</v>
      </c>
      <c r="B160" s="139" t="s">
        <v>40</v>
      </c>
      <c r="C160" s="139">
        <v>41.989116133000003</v>
      </c>
      <c r="D160" s="139" t="s">
        <v>374</v>
      </c>
      <c r="E160" s="139" t="s">
        <v>1740</v>
      </c>
    </row>
    <row r="161" spans="1:5">
      <c r="A161" s="139">
        <v>3</v>
      </c>
      <c r="B161" s="139" t="s">
        <v>41</v>
      </c>
      <c r="C161" s="139">
        <v>3512.359164212</v>
      </c>
      <c r="D161" s="139" t="s">
        <v>374</v>
      </c>
      <c r="E161" s="139" t="s">
        <v>1740</v>
      </c>
    </row>
    <row r="162" spans="1:5">
      <c r="A162" s="139">
        <v>4</v>
      </c>
      <c r="B162" s="139" t="s">
        <v>42</v>
      </c>
      <c r="C162" s="139">
        <v>1974.4736422179999</v>
      </c>
      <c r="D162" s="139" t="s">
        <v>374</v>
      </c>
      <c r="E162" s="139" t="s">
        <v>1740</v>
      </c>
    </row>
    <row r="163" spans="1:5">
      <c r="A163" s="139">
        <v>5</v>
      </c>
      <c r="B163" s="139" t="s">
        <v>43</v>
      </c>
      <c r="C163" s="139">
        <v>0</v>
      </c>
      <c r="D163" s="139" t="s">
        <v>374</v>
      </c>
      <c r="E163" s="139" t="s">
        <v>1740</v>
      </c>
    </row>
    <row r="164" spans="1:5">
      <c r="A164" s="139">
        <v>0</v>
      </c>
      <c r="B164" s="139" t="s">
        <v>38</v>
      </c>
      <c r="C164" s="139">
        <v>1</v>
      </c>
      <c r="D164" s="139" t="s">
        <v>375</v>
      </c>
      <c r="E164" s="139" t="s">
        <v>1740</v>
      </c>
    </row>
    <row r="165" spans="1:5">
      <c r="A165" s="139">
        <v>1</v>
      </c>
      <c r="B165" s="139" t="s">
        <v>39</v>
      </c>
      <c r="C165" s="139">
        <v>16</v>
      </c>
      <c r="D165" s="139" t="s">
        <v>375</v>
      </c>
      <c r="E165" s="139" t="s">
        <v>1740</v>
      </c>
    </row>
    <row r="166" spans="1:5">
      <c r="A166" s="139">
        <v>2</v>
      </c>
      <c r="B166" s="139" t="s">
        <v>40</v>
      </c>
      <c r="C166" s="139">
        <v>41.989116133000003</v>
      </c>
      <c r="D166" s="139" t="s">
        <v>375</v>
      </c>
      <c r="E166" s="139" t="s">
        <v>1740</v>
      </c>
    </row>
    <row r="167" spans="1:5">
      <c r="A167" s="139">
        <v>3</v>
      </c>
      <c r="B167" s="139" t="s">
        <v>41</v>
      </c>
      <c r="C167" s="139">
        <v>3512.359164212</v>
      </c>
      <c r="D167" s="139" t="s">
        <v>375</v>
      </c>
      <c r="E167" s="139" t="s">
        <v>1740</v>
      </c>
    </row>
    <row r="168" spans="1:5">
      <c r="A168" s="139">
        <v>4</v>
      </c>
      <c r="B168" s="139" t="s">
        <v>42</v>
      </c>
      <c r="C168" s="139">
        <v>1974.4736422179999</v>
      </c>
      <c r="D168" s="139" t="s">
        <v>375</v>
      </c>
      <c r="E168" s="139" t="s">
        <v>1740</v>
      </c>
    </row>
    <row r="169" spans="1:5">
      <c r="A169" s="139">
        <v>5</v>
      </c>
      <c r="B169" s="139" t="s">
        <v>43</v>
      </c>
      <c r="C169" s="139">
        <v>0</v>
      </c>
      <c r="D169" s="139" t="s">
        <v>375</v>
      </c>
      <c r="E169" s="139" t="s">
        <v>1740</v>
      </c>
    </row>
    <row r="170" spans="1:5">
      <c r="A170" s="139">
        <v>0</v>
      </c>
      <c r="B170" s="139" t="s">
        <v>38</v>
      </c>
      <c r="C170" s="139">
        <v>1</v>
      </c>
      <c r="D170" s="139" t="s">
        <v>376</v>
      </c>
      <c r="E170" s="139" t="s">
        <v>1740</v>
      </c>
    </row>
    <row r="171" spans="1:5">
      <c r="A171" s="139">
        <v>1</v>
      </c>
      <c r="B171" s="139" t="s">
        <v>39</v>
      </c>
      <c r="C171" s="139">
        <v>16</v>
      </c>
      <c r="D171" s="139" t="s">
        <v>376</v>
      </c>
      <c r="E171" s="139" t="s">
        <v>1740</v>
      </c>
    </row>
    <row r="172" spans="1:5">
      <c r="A172" s="139">
        <v>2</v>
      </c>
      <c r="B172" s="139" t="s">
        <v>40</v>
      </c>
      <c r="C172" s="139">
        <v>41.989116133000003</v>
      </c>
      <c r="D172" s="139" t="s">
        <v>376</v>
      </c>
      <c r="E172" s="139" t="s">
        <v>1740</v>
      </c>
    </row>
    <row r="173" spans="1:5">
      <c r="A173" s="139">
        <v>3</v>
      </c>
      <c r="B173" s="139" t="s">
        <v>41</v>
      </c>
      <c r="C173" s="139">
        <v>3512.359164212</v>
      </c>
      <c r="D173" s="139" t="s">
        <v>376</v>
      </c>
      <c r="E173" s="139" t="s">
        <v>1740</v>
      </c>
    </row>
    <row r="174" spans="1:5">
      <c r="A174" s="139">
        <v>4</v>
      </c>
      <c r="B174" s="139" t="s">
        <v>42</v>
      </c>
      <c r="C174" s="139">
        <v>1974.4736422179999</v>
      </c>
      <c r="D174" s="139" t="s">
        <v>376</v>
      </c>
      <c r="E174" s="139" t="s">
        <v>1740</v>
      </c>
    </row>
    <row r="175" spans="1:5">
      <c r="A175" s="139">
        <v>5</v>
      </c>
      <c r="B175" s="139" t="s">
        <v>43</v>
      </c>
      <c r="C175" s="139">
        <v>0</v>
      </c>
      <c r="D175" s="139" t="s">
        <v>376</v>
      </c>
      <c r="E175" s="139" t="s">
        <v>1740</v>
      </c>
    </row>
    <row r="176" spans="1:5">
      <c r="A176" s="139">
        <v>0</v>
      </c>
      <c r="B176" s="139" t="s">
        <v>38</v>
      </c>
      <c r="C176" s="139">
        <v>1</v>
      </c>
      <c r="D176" s="139" t="s">
        <v>377</v>
      </c>
      <c r="E176" s="139" t="s">
        <v>1740</v>
      </c>
    </row>
    <row r="177" spans="1:5">
      <c r="A177" s="139">
        <v>1</v>
      </c>
      <c r="B177" s="139" t="s">
        <v>39</v>
      </c>
      <c r="C177" s="139">
        <v>16</v>
      </c>
      <c r="D177" s="139" t="s">
        <v>377</v>
      </c>
      <c r="E177" s="139" t="s">
        <v>1740</v>
      </c>
    </row>
    <row r="178" spans="1:5">
      <c r="A178" s="139">
        <v>2</v>
      </c>
      <c r="B178" s="139" t="s">
        <v>40</v>
      </c>
      <c r="C178" s="139">
        <v>41.989116133000003</v>
      </c>
      <c r="D178" s="139" t="s">
        <v>377</v>
      </c>
      <c r="E178" s="139" t="s">
        <v>1740</v>
      </c>
    </row>
    <row r="179" spans="1:5">
      <c r="A179" s="139">
        <v>3</v>
      </c>
      <c r="B179" s="139" t="s">
        <v>41</v>
      </c>
      <c r="C179" s="139">
        <v>3512.359164212</v>
      </c>
      <c r="D179" s="139" t="s">
        <v>377</v>
      </c>
      <c r="E179" s="139" t="s">
        <v>1740</v>
      </c>
    </row>
    <row r="180" spans="1:5">
      <c r="A180" s="139">
        <v>4</v>
      </c>
      <c r="B180" s="139" t="s">
        <v>42</v>
      </c>
      <c r="C180" s="139">
        <v>1974.4736422179999</v>
      </c>
      <c r="D180" s="139" t="s">
        <v>377</v>
      </c>
      <c r="E180" s="139" t="s">
        <v>1740</v>
      </c>
    </row>
    <row r="181" spans="1:5">
      <c r="A181" s="139">
        <v>5</v>
      </c>
      <c r="B181" s="139" t="s">
        <v>43</v>
      </c>
      <c r="C181" s="139">
        <v>0</v>
      </c>
      <c r="D181" s="139" t="s">
        <v>377</v>
      </c>
      <c r="E181" s="139" t="s">
        <v>1740</v>
      </c>
    </row>
    <row r="182" spans="1:5">
      <c r="A182" s="139">
        <v>0</v>
      </c>
      <c r="B182" s="139" t="s">
        <v>38</v>
      </c>
      <c r="C182" s="139">
        <v>1</v>
      </c>
      <c r="D182" s="139" t="s">
        <v>378</v>
      </c>
      <c r="E182" s="139" t="s">
        <v>1740</v>
      </c>
    </row>
    <row r="183" spans="1:5">
      <c r="A183" s="139">
        <v>1</v>
      </c>
      <c r="B183" s="139" t="s">
        <v>39</v>
      </c>
      <c r="C183" s="139">
        <v>16</v>
      </c>
      <c r="D183" s="139" t="s">
        <v>378</v>
      </c>
      <c r="E183" s="139" t="s">
        <v>1740</v>
      </c>
    </row>
    <row r="184" spans="1:5">
      <c r="A184" s="139">
        <v>2</v>
      </c>
      <c r="B184" s="139" t="s">
        <v>40</v>
      </c>
      <c r="C184" s="139">
        <v>41.989116133000003</v>
      </c>
      <c r="D184" s="139" t="s">
        <v>378</v>
      </c>
      <c r="E184" s="139" t="s">
        <v>1740</v>
      </c>
    </row>
    <row r="185" spans="1:5">
      <c r="A185" s="139">
        <v>3</v>
      </c>
      <c r="B185" s="139" t="s">
        <v>41</v>
      </c>
      <c r="C185" s="139">
        <v>3512.359164212</v>
      </c>
      <c r="D185" s="139" t="s">
        <v>378</v>
      </c>
      <c r="E185" s="139" t="s">
        <v>1740</v>
      </c>
    </row>
    <row r="186" spans="1:5">
      <c r="A186" s="139">
        <v>4</v>
      </c>
      <c r="B186" s="139" t="s">
        <v>42</v>
      </c>
      <c r="C186" s="139">
        <v>1974.4736422179999</v>
      </c>
      <c r="D186" s="139" t="s">
        <v>378</v>
      </c>
      <c r="E186" s="139" t="s">
        <v>1740</v>
      </c>
    </row>
    <row r="187" spans="1:5">
      <c r="A187" s="139">
        <v>5</v>
      </c>
      <c r="B187" s="139" t="s">
        <v>43</v>
      </c>
      <c r="C187" s="139">
        <v>0</v>
      </c>
      <c r="D187" s="139" t="s">
        <v>378</v>
      </c>
      <c r="E187" s="139" t="s">
        <v>1740</v>
      </c>
    </row>
    <row r="188" spans="1:5">
      <c r="A188" s="139">
        <v>0</v>
      </c>
      <c r="B188" s="139" t="s">
        <v>38</v>
      </c>
      <c r="C188" s="139">
        <v>1</v>
      </c>
      <c r="D188" s="139" t="s">
        <v>379</v>
      </c>
      <c r="E188" s="139" t="s">
        <v>1740</v>
      </c>
    </row>
    <row r="189" spans="1:5">
      <c r="A189" s="139">
        <v>1</v>
      </c>
      <c r="B189" s="139" t="s">
        <v>39</v>
      </c>
      <c r="C189" s="139">
        <v>16</v>
      </c>
      <c r="D189" s="139" t="s">
        <v>379</v>
      </c>
      <c r="E189" s="139" t="s">
        <v>1740</v>
      </c>
    </row>
    <row r="190" spans="1:5">
      <c r="A190" s="139">
        <v>2</v>
      </c>
      <c r="B190" s="139" t="s">
        <v>40</v>
      </c>
      <c r="C190" s="139">
        <v>41.989116133000003</v>
      </c>
      <c r="D190" s="139" t="s">
        <v>379</v>
      </c>
      <c r="E190" s="139" t="s">
        <v>1740</v>
      </c>
    </row>
    <row r="191" spans="1:5">
      <c r="A191" s="139">
        <v>3</v>
      </c>
      <c r="B191" s="139" t="s">
        <v>41</v>
      </c>
      <c r="C191" s="139">
        <v>3512.359164212</v>
      </c>
      <c r="D191" s="139" t="s">
        <v>379</v>
      </c>
      <c r="E191" s="139" t="s">
        <v>1740</v>
      </c>
    </row>
    <row r="192" spans="1:5">
      <c r="A192" s="139">
        <v>4</v>
      </c>
      <c r="B192" s="139" t="s">
        <v>42</v>
      </c>
      <c r="C192" s="139">
        <v>1974.4736422179999</v>
      </c>
      <c r="D192" s="139" t="s">
        <v>379</v>
      </c>
      <c r="E192" s="139" t="s">
        <v>1740</v>
      </c>
    </row>
    <row r="193" spans="1:5">
      <c r="A193" s="139">
        <v>5</v>
      </c>
      <c r="B193" s="139" t="s">
        <v>43</v>
      </c>
      <c r="C193" s="139">
        <v>0</v>
      </c>
      <c r="D193" s="139" t="s">
        <v>379</v>
      </c>
      <c r="E193" s="139" t="s">
        <v>1740</v>
      </c>
    </row>
    <row r="194" spans="1:5">
      <c r="A194" s="139">
        <v>0</v>
      </c>
      <c r="B194" s="139" t="s">
        <v>38</v>
      </c>
      <c r="C194" s="139">
        <v>1</v>
      </c>
      <c r="D194" s="139" t="s">
        <v>380</v>
      </c>
      <c r="E194" s="139" t="s">
        <v>1740</v>
      </c>
    </row>
    <row r="195" spans="1:5">
      <c r="A195" s="139">
        <v>1</v>
      </c>
      <c r="B195" s="139" t="s">
        <v>39</v>
      </c>
      <c r="C195" s="139">
        <v>16</v>
      </c>
      <c r="D195" s="139" t="s">
        <v>380</v>
      </c>
      <c r="E195" s="139" t="s">
        <v>1740</v>
      </c>
    </row>
    <row r="196" spans="1:5">
      <c r="A196" s="139">
        <v>2</v>
      </c>
      <c r="B196" s="139" t="s">
        <v>40</v>
      </c>
      <c r="C196" s="139">
        <v>41.989116133000003</v>
      </c>
      <c r="D196" s="139" t="s">
        <v>380</v>
      </c>
      <c r="E196" s="139" t="s">
        <v>1740</v>
      </c>
    </row>
    <row r="197" spans="1:5">
      <c r="A197" s="139">
        <v>3</v>
      </c>
      <c r="B197" s="139" t="s">
        <v>41</v>
      </c>
      <c r="C197" s="139">
        <v>3512.359164212</v>
      </c>
      <c r="D197" s="139" t="s">
        <v>380</v>
      </c>
      <c r="E197" s="139" t="s">
        <v>1740</v>
      </c>
    </row>
    <row r="198" spans="1:5">
      <c r="A198" s="139">
        <v>4</v>
      </c>
      <c r="B198" s="139" t="s">
        <v>42</v>
      </c>
      <c r="C198" s="139">
        <v>1974.4736422179999</v>
      </c>
      <c r="D198" s="139" t="s">
        <v>380</v>
      </c>
      <c r="E198" s="139" t="s">
        <v>1740</v>
      </c>
    </row>
    <row r="199" spans="1:5">
      <c r="A199" s="139">
        <v>5</v>
      </c>
      <c r="B199" s="139" t="s">
        <v>43</v>
      </c>
      <c r="C199" s="139">
        <v>0</v>
      </c>
      <c r="D199" s="139" t="s">
        <v>380</v>
      </c>
      <c r="E199" s="139" t="s">
        <v>1740</v>
      </c>
    </row>
    <row r="200" spans="1:5">
      <c r="A200" s="139">
        <v>0</v>
      </c>
      <c r="B200" s="139" t="s">
        <v>38</v>
      </c>
      <c r="C200" s="139">
        <v>1</v>
      </c>
      <c r="D200" s="139" t="s">
        <v>381</v>
      </c>
      <c r="E200" s="139" t="s">
        <v>1740</v>
      </c>
    </row>
    <row r="201" spans="1:5">
      <c r="A201" s="139">
        <v>1</v>
      </c>
      <c r="B201" s="139" t="s">
        <v>39</v>
      </c>
      <c r="C201" s="139">
        <v>16</v>
      </c>
      <c r="D201" s="139" t="s">
        <v>381</v>
      </c>
      <c r="E201" s="139" t="s">
        <v>1740</v>
      </c>
    </row>
    <row r="202" spans="1:5">
      <c r="A202" s="139">
        <v>2</v>
      </c>
      <c r="B202" s="139" t="s">
        <v>40</v>
      </c>
      <c r="C202" s="139">
        <v>41.989116133000003</v>
      </c>
      <c r="D202" s="139" t="s">
        <v>381</v>
      </c>
      <c r="E202" s="139" t="s">
        <v>1740</v>
      </c>
    </row>
    <row r="203" spans="1:5">
      <c r="A203" s="139">
        <v>3</v>
      </c>
      <c r="B203" s="139" t="s">
        <v>41</v>
      </c>
      <c r="C203" s="139">
        <v>3512.359164212</v>
      </c>
      <c r="D203" s="139" t="s">
        <v>381</v>
      </c>
      <c r="E203" s="139" t="s">
        <v>1740</v>
      </c>
    </row>
    <row r="204" spans="1:5">
      <c r="A204" s="139">
        <v>4</v>
      </c>
      <c r="B204" s="139" t="s">
        <v>42</v>
      </c>
      <c r="C204" s="139">
        <v>1974.4736422179999</v>
      </c>
      <c r="D204" s="139" t="s">
        <v>381</v>
      </c>
      <c r="E204" s="139" t="s">
        <v>1740</v>
      </c>
    </row>
    <row r="205" spans="1:5">
      <c r="A205" s="139">
        <v>5</v>
      </c>
      <c r="B205" s="139" t="s">
        <v>43</v>
      </c>
      <c r="C205" s="139">
        <v>0</v>
      </c>
      <c r="D205" s="139" t="s">
        <v>381</v>
      </c>
      <c r="E205" s="139" t="s">
        <v>1740</v>
      </c>
    </row>
    <row r="206" spans="1:5">
      <c r="A206" s="139">
        <v>0</v>
      </c>
      <c r="B206" s="139" t="s">
        <v>38</v>
      </c>
      <c r="C206" s="139">
        <v>1</v>
      </c>
      <c r="D206" s="139" t="s">
        <v>382</v>
      </c>
      <c r="E206" s="139" t="s">
        <v>1740</v>
      </c>
    </row>
    <row r="207" spans="1:5">
      <c r="A207" s="139">
        <v>1</v>
      </c>
      <c r="B207" s="139" t="s">
        <v>39</v>
      </c>
      <c r="C207" s="139">
        <v>16</v>
      </c>
      <c r="D207" s="139" t="s">
        <v>382</v>
      </c>
      <c r="E207" s="139" t="s">
        <v>1740</v>
      </c>
    </row>
    <row r="208" spans="1:5">
      <c r="A208" s="139">
        <v>2</v>
      </c>
      <c r="B208" s="139" t="s">
        <v>40</v>
      </c>
      <c r="C208" s="139">
        <v>41.989116133000003</v>
      </c>
      <c r="D208" s="139" t="s">
        <v>382</v>
      </c>
      <c r="E208" s="139" t="s">
        <v>1740</v>
      </c>
    </row>
    <row r="209" spans="1:5">
      <c r="A209" s="139">
        <v>3</v>
      </c>
      <c r="B209" s="139" t="s">
        <v>41</v>
      </c>
      <c r="C209" s="139">
        <v>3512.359164212</v>
      </c>
      <c r="D209" s="139" t="s">
        <v>382</v>
      </c>
      <c r="E209" s="139" t="s">
        <v>1740</v>
      </c>
    </row>
    <row r="210" spans="1:5">
      <c r="A210" s="139">
        <v>4</v>
      </c>
      <c r="B210" s="139" t="s">
        <v>42</v>
      </c>
      <c r="C210" s="139">
        <v>1974.4736422179999</v>
      </c>
      <c r="D210" s="139" t="s">
        <v>382</v>
      </c>
      <c r="E210" s="139" t="s">
        <v>1740</v>
      </c>
    </row>
    <row r="211" spans="1:5">
      <c r="A211" s="139">
        <v>5</v>
      </c>
      <c r="B211" s="139" t="s">
        <v>43</v>
      </c>
      <c r="C211" s="139">
        <v>0</v>
      </c>
      <c r="D211" s="139" t="s">
        <v>382</v>
      </c>
      <c r="E211" s="139" t="s">
        <v>1740</v>
      </c>
    </row>
    <row r="212" spans="1:5">
      <c r="A212" s="139">
        <v>0</v>
      </c>
      <c r="B212" s="139" t="s">
        <v>38</v>
      </c>
      <c r="C212" s="139">
        <v>1</v>
      </c>
      <c r="D212" s="139" t="s">
        <v>383</v>
      </c>
      <c r="E212" s="139" t="s">
        <v>1740</v>
      </c>
    </row>
    <row r="213" spans="1:5">
      <c r="A213" s="139">
        <v>1</v>
      </c>
      <c r="B213" s="139" t="s">
        <v>39</v>
      </c>
      <c r="C213" s="139">
        <v>16</v>
      </c>
      <c r="D213" s="139" t="s">
        <v>383</v>
      </c>
      <c r="E213" s="139" t="s">
        <v>1740</v>
      </c>
    </row>
    <row r="214" spans="1:5">
      <c r="A214" s="139">
        <v>2</v>
      </c>
      <c r="B214" s="139" t="s">
        <v>40</v>
      </c>
      <c r="C214" s="139">
        <v>41.989116133000003</v>
      </c>
      <c r="D214" s="139" t="s">
        <v>383</v>
      </c>
      <c r="E214" s="139" t="s">
        <v>1740</v>
      </c>
    </row>
    <row r="215" spans="1:5">
      <c r="A215" s="139">
        <v>3</v>
      </c>
      <c r="B215" s="139" t="s">
        <v>41</v>
      </c>
      <c r="C215" s="139">
        <v>3512.359164212</v>
      </c>
      <c r="D215" s="139" t="s">
        <v>383</v>
      </c>
      <c r="E215" s="139" t="s">
        <v>1740</v>
      </c>
    </row>
    <row r="216" spans="1:5">
      <c r="A216" s="139">
        <v>4</v>
      </c>
      <c r="B216" s="139" t="s">
        <v>42</v>
      </c>
      <c r="C216" s="139">
        <v>1974.4736422179999</v>
      </c>
      <c r="D216" s="139" t="s">
        <v>383</v>
      </c>
      <c r="E216" s="139" t="s">
        <v>1740</v>
      </c>
    </row>
    <row r="217" spans="1:5">
      <c r="A217" s="139">
        <v>5</v>
      </c>
      <c r="B217" s="139" t="s">
        <v>43</v>
      </c>
      <c r="C217" s="139">
        <v>0</v>
      </c>
      <c r="D217" s="139" t="s">
        <v>383</v>
      </c>
      <c r="E217" s="139" t="s">
        <v>1740</v>
      </c>
    </row>
    <row r="218" spans="1:5">
      <c r="A218" s="139">
        <v>0</v>
      </c>
      <c r="B218" s="139" t="s">
        <v>38</v>
      </c>
      <c r="C218" s="139">
        <v>1</v>
      </c>
      <c r="D218" s="139" t="s">
        <v>384</v>
      </c>
      <c r="E218" s="139" t="s">
        <v>1740</v>
      </c>
    </row>
    <row r="219" spans="1:5">
      <c r="A219" s="139">
        <v>1</v>
      </c>
      <c r="B219" s="139" t="s">
        <v>39</v>
      </c>
      <c r="C219" s="139">
        <v>16</v>
      </c>
      <c r="D219" s="139" t="s">
        <v>384</v>
      </c>
      <c r="E219" s="139" t="s">
        <v>1740</v>
      </c>
    </row>
    <row r="220" spans="1:5">
      <c r="A220" s="139">
        <v>2</v>
      </c>
      <c r="B220" s="139" t="s">
        <v>40</v>
      </c>
      <c r="C220" s="139">
        <v>41.989116133000003</v>
      </c>
      <c r="D220" s="139" t="s">
        <v>384</v>
      </c>
      <c r="E220" s="139" t="s">
        <v>1740</v>
      </c>
    </row>
    <row r="221" spans="1:5">
      <c r="A221" s="139">
        <v>3</v>
      </c>
      <c r="B221" s="139" t="s">
        <v>41</v>
      </c>
      <c r="C221" s="139">
        <v>3512.359164212</v>
      </c>
      <c r="D221" s="139" t="s">
        <v>384</v>
      </c>
      <c r="E221" s="139" t="s">
        <v>1740</v>
      </c>
    </row>
    <row r="222" spans="1:5">
      <c r="A222" s="139">
        <v>4</v>
      </c>
      <c r="B222" s="139" t="s">
        <v>42</v>
      </c>
      <c r="C222" s="139">
        <v>1974.4736422179999</v>
      </c>
      <c r="D222" s="139" t="s">
        <v>384</v>
      </c>
      <c r="E222" s="139" t="s">
        <v>1740</v>
      </c>
    </row>
    <row r="223" spans="1:5">
      <c r="A223" s="139">
        <v>5</v>
      </c>
      <c r="B223" s="139" t="s">
        <v>43</v>
      </c>
      <c r="C223" s="139">
        <v>0</v>
      </c>
      <c r="D223" s="139" t="s">
        <v>384</v>
      </c>
      <c r="E223" s="139" t="s">
        <v>1740</v>
      </c>
    </row>
    <row r="224" spans="1:5">
      <c r="A224" s="139">
        <v>0</v>
      </c>
      <c r="B224" s="139" t="s">
        <v>38</v>
      </c>
      <c r="C224" s="139">
        <v>1</v>
      </c>
      <c r="D224" s="139" t="s">
        <v>385</v>
      </c>
      <c r="E224" s="139" t="s">
        <v>1740</v>
      </c>
    </row>
    <row r="225" spans="1:5">
      <c r="A225" s="139">
        <v>1</v>
      </c>
      <c r="B225" s="139" t="s">
        <v>39</v>
      </c>
      <c r="C225" s="139">
        <v>16</v>
      </c>
      <c r="D225" s="139" t="s">
        <v>385</v>
      </c>
      <c r="E225" s="139" t="s">
        <v>1740</v>
      </c>
    </row>
    <row r="226" spans="1:5">
      <c r="A226" s="139">
        <v>2</v>
      </c>
      <c r="B226" s="139" t="s">
        <v>40</v>
      </c>
      <c r="C226" s="139">
        <v>41.989116133000003</v>
      </c>
      <c r="D226" s="139" t="s">
        <v>385</v>
      </c>
      <c r="E226" s="139" t="s">
        <v>1740</v>
      </c>
    </row>
    <row r="227" spans="1:5">
      <c r="A227" s="139">
        <v>3</v>
      </c>
      <c r="B227" s="139" t="s">
        <v>41</v>
      </c>
      <c r="C227" s="139">
        <v>3512.359164212</v>
      </c>
      <c r="D227" s="139" t="s">
        <v>385</v>
      </c>
      <c r="E227" s="139" t="s">
        <v>1740</v>
      </c>
    </row>
    <row r="228" spans="1:5">
      <c r="A228" s="139">
        <v>4</v>
      </c>
      <c r="B228" s="139" t="s">
        <v>42</v>
      </c>
      <c r="C228" s="139">
        <v>1974.4736422179999</v>
      </c>
      <c r="D228" s="139" t="s">
        <v>385</v>
      </c>
      <c r="E228" s="139" t="s">
        <v>1740</v>
      </c>
    </row>
    <row r="229" spans="1:5">
      <c r="A229" s="139">
        <v>5</v>
      </c>
      <c r="B229" s="139" t="s">
        <v>43</v>
      </c>
      <c r="C229" s="139">
        <v>0</v>
      </c>
      <c r="D229" s="139" t="s">
        <v>385</v>
      </c>
      <c r="E229" s="139" t="s">
        <v>1740</v>
      </c>
    </row>
    <row r="230" spans="1:5">
      <c r="A230" s="139">
        <v>0</v>
      </c>
      <c r="B230" s="139" t="s">
        <v>38</v>
      </c>
      <c r="C230" s="139">
        <v>1</v>
      </c>
      <c r="D230" s="139" t="s">
        <v>386</v>
      </c>
      <c r="E230" s="139" t="s">
        <v>1740</v>
      </c>
    </row>
    <row r="231" spans="1:5">
      <c r="A231" s="139">
        <v>1</v>
      </c>
      <c r="B231" s="139" t="s">
        <v>39</v>
      </c>
      <c r="C231" s="139">
        <v>16</v>
      </c>
      <c r="D231" s="139" t="s">
        <v>386</v>
      </c>
      <c r="E231" s="139" t="s">
        <v>1740</v>
      </c>
    </row>
    <row r="232" spans="1:5">
      <c r="A232" s="139">
        <v>2</v>
      </c>
      <c r="B232" s="139" t="s">
        <v>40</v>
      </c>
      <c r="C232" s="139">
        <v>41.989116133000003</v>
      </c>
      <c r="D232" s="139" t="s">
        <v>386</v>
      </c>
      <c r="E232" s="139" t="s">
        <v>1740</v>
      </c>
    </row>
    <row r="233" spans="1:5">
      <c r="A233" s="139">
        <v>3</v>
      </c>
      <c r="B233" s="139" t="s">
        <v>41</v>
      </c>
      <c r="C233" s="139">
        <v>3512.359164212</v>
      </c>
      <c r="D233" s="139" t="s">
        <v>386</v>
      </c>
      <c r="E233" s="139" t="s">
        <v>1740</v>
      </c>
    </row>
    <row r="234" spans="1:5">
      <c r="A234" s="139">
        <v>4</v>
      </c>
      <c r="B234" s="139" t="s">
        <v>42</v>
      </c>
      <c r="C234" s="139">
        <v>1974.4736422179999</v>
      </c>
      <c r="D234" s="139" t="s">
        <v>386</v>
      </c>
      <c r="E234" s="139" t="s">
        <v>1740</v>
      </c>
    </row>
    <row r="235" spans="1:5">
      <c r="A235" s="139">
        <v>5</v>
      </c>
      <c r="B235" s="139" t="s">
        <v>43</v>
      </c>
      <c r="C235" s="139">
        <v>0</v>
      </c>
      <c r="D235" s="139" t="s">
        <v>386</v>
      </c>
      <c r="E235" s="139" t="s">
        <v>1740</v>
      </c>
    </row>
    <row r="236" spans="1:5">
      <c r="A236" s="139">
        <v>0</v>
      </c>
      <c r="B236" s="139" t="s">
        <v>38</v>
      </c>
      <c r="C236" s="139">
        <v>1</v>
      </c>
      <c r="D236" s="139" t="s">
        <v>387</v>
      </c>
      <c r="E236" s="139" t="s">
        <v>1740</v>
      </c>
    </row>
    <row r="237" spans="1:5">
      <c r="A237" s="139">
        <v>1</v>
      </c>
      <c r="B237" s="139" t="s">
        <v>39</v>
      </c>
      <c r="C237" s="139">
        <v>16</v>
      </c>
      <c r="D237" s="139" t="s">
        <v>387</v>
      </c>
      <c r="E237" s="139" t="s">
        <v>1740</v>
      </c>
    </row>
    <row r="238" spans="1:5">
      <c r="A238" s="139">
        <v>2</v>
      </c>
      <c r="B238" s="139" t="s">
        <v>40</v>
      </c>
      <c r="C238" s="139">
        <v>41.989116133000003</v>
      </c>
      <c r="D238" s="139" t="s">
        <v>387</v>
      </c>
      <c r="E238" s="139" t="s">
        <v>1740</v>
      </c>
    </row>
    <row r="239" spans="1:5">
      <c r="A239" s="139">
        <v>3</v>
      </c>
      <c r="B239" s="139" t="s">
        <v>41</v>
      </c>
      <c r="C239" s="139">
        <v>3512.359164212</v>
      </c>
      <c r="D239" s="139" t="s">
        <v>387</v>
      </c>
      <c r="E239" s="139" t="s">
        <v>1740</v>
      </c>
    </row>
    <row r="240" spans="1:5">
      <c r="A240" s="139">
        <v>4</v>
      </c>
      <c r="B240" s="139" t="s">
        <v>42</v>
      </c>
      <c r="C240" s="139">
        <v>1974.4736422179999</v>
      </c>
      <c r="D240" s="139" t="s">
        <v>387</v>
      </c>
      <c r="E240" s="139" t="s">
        <v>1740</v>
      </c>
    </row>
    <row r="241" spans="1:5">
      <c r="A241" s="139">
        <v>5</v>
      </c>
      <c r="B241" s="139" t="s">
        <v>43</v>
      </c>
      <c r="C241" s="139">
        <v>0</v>
      </c>
      <c r="D241" s="139" t="s">
        <v>387</v>
      </c>
      <c r="E241" s="139" t="s">
        <v>1740</v>
      </c>
    </row>
    <row r="242" spans="1:5">
      <c r="A242" s="139">
        <v>0</v>
      </c>
      <c r="B242" s="139" t="s">
        <v>38</v>
      </c>
      <c r="C242" s="139">
        <v>1</v>
      </c>
      <c r="D242" s="139" t="s">
        <v>388</v>
      </c>
      <c r="E242" s="139" t="s">
        <v>1740</v>
      </c>
    </row>
    <row r="243" spans="1:5">
      <c r="A243" s="139">
        <v>1</v>
      </c>
      <c r="B243" s="139" t="s">
        <v>39</v>
      </c>
      <c r="C243" s="139">
        <v>16</v>
      </c>
      <c r="D243" s="139" t="s">
        <v>388</v>
      </c>
      <c r="E243" s="139" t="s">
        <v>1740</v>
      </c>
    </row>
    <row r="244" spans="1:5">
      <c r="A244" s="139">
        <v>2</v>
      </c>
      <c r="B244" s="139" t="s">
        <v>40</v>
      </c>
      <c r="C244" s="139">
        <v>41.989116133000003</v>
      </c>
      <c r="D244" s="139" t="s">
        <v>388</v>
      </c>
      <c r="E244" s="139" t="s">
        <v>1740</v>
      </c>
    </row>
    <row r="245" spans="1:5">
      <c r="A245" s="139">
        <v>3</v>
      </c>
      <c r="B245" s="139" t="s">
        <v>41</v>
      </c>
      <c r="C245" s="139">
        <v>3512.359164212</v>
      </c>
      <c r="D245" s="139" t="s">
        <v>388</v>
      </c>
      <c r="E245" s="139" t="s">
        <v>1740</v>
      </c>
    </row>
    <row r="246" spans="1:5">
      <c r="A246" s="139">
        <v>4</v>
      </c>
      <c r="B246" s="139" t="s">
        <v>42</v>
      </c>
      <c r="C246" s="139">
        <v>1974.4736422179999</v>
      </c>
      <c r="D246" s="139" t="s">
        <v>388</v>
      </c>
      <c r="E246" s="139" t="s">
        <v>1740</v>
      </c>
    </row>
    <row r="247" spans="1:5">
      <c r="A247" s="139">
        <v>5</v>
      </c>
      <c r="B247" s="139" t="s">
        <v>43</v>
      </c>
      <c r="C247" s="139">
        <v>0</v>
      </c>
      <c r="D247" s="139" t="s">
        <v>388</v>
      </c>
      <c r="E247" s="139" t="s">
        <v>1740</v>
      </c>
    </row>
    <row r="248" spans="1:5">
      <c r="A248" s="139">
        <v>0</v>
      </c>
      <c r="B248" s="139" t="s">
        <v>38</v>
      </c>
      <c r="C248" s="139">
        <v>1</v>
      </c>
      <c r="D248" s="139" t="s">
        <v>389</v>
      </c>
      <c r="E248" s="139" t="s">
        <v>1740</v>
      </c>
    </row>
    <row r="249" spans="1:5">
      <c r="A249" s="139">
        <v>1</v>
      </c>
      <c r="B249" s="139" t="s">
        <v>39</v>
      </c>
      <c r="C249" s="139">
        <v>16</v>
      </c>
      <c r="D249" s="139" t="s">
        <v>389</v>
      </c>
      <c r="E249" s="139" t="s">
        <v>1740</v>
      </c>
    </row>
    <row r="250" spans="1:5">
      <c r="A250" s="139">
        <v>2</v>
      </c>
      <c r="B250" s="139" t="s">
        <v>40</v>
      </c>
      <c r="C250" s="139">
        <v>41.989116133000003</v>
      </c>
      <c r="D250" s="139" t="s">
        <v>389</v>
      </c>
      <c r="E250" s="139" t="s">
        <v>1740</v>
      </c>
    </row>
    <row r="251" spans="1:5">
      <c r="A251" s="139">
        <v>3</v>
      </c>
      <c r="B251" s="139" t="s">
        <v>41</v>
      </c>
      <c r="C251" s="139">
        <v>3512.359164212</v>
      </c>
      <c r="D251" s="139" t="s">
        <v>389</v>
      </c>
      <c r="E251" s="139" t="s">
        <v>1740</v>
      </c>
    </row>
    <row r="252" spans="1:5">
      <c r="A252" s="139">
        <v>4</v>
      </c>
      <c r="B252" s="139" t="s">
        <v>42</v>
      </c>
      <c r="C252" s="139">
        <v>1974.4736422179999</v>
      </c>
      <c r="D252" s="139" t="s">
        <v>389</v>
      </c>
      <c r="E252" s="139" t="s">
        <v>1740</v>
      </c>
    </row>
    <row r="253" spans="1:5">
      <c r="A253" s="139">
        <v>5</v>
      </c>
      <c r="B253" s="139" t="s">
        <v>43</v>
      </c>
      <c r="C253" s="139">
        <v>0</v>
      </c>
      <c r="D253" s="139" t="s">
        <v>389</v>
      </c>
      <c r="E253" s="139" t="s">
        <v>1740</v>
      </c>
    </row>
    <row r="254" spans="1:5">
      <c r="A254" s="139">
        <v>0</v>
      </c>
      <c r="B254" s="139" t="s">
        <v>38</v>
      </c>
      <c r="C254" s="139">
        <v>1</v>
      </c>
      <c r="D254" s="139" t="s">
        <v>390</v>
      </c>
      <c r="E254" s="139" t="s">
        <v>1740</v>
      </c>
    </row>
    <row r="255" spans="1:5">
      <c r="A255" s="139">
        <v>1</v>
      </c>
      <c r="B255" s="139" t="s">
        <v>39</v>
      </c>
      <c r="C255" s="139">
        <v>16</v>
      </c>
      <c r="D255" s="139" t="s">
        <v>390</v>
      </c>
      <c r="E255" s="139" t="s">
        <v>1740</v>
      </c>
    </row>
    <row r="256" spans="1:5">
      <c r="A256" s="139">
        <v>2</v>
      </c>
      <c r="B256" s="139" t="s">
        <v>40</v>
      </c>
      <c r="C256" s="139">
        <v>41.989116133000003</v>
      </c>
      <c r="D256" s="139" t="s">
        <v>390</v>
      </c>
      <c r="E256" s="139" t="s">
        <v>1740</v>
      </c>
    </row>
    <row r="257" spans="1:5">
      <c r="A257" s="139">
        <v>3</v>
      </c>
      <c r="B257" s="139" t="s">
        <v>41</v>
      </c>
      <c r="C257" s="139">
        <v>3512.359164212</v>
      </c>
      <c r="D257" s="139" t="s">
        <v>390</v>
      </c>
      <c r="E257" s="139" t="s">
        <v>1740</v>
      </c>
    </row>
    <row r="258" spans="1:5">
      <c r="A258" s="139">
        <v>4</v>
      </c>
      <c r="B258" s="139" t="s">
        <v>42</v>
      </c>
      <c r="C258" s="139">
        <v>1974.4736422179999</v>
      </c>
      <c r="D258" s="139" t="s">
        <v>390</v>
      </c>
      <c r="E258" s="139" t="s">
        <v>1740</v>
      </c>
    </row>
    <row r="259" spans="1:5">
      <c r="A259" s="139">
        <v>5</v>
      </c>
      <c r="B259" s="139" t="s">
        <v>43</v>
      </c>
      <c r="C259" s="139">
        <v>0</v>
      </c>
      <c r="D259" s="139" t="s">
        <v>390</v>
      </c>
      <c r="E259" s="139" t="s">
        <v>1740</v>
      </c>
    </row>
    <row r="260" spans="1:5">
      <c r="A260" s="139">
        <v>0</v>
      </c>
      <c r="B260" s="139" t="s">
        <v>38</v>
      </c>
      <c r="C260" s="139">
        <v>1</v>
      </c>
      <c r="D260" s="139" t="s">
        <v>395</v>
      </c>
      <c r="E260" s="139" t="s">
        <v>1740</v>
      </c>
    </row>
    <row r="261" spans="1:5">
      <c r="A261" s="139">
        <v>1</v>
      </c>
      <c r="B261" s="139" t="s">
        <v>39</v>
      </c>
      <c r="C261" s="139">
        <v>16</v>
      </c>
      <c r="D261" s="139" t="s">
        <v>395</v>
      </c>
      <c r="E261" s="139" t="s">
        <v>1740</v>
      </c>
    </row>
    <row r="262" spans="1:5">
      <c r="A262" s="139">
        <v>2</v>
      </c>
      <c r="B262" s="139" t="s">
        <v>40</v>
      </c>
      <c r="C262" s="139">
        <v>41.989116133000003</v>
      </c>
      <c r="D262" s="139" t="s">
        <v>395</v>
      </c>
      <c r="E262" s="139" t="s">
        <v>1740</v>
      </c>
    </row>
    <row r="263" spans="1:5">
      <c r="A263" s="139">
        <v>3</v>
      </c>
      <c r="B263" s="139" t="s">
        <v>41</v>
      </c>
      <c r="C263" s="139">
        <v>3512.359164212</v>
      </c>
      <c r="D263" s="139" t="s">
        <v>395</v>
      </c>
      <c r="E263" s="139" t="s">
        <v>1740</v>
      </c>
    </row>
    <row r="264" spans="1:5">
      <c r="A264" s="139">
        <v>4</v>
      </c>
      <c r="B264" s="139" t="s">
        <v>42</v>
      </c>
      <c r="C264" s="139">
        <v>1974.4736422179999</v>
      </c>
      <c r="D264" s="139" t="s">
        <v>395</v>
      </c>
      <c r="E264" s="139" t="s">
        <v>1740</v>
      </c>
    </row>
    <row r="265" spans="1:5">
      <c r="A265" s="139">
        <v>5</v>
      </c>
      <c r="B265" s="139" t="s">
        <v>43</v>
      </c>
      <c r="C265" s="139">
        <v>0</v>
      </c>
      <c r="D265" s="139" t="s">
        <v>395</v>
      </c>
      <c r="E265" s="139" t="s">
        <v>1740</v>
      </c>
    </row>
    <row r="266" spans="1:5">
      <c r="A266" s="139">
        <v>0</v>
      </c>
      <c r="B266" s="139" t="s">
        <v>38</v>
      </c>
      <c r="C266" s="139">
        <v>1</v>
      </c>
      <c r="D266" s="139" t="s">
        <v>396</v>
      </c>
      <c r="E266" s="139" t="s">
        <v>1740</v>
      </c>
    </row>
    <row r="267" spans="1:5">
      <c r="A267" s="139">
        <v>1</v>
      </c>
      <c r="B267" s="139" t="s">
        <v>39</v>
      </c>
      <c r="C267" s="139">
        <v>16</v>
      </c>
      <c r="D267" s="139" t="s">
        <v>396</v>
      </c>
      <c r="E267" s="139" t="s">
        <v>1740</v>
      </c>
    </row>
    <row r="268" spans="1:5">
      <c r="A268" s="139">
        <v>2</v>
      </c>
      <c r="B268" s="139" t="s">
        <v>40</v>
      </c>
      <c r="C268" s="139">
        <v>41.989116133000003</v>
      </c>
      <c r="D268" s="139" t="s">
        <v>396</v>
      </c>
      <c r="E268" s="139" t="s">
        <v>1740</v>
      </c>
    </row>
    <row r="269" spans="1:5">
      <c r="A269" s="139">
        <v>3</v>
      </c>
      <c r="B269" s="139" t="s">
        <v>41</v>
      </c>
      <c r="C269" s="139">
        <v>3512.359164212</v>
      </c>
      <c r="D269" s="139" t="s">
        <v>396</v>
      </c>
      <c r="E269" s="139" t="s">
        <v>1740</v>
      </c>
    </row>
    <row r="270" spans="1:5">
      <c r="A270" s="139">
        <v>4</v>
      </c>
      <c r="B270" s="139" t="s">
        <v>42</v>
      </c>
      <c r="C270" s="139">
        <v>1974.4736422179999</v>
      </c>
      <c r="D270" s="139" t="s">
        <v>396</v>
      </c>
      <c r="E270" s="139" t="s">
        <v>1740</v>
      </c>
    </row>
    <row r="271" spans="1:5">
      <c r="A271" s="139">
        <v>5</v>
      </c>
      <c r="B271" s="139" t="s">
        <v>43</v>
      </c>
      <c r="C271" s="139">
        <v>0</v>
      </c>
      <c r="D271" s="139" t="s">
        <v>396</v>
      </c>
      <c r="E271" s="139" t="s">
        <v>1740</v>
      </c>
    </row>
    <row r="272" spans="1:5">
      <c r="A272" s="139">
        <v>0</v>
      </c>
      <c r="B272" s="139" t="s">
        <v>38</v>
      </c>
      <c r="C272" s="139">
        <v>1</v>
      </c>
      <c r="D272" s="139" t="s">
        <v>397</v>
      </c>
      <c r="E272" s="139" t="s">
        <v>1740</v>
      </c>
    </row>
    <row r="273" spans="1:5">
      <c r="A273" s="139">
        <v>1</v>
      </c>
      <c r="B273" s="139" t="s">
        <v>39</v>
      </c>
      <c r="C273" s="139">
        <v>16</v>
      </c>
      <c r="D273" s="139" t="s">
        <v>397</v>
      </c>
      <c r="E273" s="139" t="s">
        <v>1740</v>
      </c>
    </row>
    <row r="274" spans="1:5">
      <c r="A274" s="139">
        <v>2</v>
      </c>
      <c r="B274" s="139" t="s">
        <v>40</v>
      </c>
      <c r="C274" s="139">
        <v>41.989116133000003</v>
      </c>
      <c r="D274" s="139" t="s">
        <v>397</v>
      </c>
      <c r="E274" s="139" t="s">
        <v>1740</v>
      </c>
    </row>
    <row r="275" spans="1:5">
      <c r="A275" s="139">
        <v>3</v>
      </c>
      <c r="B275" s="139" t="s">
        <v>41</v>
      </c>
      <c r="C275" s="139">
        <v>3512.359164212</v>
      </c>
      <c r="D275" s="139" t="s">
        <v>397</v>
      </c>
      <c r="E275" s="139" t="s">
        <v>1740</v>
      </c>
    </row>
    <row r="276" spans="1:5">
      <c r="A276" s="139">
        <v>4</v>
      </c>
      <c r="B276" s="139" t="s">
        <v>42</v>
      </c>
      <c r="C276" s="139">
        <v>1974.4736422179999</v>
      </c>
      <c r="D276" s="139" t="s">
        <v>397</v>
      </c>
      <c r="E276" s="139" t="s">
        <v>1740</v>
      </c>
    </row>
    <row r="277" spans="1:5">
      <c r="A277" s="139">
        <v>5</v>
      </c>
      <c r="B277" s="139" t="s">
        <v>43</v>
      </c>
      <c r="C277" s="139">
        <v>0</v>
      </c>
      <c r="D277" s="139" t="s">
        <v>397</v>
      </c>
      <c r="E277" s="139" t="s">
        <v>1740</v>
      </c>
    </row>
    <row r="278" spans="1:5">
      <c r="A278" s="139">
        <v>0</v>
      </c>
      <c r="B278" s="139" t="s">
        <v>38</v>
      </c>
      <c r="C278" s="139">
        <v>1</v>
      </c>
      <c r="D278" s="139" t="s">
        <v>398</v>
      </c>
      <c r="E278" s="139" t="s">
        <v>1740</v>
      </c>
    </row>
    <row r="279" spans="1:5">
      <c r="A279" s="139">
        <v>1</v>
      </c>
      <c r="B279" s="139" t="s">
        <v>39</v>
      </c>
      <c r="C279" s="139">
        <v>16</v>
      </c>
      <c r="D279" s="139" t="s">
        <v>398</v>
      </c>
      <c r="E279" s="139" t="s">
        <v>1740</v>
      </c>
    </row>
    <row r="280" spans="1:5">
      <c r="A280" s="139">
        <v>2</v>
      </c>
      <c r="B280" s="139" t="s">
        <v>40</v>
      </c>
      <c r="C280" s="139">
        <v>41.989116133000003</v>
      </c>
      <c r="D280" s="139" t="s">
        <v>398</v>
      </c>
      <c r="E280" s="139" t="s">
        <v>1740</v>
      </c>
    </row>
    <row r="281" spans="1:5">
      <c r="A281" s="139">
        <v>3</v>
      </c>
      <c r="B281" s="139" t="s">
        <v>41</v>
      </c>
      <c r="C281" s="139">
        <v>3512.359164212</v>
      </c>
      <c r="D281" s="139" t="s">
        <v>398</v>
      </c>
      <c r="E281" s="139" t="s">
        <v>1740</v>
      </c>
    </row>
    <row r="282" spans="1:5">
      <c r="A282" s="139">
        <v>4</v>
      </c>
      <c r="B282" s="139" t="s">
        <v>42</v>
      </c>
      <c r="C282" s="139">
        <v>1974.4736422179999</v>
      </c>
      <c r="D282" s="139" t="s">
        <v>398</v>
      </c>
      <c r="E282" s="139" t="s">
        <v>1740</v>
      </c>
    </row>
    <row r="283" spans="1:5">
      <c r="A283" s="139">
        <v>5</v>
      </c>
      <c r="B283" s="139" t="s">
        <v>43</v>
      </c>
      <c r="C283" s="139">
        <v>0</v>
      </c>
      <c r="D283" s="139" t="s">
        <v>398</v>
      </c>
      <c r="E283" s="139" t="s">
        <v>1740</v>
      </c>
    </row>
    <row r="284" spans="1:5">
      <c r="A284" s="139">
        <v>0</v>
      </c>
      <c r="B284" s="139" t="s">
        <v>38</v>
      </c>
      <c r="C284" s="139">
        <v>1</v>
      </c>
      <c r="D284" s="139" t="s">
        <v>399</v>
      </c>
      <c r="E284" s="139" t="s">
        <v>1740</v>
      </c>
    </row>
    <row r="285" spans="1:5">
      <c r="A285" s="139">
        <v>1</v>
      </c>
      <c r="B285" s="139" t="s">
        <v>39</v>
      </c>
      <c r="C285" s="139">
        <v>16</v>
      </c>
      <c r="D285" s="139" t="s">
        <v>399</v>
      </c>
      <c r="E285" s="139" t="s">
        <v>1740</v>
      </c>
    </row>
    <row r="286" spans="1:5">
      <c r="A286" s="139">
        <v>2</v>
      </c>
      <c r="B286" s="139" t="s">
        <v>40</v>
      </c>
      <c r="C286" s="139">
        <v>41.989116133000003</v>
      </c>
      <c r="D286" s="139" t="s">
        <v>399</v>
      </c>
      <c r="E286" s="139" t="s">
        <v>1740</v>
      </c>
    </row>
    <row r="287" spans="1:5">
      <c r="A287" s="139">
        <v>3</v>
      </c>
      <c r="B287" s="139" t="s">
        <v>41</v>
      </c>
      <c r="C287" s="139">
        <v>3512.359164212</v>
      </c>
      <c r="D287" s="139" t="s">
        <v>399</v>
      </c>
      <c r="E287" s="139" t="s">
        <v>1740</v>
      </c>
    </row>
    <row r="288" spans="1:5">
      <c r="A288" s="139">
        <v>4</v>
      </c>
      <c r="B288" s="139" t="s">
        <v>42</v>
      </c>
      <c r="C288" s="139">
        <v>1974.4736422179999</v>
      </c>
      <c r="D288" s="139" t="s">
        <v>399</v>
      </c>
      <c r="E288" s="139" t="s">
        <v>1740</v>
      </c>
    </row>
    <row r="289" spans="1:5">
      <c r="A289" s="139">
        <v>5</v>
      </c>
      <c r="B289" s="139" t="s">
        <v>43</v>
      </c>
      <c r="C289" s="139">
        <v>0</v>
      </c>
      <c r="D289" s="139" t="s">
        <v>399</v>
      </c>
      <c r="E289" s="139" t="s">
        <v>1740</v>
      </c>
    </row>
    <row r="290" spans="1:5">
      <c r="A290" s="139">
        <v>0</v>
      </c>
      <c r="B290" s="139" t="s">
        <v>38</v>
      </c>
      <c r="C290" s="139">
        <v>1</v>
      </c>
      <c r="D290" s="139" t="s">
        <v>400</v>
      </c>
      <c r="E290" s="139" t="s">
        <v>1740</v>
      </c>
    </row>
    <row r="291" spans="1:5">
      <c r="A291" s="139">
        <v>1</v>
      </c>
      <c r="B291" s="139" t="s">
        <v>39</v>
      </c>
      <c r="C291" s="139">
        <v>16</v>
      </c>
      <c r="D291" s="139" t="s">
        <v>400</v>
      </c>
      <c r="E291" s="139" t="s">
        <v>1740</v>
      </c>
    </row>
    <row r="292" spans="1:5">
      <c r="A292" s="139">
        <v>2</v>
      </c>
      <c r="B292" s="139" t="s">
        <v>40</v>
      </c>
      <c r="C292" s="139">
        <v>41.989116133000003</v>
      </c>
      <c r="D292" s="139" t="s">
        <v>400</v>
      </c>
      <c r="E292" s="139" t="s">
        <v>1740</v>
      </c>
    </row>
    <row r="293" spans="1:5">
      <c r="A293" s="139">
        <v>3</v>
      </c>
      <c r="B293" s="139" t="s">
        <v>41</v>
      </c>
      <c r="C293" s="139">
        <v>3512.359164212</v>
      </c>
      <c r="D293" s="139" t="s">
        <v>400</v>
      </c>
      <c r="E293" s="139" t="s">
        <v>1740</v>
      </c>
    </row>
    <row r="294" spans="1:5">
      <c r="A294" s="139">
        <v>4</v>
      </c>
      <c r="B294" s="139" t="s">
        <v>42</v>
      </c>
      <c r="C294" s="139">
        <v>1974.4736422179999</v>
      </c>
      <c r="D294" s="139" t="s">
        <v>400</v>
      </c>
      <c r="E294" s="139" t="s">
        <v>1740</v>
      </c>
    </row>
    <row r="295" spans="1:5">
      <c r="A295" s="139">
        <v>5</v>
      </c>
      <c r="B295" s="139" t="s">
        <v>43</v>
      </c>
      <c r="C295" s="139">
        <v>0</v>
      </c>
      <c r="D295" s="139" t="s">
        <v>400</v>
      </c>
      <c r="E295" s="139" t="s">
        <v>1740</v>
      </c>
    </row>
    <row r="296" spans="1:5">
      <c r="A296" s="139">
        <v>0</v>
      </c>
      <c r="B296" s="139" t="s">
        <v>38</v>
      </c>
      <c r="C296" s="139">
        <v>1</v>
      </c>
      <c r="D296" s="139" t="s">
        <v>401</v>
      </c>
      <c r="E296" s="139" t="s">
        <v>1740</v>
      </c>
    </row>
    <row r="297" spans="1:5">
      <c r="A297" s="139">
        <v>1</v>
      </c>
      <c r="B297" s="139" t="s">
        <v>39</v>
      </c>
      <c r="C297" s="139">
        <v>16</v>
      </c>
      <c r="D297" s="139" t="s">
        <v>401</v>
      </c>
      <c r="E297" s="139" t="s">
        <v>1740</v>
      </c>
    </row>
    <row r="298" spans="1:5">
      <c r="A298" s="139">
        <v>2</v>
      </c>
      <c r="B298" s="139" t="s">
        <v>40</v>
      </c>
      <c r="C298" s="139">
        <v>41.989116133000003</v>
      </c>
      <c r="D298" s="139" t="s">
        <v>401</v>
      </c>
      <c r="E298" s="139" t="s">
        <v>1740</v>
      </c>
    </row>
    <row r="299" spans="1:5">
      <c r="A299" s="139">
        <v>3</v>
      </c>
      <c r="B299" s="139" t="s">
        <v>41</v>
      </c>
      <c r="C299" s="139">
        <v>3512.359164212</v>
      </c>
      <c r="D299" s="139" t="s">
        <v>401</v>
      </c>
      <c r="E299" s="139" t="s">
        <v>1740</v>
      </c>
    </row>
    <row r="300" spans="1:5">
      <c r="A300" s="139">
        <v>4</v>
      </c>
      <c r="B300" s="139" t="s">
        <v>42</v>
      </c>
      <c r="C300" s="139">
        <v>1974.4736422179999</v>
      </c>
      <c r="D300" s="139" t="s">
        <v>401</v>
      </c>
      <c r="E300" s="139" t="s">
        <v>1740</v>
      </c>
    </row>
    <row r="301" spans="1:5">
      <c r="A301" s="139">
        <v>5</v>
      </c>
      <c r="B301" s="139" t="s">
        <v>43</v>
      </c>
      <c r="C301" s="139">
        <v>0</v>
      </c>
      <c r="D301" s="139" t="s">
        <v>401</v>
      </c>
      <c r="E301" s="139" t="s">
        <v>1740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K301"/>
  <sheetViews>
    <sheetView workbookViewId="0"/>
  </sheetViews>
  <sheetFormatPr defaultRowHeight="14.75"/>
  <cols>
    <col min="2" max="10" width="8.40625" customWidth="1"/>
  </cols>
  <sheetData>
    <row r="1" spans="1:11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6">
        <v>0</v>
      </c>
      <c r="B2" s="16" t="s">
        <v>38</v>
      </c>
      <c r="C2" s="16">
        <v>1.3018081401348E-3</v>
      </c>
      <c r="D2" s="16">
        <v>3.3031749575120002E-4</v>
      </c>
      <c r="E2" s="16">
        <v>3.1903543133530001E-4</v>
      </c>
      <c r="F2" s="16">
        <v>3.8594187567879998E-4</v>
      </c>
      <c r="G2" s="16">
        <v>6.3946128345579998E-4</v>
      </c>
      <c r="H2" s="16">
        <v>2.8289784339339998E-4</v>
      </c>
      <c r="I2" s="16">
        <v>5.8506340922450002E-4</v>
      </c>
      <c r="J2" s="16" t="s">
        <v>132</v>
      </c>
      <c r="K2" s="16" t="s">
        <v>1877</v>
      </c>
    </row>
    <row r="3" spans="1:11">
      <c r="A3" s="16">
        <v>1</v>
      </c>
      <c r="B3" s="16" t="s">
        <v>39</v>
      </c>
      <c r="C3" s="16">
        <v>3.4003581782857E-3</v>
      </c>
      <c r="D3" s="16">
        <v>2.8226770072497E-3</v>
      </c>
      <c r="E3" s="16">
        <v>9.1563612345909999E-4</v>
      </c>
      <c r="F3" s="16">
        <v>1.0581562199093999E-3</v>
      </c>
      <c r="G3" s="16">
        <v>2.3463672970162998E-3</v>
      </c>
      <c r="H3" s="16">
        <v>3.0762664275575001E-3</v>
      </c>
      <c r="I3" s="16">
        <v>3.1744686597282002E-3</v>
      </c>
      <c r="J3" s="16" t="s">
        <v>132</v>
      </c>
      <c r="K3" s="16" t="s">
        <v>1877</v>
      </c>
    </row>
    <row r="4" spans="1:11">
      <c r="A4" s="16">
        <v>2</v>
      </c>
      <c r="B4" s="16" t="s">
        <v>40</v>
      </c>
      <c r="C4" s="16">
        <v>1.6475083571845001E-3</v>
      </c>
      <c r="D4" s="16">
        <v>5.1268752410850004E-4</v>
      </c>
      <c r="E4" s="16">
        <v>5.1268752410850004E-4</v>
      </c>
      <c r="F4" s="16">
        <v>5.1268752410850004E-4</v>
      </c>
      <c r="G4" s="16">
        <v>0</v>
      </c>
      <c r="H4" s="16">
        <v>0</v>
      </c>
      <c r="I4" s="16">
        <v>1.5380625723256001E-3</v>
      </c>
      <c r="J4" s="16" t="s">
        <v>132</v>
      </c>
      <c r="K4" s="16" t="s">
        <v>1877</v>
      </c>
    </row>
    <row r="5" spans="1:11">
      <c r="A5" s="16">
        <v>3</v>
      </c>
      <c r="B5" s="16" t="s">
        <v>41</v>
      </c>
      <c r="C5" s="16">
        <v>7.5686214263260003E-4</v>
      </c>
      <c r="D5" s="95">
        <v>7.1745362435244995E-5</v>
      </c>
      <c r="E5" s="95">
        <v>7.1745362435244995E-5</v>
      </c>
      <c r="F5" s="95">
        <v>7.1745362435244995E-5</v>
      </c>
      <c r="G5" s="16">
        <v>0</v>
      </c>
      <c r="H5" s="16">
        <v>0</v>
      </c>
      <c r="I5" s="16">
        <v>2.1523608730569999E-4</v>
      </c>
      <c r="J5" s="16" t="s">
        <v>132</v>
      </c>
      <c r="K5" s="16" t="s">
        <v>1877</v>
      </c>
    </row>
    <row r="6" spans="1:11">
      <c r="A6" s="16">
        <v>4</v>
      </c>
      <c r="B6" s="16" t="s">
        <v>42</v>
      </c>
      <c r="C6" s="95">
        <v>4.0472255247854701E-5</v>
      </c>
      <c r="D6" s="16">
        <v>0</v>
      </c>
      <c r="E6" s="95">
        <v>1.25945463327246E-5</v>
      </c>
      <c r="F6" s="95">
        <v>1.25945463327246E-5</v>
      </c>
      <c r="G6" s="16">
        <v>0</v>
      </c>
      <c r="H6" s="16">
        <v>0</v>
      </c>
      <c r="I6" s="95">
        <v>3.7783638998173901E-5</v>
      </c>
      <c r="J6" s="16" t="s">
        <v>132</v>
      </c>
      <c r="K6" s="16" t="s">
        <v>1877</v>
      </c>
    </row>
    <row r="7" spans="1:11">
      <c r="A7" s="16">
        <v>5</v>
      </c>
      <c r="B7" s="16" t="s">
        <v>43</v>
      </c>
      <c r="C7" s="16">
        <v>4.5678462664228E-3</v>
      </c>
      <c r="D7" s="16">
        <v>1.4345302324303001E-3</v>
      </c>
      <c r="E7" s="16">
        <v>1.4345302324303001E-3</v>
      </c>
      <c r="F7" s="16">
        <v>1.4345302324303001E-3</v>
      </c>
      <c r="G7" s="16">
        <v>3.1578540511261002E-3</v>
      </c>
      <c r="H7" s="16">
        <v>1.1117609301334E-3</v>
      </c>
      <c r="I7" s="16">
        <v>4.3035906972908999E-3</v>
      </c>
      <c r="J7" s="16" t="s">
        <v>132</v>
      </c>
      <c r="K7" s="16" t="s">
        <v>1877</v>
      </c>
    </row>
    <row r="8" spans="1:11">
      <c r="A8" s="16">
        <v>0</v>
      </c>
      <c r="B8" s="16" t="s">
        <v>38</v>
      </c>
      <c r="C8" s="16">
        <v>1.3018081401348E-3</v>
      </c>
      <c r="D8" s="16">
        <v>3.3031749575120002E-4</v>
      </c>
      <c r="E8" s="16">
        <v>3.1903543133530001E-4</v>
      </c>
      <c r="F8" s="16">
        <v>3.8594187567879998E-4</v>
      </c>
      <c r="G8" s="16">
        <v>6.3946128345579998E-4</v>
      </c>
      <c r="H8" s="16">
        <v>2.8289784339339998E-4</v>
      </c>
      <c r="I8" s="16">
        <v>5.8506340922450002E-4</v>
      </c>
      <c r="J8" s="16" t="s">
        <v>348</v>
      </c>
      <c r="K8" s="16" t="s">
        <v>1877</v>
      </c>
    </row>
    <row r="9" spans="1:11">
      <c r="A9" s="16">
        <v>1</v>
      </c>
      <c r="B9" s="16" t="s">
        <v>39</v>
      </c>
      <c r="C9" s="16">
        <v>3.4003581782857E-3</v>
      </c>
      <c r="D9" s="16">
        <v>2.8226770072497E-3</v>
      </c>
      <c r="E9" s="16">
        <v>9.1563612345909999E-4</v>
      </c>
      <c r="F9" s="16">
        <v>1.0581562199093999E-3</v>
      </c>
      <c r="G9" s="16">
        <v>2.3463672970162998E-3</v>
      </c>
      <c r="H9" s="16">
        <v>3.0762664275575001E-3</v>
      </c>
      <c r="I9" s="16">
        <v>3.1744686597282002E-3</v>
      </c>
      <c r="J9" s="16" t="s">
        <v>348</v>
      </c>
      <c r="K9" s="16" t="s">
        <v>1877</v>
      </c>
    </row>
    <row r="10" spans="1:11">
      <c r="A10" s="16">
        <v>2</v>
      </c>
      <c r="B10" s="16" t="s">
        <v>40</v>
      </c>
      <c r="C10" s="16">
        <v>1.6475083571845001E-3</v>
      </c>
      <c r="D10" s="16">
        <v>5.1268752410850004E-4</v>
      </c>
      <c r="E10" s="16">
        <v>5.1268752410850004E-4</v>
      </c>
      <c r="F10" s="16">
        <v>5.1268752410850004E-4</v>
      </c>
      <c r="G10" s="16">
        <v>0</v>
      </c>
      <c r="H10" s="16">
        <v>0</v>
      </c>
      <c r="I10" s="16">
        <v>1.5380625723256001E-3</v>
      </c>
      <c r="J10" s="16" t="s">
        <v>348</v>
      </c>
      <c r="K10" s="16" t="s">
        <v>1877</v>
      </c>
    </row>
    <row r="11" spans="1:11">
      <c r="A11" s="16">
        <v>3</v>
      </c>
      <c r="B11" s="16" t="s">
        <v>41</v>
      </c>
      <c r="C11" s="16">
        <v>7.5686214263260003E-4</v>
      </c>
      <c r="D11" s="95">
        <v>7.1745362435244995E-5</v>
      </c>
      <c r="E11" s="95">
        <v>7.1745362435244995E-5</v>
      </c>
      <c r="F11" s="95">
        <v>7.1745362435244995E-5</v>
      </c>
      <c r="G11" s="16">
        <v>0</v>
      </c>
      <c r="H11" s="16">
        <v>0</v>
      </c>
      <c r="I11" s="16">
        <v>2.1523608730569999E-4</v>
      </c>
      <c r="J11" s="16" t="s">
        <v>348</v>
      </c>
      <c r="K11" s="16" t="s">
        <v>1877</v>
      </c>
    </row>
    <row r="12" spans="1:11">
      <c r="A12" s="16">
        <v>4</v>
      </c>
      <c r="B12" s="16" t="s">
        <v>42</v>
      </c>
      <c r="C12" s="95">
        <v>4.0472255247854701E-5</v>
      </c>
      <c r="D12" s="16">
        <v>0</v>
      </c>
      <c r="E12" s="95">
        <v>1.25945463327246E-5</v>
      </c>
      <c r="F12" s="95">
        <v>1.25945463327246E-5</v>
      </c>
      <c r="G12" s="16">
        <v>0</v>
      </c>
      <c r="H12" s="16">
        <v>0</v>
      </c>
      <c r="I12" s="95">
        <v>3.7783638998173901E-5</v>
      </c>
      <c r="J12" s="16" t="s">
        <v>348</v>
      </c>
      <c r="K12" s="16" t="s">
        <v>1877</v>
      </c>
    </row>
    <row r="13" spans="1:11">
      <c r="A13" s="16">
        <v>5</v>
      </c>
      <c r="B13" s="16" t="s">
        <v>43</v>
      </c>
      <c r="C13" s="16">
        <v>4.5678462664228E-3</v>
      </c>
      <c r="D13" s="16">
        <v>1.4345302324303001E-3</v>
      </c>
      <c r="E13" s="16">
        <v>1.4345302324303001E-3</v>
      </c>
      <c r="F13" s="16">
        <v>1.4345302324303001E-3</v>
      </c>
      <c r="G13" s="16">
        <v>3.1578540511261002E-3</v>
      </c>
      <c r="H13" s="16">
        <v>1.1117609301334E-3</v>
      </c>
      <c r="I13" s="16">
        <v>4.3035906972908999E-3</v>
      </c>
      <c r="J13" s="16" t="s">
        <v>348</v>
      </c>
      <c r="K13" s="16" t="s">
        <v>1877</v>
      </c>
    </row>
    <row r="14" spans="1:11">
      <c r="A14" s="16">
        <v>0</v>
      </c>
      <c r="B14" s="16" t="s">
        <v>38</v>
      </c>
      <c r="C14" s="16">
        <v>1.3018081401348E-3</v>
      </c>
      <c r="D14" s="16">
        <v>3.3031749575120002E-4</v>
      </c>
      <c r="E14" s="16">
        <v>3.1903543133530001E-4</v>
      </c>
      <c r="F14" s="16">
        <v>3.8594187567879998E-4</v>
      </c>
      <c r="G14" s="16">
        <v>6.3946128345579998E-4</v>
      </c>
      <c r="H14" s="16">
        <v>2.8289784339339998E-4</v>
      </c>
      <c r="I14" s="16">
        <v>5.8506340922450002E-4</v>
      </c>
      <c r="J14" s="16" t="s">
        <v>349</v>
      </c>
      <c r="K14" s="16" t="s">
        <v>1877</v>
      </c>
    </row>
    <row r="15" spans="1:11">
      <c r="A15" s="16">
        <v>1</v>
      </c>
      <c r="B15" s="16" t="s">
        <v>39</v>
      </c>
      <c r="C15" s="16">
        <v>3.4003581782857E-3</v>
      </c>
      <c r="D15" s="16">
        <v>2.8226770072497E-3</v>
      </c>
      <c r="E15" s="16">
        <v>9.1563612345909999E-4</v>
      </c>
      <c r="F15" s="16">
        <v>1.0581562199093999E-3</v>
      </c>
      <c r="G15" s="16">
        <v>2.3463672970162998E-3</v>
      </c>
      <c r="H15" s="16">
        <v>3.0762664275575001E-3</v>
      </c>
      <c r="I15" s="16">
        <v>3.1744686597282002E-3</v>
      </c>
      <c r="J15" s="16" t="s">
        <v>349</v>
      </c>
      <c r="K15" s="16" t="s">
        <v>1877</v>
      </c>
    </row>
    <row r="16" spans="1:11">
      <c r="A16" s="16">
        <v>2</v>
      </c>
      <c r="B16" s="16" t="s">
        <v>40</v>
      </c>
      <c r="C16" s="16">
        <v>1.6475083571845001E-3</v>
      </c>
      <c r="D16" s="16">
        <v>5.1268752410850004E-4</v>
      </c>
      <c r="E16" s="16">
        <v>5.1268752410850004E-4</v>
      </c>
      <c r="F16" s="16">
        <v>5.1268752410850004E-4</v>
      </c>
      <c r="G16" s="16">
        <v>0</v>
      </c>
      <c r="H16" s="16">
        <v>0</v>
      </c>
      <c r="I16" s="16">
        <v>1.5380625723256001E-3</v>
      </c>
      <c r="J16" s="16" t="s">
        <v>349</v>
      </c>
      <c r="K16" s="16" t="s">
        <v>1877</v>
      </c>
    </row>
    <row r="17" spans="1:11">
      <c r="A17" s="16">
        <v>3</v>
      </c>
      <c r="B17" s="16" t="s">
        <v>41</v>
      </c>
      <c r="C17" s="16">
        <v>7.5686214263260003E-4</v>
      </c>
      <c r="D17" s="95">
        <v>7.1745362435244995E-5</v>
      </c>
      <c r="E17" s="95">
        <v>7.1745362435244995E-5</v>
      </c>
      <c r="F17" s="95">
        <v>7.1745362435244995E-5</v>
      </c>
      <c r="G17" s="16">
        <v>0</v>
      </c>
      <c r="H17" s="16">
        <v>0</v>
      </c>
      <c r="I17" s="16">
        <v>2.1523608730569999E-4</v>
      </c>
      <c r="J17" s="16" t="s">
        <v>349</v>
      </c>
      <c r="K17" s="16" t="s">
        <v>1877</v>
      </c>
    </row>
    <row r="18" spans="1:11">
      <c r="A18" s="16">
        <v>4</v>
      </c>
      <c r="B18" s="16" t="s">
        <v>42</v>
      </c>
      <c r="C18" s="95">
        <v>4.0472255247854701E-5</v>
      </c>
      <c r="D18" s="16">
        <v>0</v>
      </c>
      <c r="E18" s="95">
        <v>1.25945463327246E-5</v>
      </c>
      <c r="F18" s="95">
        <v>1.25945463327246E-5</v>
      </c>
      <c r="G18" s="16">
        <v>0</v>
      </c>
      <c r="H18" s="16">
        <v>0</v>
      </c>
      <c r="I18" s="95">
        <v>3.7783638998173901E-5</v>
      </c>
      <c r="J18" s="16" t="s">
        <v>349</v>
      </c>
      <c r="K18" s="16" t="s">
        <v>1877</v>
      </c>
    </row>
    <row r="19" spans="1:11">
      <c r="A19" s="16">
        <v>5</v>
      </c>
      <c r="B19" s="16" t="s">
        <v>43</v>
      </c>
      <c r="C19" s="16">
        <v>4.5678462664228E-3</v>
      </c>
      <c r="D19" s="16">
        <v>1.4345302324303001E-3</v>
      </c>
      <c r="E19" s="16">
        <v>1.4345302324303001E-3</v>
      </c>
      <c r="F19" s="16">
        <v>1.4345302324303001E-3</v>
      </c>
      <c r="G19" s="16">
        <v>3.1578540511261002E-3</v>
      </c>
      <c r="H19" s="16">
        <v>1.1117609301334E-3</v>
      </c>
      <c r="I19" s="16">
        <v>4.3035906972908999E-3</v>
      </c>
      <c r="J19" s="16" t="s">
        <v>349</v>
      </c>
      <c r="K19" s="16" t="s">
        <v>1877</v>
      </c>
    </row>
    <row r="20" spans="1:11">
      <c r="A20" s="16">
        <v>0</v>
      </c>
      <c r="B20" s="16" t="s">
        <v>38</v>
      </c>
      <c r="C20" s="16">
        <v>1.3018081401348E-3</v>
      </c>
      <c r="D20" s="16">
        <v>3.3031749575120002E-4</v>
      </c>
      <c r="E20" s="16">
        <v>3.1903543133530001E-4</v>
      </c>
      <c r="F20" s="16">
        <v>3.8594187567879998E-4</v>
      </c>
      <c r="G20" s="16">
        <v>6.3946128345579998E-4</v>
      </c>
      <c r="H20" s="16">
        <v>2.8289784339339998E-4</v>
      </c>
      <c r="I20" s="16">
        <v>5.8506340922450002E-4</v>
      </c>
      <c r="J20" s="16" t="s">
        <v>350</v>
      </c>
      <c r="K20" s="16" t="s">
        <v>1877</v>
      </c>
    </row>
    <row r="21" spans="1:11">
      <c r="A21" s="16">
        <v>1</v>
      </c>
      <c r="B21" s="16" t="s">
        <v>39</v>
      </c>
      <c r="C21" s="16">
        <v>3.4003581782857E-3</v>
      </c>
      <c r="D21" s="16">
        <v>2.8226770072497E-3</v>
      </c>
      <c r="E21" s="16">
        <v>9.1563612345909999E-4</v>
      </c>
      <c r="F21" s="16">
        <v>1.0581562199093999E-3</v>
      </c>
      <c r="G21" s="16">
        <v>2.3463672970162998E-3</v>
      </c>
      <c r="H21" s="16">
        <v>3.0762664275575001E-3</v>
      </c>
      <c r="I21" s="16">
        <v>3.1744686597282002E-3</v>
      </c>
      <c r="J21" s="16" t="s">
        <v>350</v>
      </c>
      <c r="K21" s="16" t="s">
        <v>1877</v>
      </c>
    </row>
    <row r="22" spans="1:11">
      <c r="A22" s="16">
        <v>2</v>
      </c>
      <c r="B22" s="16" t="s">
        <v>40</v>
      </c>
      <c r="C22" s="16">
        <v>1.6475083571845001E-3</v>
      </c>
      <c r="D22" s="16">
        <v>5.1268752410850004E-4</v>
      </c>
      <c r="E22" s="16">
        <v>5.1268752410850004E-4</v>
      </c>
      <c r="F22" s="16">
        <v>5.1268752410850004E-4</v>
      </c>
      <c r="G22" s="16">
        <v>0</v>
      </c>
      <c r="H22" s="16">
        <v>0</v>
      </c>
      <c r="I22" s="16">
        <v>1.5380625723256001E-3</v>
      </c>
      <c r="J22" s="16" t="s">
        <v>350</v>
      </c>
      <c r="K22" s="16" t="s">
        <v>1877</v>
      </c>
    </row>
    <row r="23" spans="1:11">
      <c r="A23" s="16">
        <v>3</v>
      </c>
      <c r="B23" s="16" t="s">
        <v>41</v>
      </c>
      <c r="C23" s="16">
        <v>7.5686214263260003E-4</v>
      </c>
      <c r="D23" s="95">
        <v>7.1745362435244995E-5</v>
      </c>
      <c r="E23" s="95">
        <v>7.1745362435244995E-5</v>
      </c>
      <c r="F23" s="95">
        <v>7.1745362435244995E-5</v>
      </c>
      <c r="G23" s="16">
        <v>0</v>
      </c>
      <c r="H23" s="16">
        <v>0</v>
      </c>
      <c r="I23" s="16">
        <v>2.1523608730569999E-4</v>
      </c>
      <c r="J23" s="16" t="s">
        <v>350</v>
      </c>
      <c r="K23" s="16" t="s">
        <v>1877</v>
      </c>
    </row>
    <row r="24" spans="1:11">
      <c r="A24" s="16">
        <v>4</v>
      </c>
      <c r="B24" s="16" t="s">
        <v>42</v>
      </c>
      <c r="C24" s="95">
        <v>4.0472255247854701E-5</v>
      </c>
      <c r="D24" s="16">
        <v>0</v>
      </c>
      <c r="E24" s="95">
        <v>1.25945463327246E-5</v>
      </c>
      <c r="F24" s="95">
        <v>1.25945463327246E-5</v>
      </c>
      <c r="G24" s="16">
        <v>0</v>
      </c>
      <c r="H24" s="16">
        <v>0</v>
      </c>
      <c r="I24" s="95">
        <v>3.7783638998173901E-5</v>
      </c>
      <c r="J24" s="16" t="s">
        <v>350</v>
      </c>
      <c r="K24" s="16" t="s">
        <v>1877</v>
      </c>
    </row>
    <row r="25" spans="1:11">
      <c r="A25" s="16">
        <v>5</v>
      </c>
      <c r="B25" s="16" t="s">
        <v>43</v>
      </c>
      <c r="C25" s="16">
        <v>4.5678462664228E-3</v>
      </c>
      <c r="D25" s="16">
        <v>1.4345302324303001E-3</v>
      </c>
      <c r="E25" s="16">
        <v>1.4345302324303001E-3</v>
      </c>
      <c r="F25" s="16">
        <v>1.4345302324303001E-3</v>
      </c>
      <c r="G25" s="16">
        <v>3.1578540511261002E-3</v>
      </c>
      <c r="H25" s="16">
        <v>1.1117609301334E-3</v>
      </c>
      <c r="I25" s="16">
        <v>4.3035906972908999E-3</v>
      </c>
      <c r="J25" s="16" t="s">
        <v>350</v>
      </c>
      <c r="K25" s="16" t="s">
        <v>1877</v>
      </c>
    </row>
    <row r="26" spans="1:11">
      <c r="A26" s="16">
        <v>0</v>
      </c>
      <c r="B26" s="16" t="s">
        <v>38</v>
      </c>
      <c r="C26" s="16">
        <v>1.3018081401348E-3</v>
      </c>
      <c r="D26" s="16">
        <v>3.3031749575120002E-4</v>
      </c>
      <c r="E26" s="16">
        <v>3.1903543133530001E-4</v>
      </c>
      <c r="F26" s="16">
        <v>3.8594187567879998E-4</v>
      </c>
      <c r="G26" s="16">
        <v>6.3946128345579998E-4</v>
      </c>
      <c r="H26" s="16">
        <v>2.8289784339339998E-4</v>
      </c>
      <c r="I26" s="16">
        <v>5.8506340922450002E-4</v>
      </c>
      <c r="J26" s="16" t="s">
        <v>351</v>
      </c>
      <c r="K26" s="16" t="s">
        <v>1877</v>
      </c>
    </row>
    <row r="27" spans="1:11">
      <c r="A27" s="16">
        <v>1</v>
      </c>
      <c r="B27" s="16" t="s">
        <v>39</v>
      </c>
      <c r="C27" s="16">
        <v>3.4003581782857E-3</v>
      </c>
      <c r="D27" s="16">
        <v>2.8226770072497E-3</v>
      </c>
      <c r="E27" s="16">
        <v>9.1563612345909999E-4</v>
      </c>
      <c r="F27" s="16">
        <v>1.0581562199093999E-3</v>
      </c>
      <c r="G27" s="16">
        <v>2.3463672970162998E-3</v>
      </c>
      <c r="H27" s="16">
        <v>3.0762664275575001E-3</v>
      </c>
      <c r="I27" s="16">
        <v>3.1744686597282002E-3</v>
      </c>
      <c r="J27" s="16" t="s">
        <v>351</v>
      </c>
      <c r="K27" s="16" t="s">
        <v>1877</v>
      </c>
    </row>
    <row r="28" spans="1:11">
      <c r="A28" s="16">
        <v>2</v>
      </c>
      <c r="B28" s="16" t="s">
        <v>40</v>
      </c>
      <c r="C28" s="16">
        <v>1.6475083571845001E-3</v>
      </c>
      <c r="D28" s="16">
        <v>5.1268752410850004E-4</v>
      </c>
      <c r="E28" s="16">
        <v>5.1268752410850004E-4</v>
      </c>
      <c r="F28" s="16">
        <v>5.1268752410850004E-4</v>
      </c>
      <c r="G28" s="16">
        <v>0</v>
      </c>
      <c r="H28" s="16">
        <v>0</v>
      </c>
      <c r="I28" s="16">
        <v>1.5380625723256001E-3</v>
      </c>
      <c r="J28" s="16" t="s">
        <v>351</v>
      </c>
      <c r="K28" s="16" t="s">
        <v>1877</v>
      </c>
    </row>
    <row r="29" spans="1:11">
      <c r="A29" s="16">
        <v>3</v>
      </c>
      <c r="B29" s="16" t="s">
        <v>41</v>
      </c>
      <c r="C29" s="16">
        <v>7.5686214263260003E-4</v>
      </c>
      <c r="D29" s="95">
        <v>7.1745362435244995E-5</v>
      </c>
      <c r="E29" s="95">
        <v>7.1745362435244995E-5</v>
      </c>
      <c r="F29" s="95">
        <v>7.1745362435244995E-5</v>
      </c>
      <c r="G29" s="16">
        <v>0</v>
      </c>
      <c r="H29" s="16">
        <v>0</v>
      </c>
      <c r="I29" s="16">
        <v>2.1523608730569999E-4</v>
      </c>
      <c r="J29" s="16" t="s">
        <v>351</v>
      </c>
      <c r="K29" s="16" t="s">
        <v>1877</v>
      </c>
    </row>
    <row r="30" spans="1:11">
      <c r="A30" s="16">
        <v>4</v>
      </c>
      <c r="B30" s="16" t="s">
        <v>42</v>
      </c>
      <c r="C30" s="95">
        <v>4.0472255247854701E-5</v>
      </c>
      <c r="D30" s="16">
        <v>0</v>
      </c>
      <c r="E30" s="95">
        <v>1.25945463327246E-5</v>
      </c>
      <c r="F30" s="95">
        <v>1.25945463327246E-5</v>
      </c>
      <c r="G30" s="16">
        <v>0</v>
      </c>
      <c r="H30" s="16">
        <v>0</v>
      </c>
      <c r="I30" s="95">
        <v>3.7783638998173901E-5</v>
      </c>
      <c r="J30" s="16" t="s">
        <v>351</v>
      </c>
      <c r="K30" s="16" t="s">
        <v>1877</v>
      </c>
    </row>
    <row r="31" spans="1:11">
      <c r="A31" s="16">
        <v>5</v>
      </c>
      <c r="B31" s="16" t="s">
        <v>43</v>
      </c>
      <c r="C31" s="16">
        <v>4.5678462664228E-3</v>
      </c>
      <c r="D31" s="16">
        <v>1.4345302324303001E-3</v>
      </c>
      <c r="E31" s="16">
        <v>1.4345302324303001E-3</v>
      </c>
      <c r="F31" s="16">
        <v>1.4345302324303001E-3</v>
      </c>
      <c r="G31" s="16">
        <v>3.1578540511261002E-3</v>
      </c>
      <c r="H31" s="16">
        <v>1.1117609301334E-3</v>
      </c>
      <c r="I31" s="16">
        <v>4.3035906972908999E-3</v>
      </c>
      <c r="J31" s="16" t="s">
        <v>351</v>
      </c>
      <c r="K31" s="16" t="s">
        <v>1877</v>
      </c>
    </row>
    <row r="32" spans="1:11">
      <c r="A32" s="16">
        <v>0</v>
      </c>
      <c r="B32" s="16" t="s">
        <v>38</v>
      </c>
      <c r="C32" s="16">
        <v>1.3018081401348E-3</v>
      </c>
      <c r="D32" s="16">
        <v>3.3031749575120002E-4</v>
      </c>
      <c r="E32" s="16">
        <v>3.1903543133530001E-4</v>
      </c>
      <c r="F32" s="16">
        <v>3.8594187567879998E-4</v>
      </c>
      <c r="G32" s="16">
        <v>6.3946128345579998E-4</v>
      </c>
      <c r="H32" s="16">
        <v>2.8289784339339998E-4</v>
      </c>
      <c r="I32" s="16">
        <v>5.8506340922450002E-4</v>
      </c>
      <c r="J32" s="16" t="s">
        <v>352</v>
      </c>
      <c r="K32" s="16" t="s">
        <v>1877</v>
      </c>
    </row>
    <row r="33" spans="1:11">
      <c r="A33" s="16">
        <v>1</v>
      </c>
      <c r="B33" s="16" t="s">
        <v>39</v>
      </c>
      <c r="C33" s="16">
        <v>3.4003581782857E-3</v>
      </c>
      <c r="D33" s="16">
        <v>2.8226770072497E-3</v>
      </c>
      <c r="E33" s="16">
        <v>9.1563612345909999E-4</v>
      </c>
      <c r="F33" s="16">
        <v>1.0581562199093999E-3</v>
      </c>
      <c r="G33" s="16">
        <v>2.3463672970162998E-3</v>
      </c>
      <c r="H33" s="16">
        <v>3.0762664275575001E-3</v>
      </c>
      <c r="I33" s="16">
        <v>3.1744686597282002E-3</v>
      </c>
      <c r="J33" s="16" t="s">
        <v>352</v>
      </c>
      <c r="K33" s="16" t="s">
        <v>1877</v>
      </c>
    </row>
    <row r="34" spans="1:11">
      <c r="A34" s="16">
        <v>2</v>
      </c>
      <c r="B34" s="16" t="s">
        <v>40</v>
      </c>
      <c r="C34" s="16">
        <v>1.6475083571845001E-3</v>
      </c>
      <c r="D34" s="16">
        <v>5.1268752410850004E-4</v>
      </c>
      <c r="E34" s="16">
        <v>5.1268752410850004E-4</v>
      </c>
      <c r="F34" s="16">
        <v>5.1268752410850004E-4</v>
      </c>
      <c r="G34" s="16">
        <v>0</v>
      </c>
      <c r="H34" s="16">
        <v>0</v>
      </c>
      <c r="I34" s="16">
        <v>1.5380625723256001E-3</v>
      </c>
      <c r="J34" s="16" t="s">
        <v>352</v>
      </c>
      <c r="K34" s="16" t="s">
        <v>1877</v>
      </c>
    </row>
    <row r="35" spans="1:11">
      <c r="A35" s="16">
        <v>3</v>
      </c>
      <c r="B35" s="16" t="s">
        <v>41</v>
      </c>
      <c r="C35" s="16">
        <v>7.5686214263260003E-4</v>
      </c>
      <c r="D35" s="95">
        <v>7.1745362435244995E-5</v>
      </c>
      <c r="E35" s="95">
        <v>7.1745362435244995E-5</v>
      </c>
      <c r="F35" s="95">
        <v>7.1745362435244995E-5</v>
      </c>
      <c r="G35" s="16">
        <v>0</v>
      </c>
      <c r="H35" s="16">
        <v>0</v>
      </c>
      <c r="I35" s="16">
        <v>2.1523608730569999E-4</v>
      </c>
      <c r="J35" s="16" t="s">
        <v>352</v>
      </c>
      <c r="K35" s="16" t="s">
        <v>1877</v>
      </c>
    </row>
    <row r="36" spans="1:11">
      <c r="A36" s="16">
        <v>4</v>
      </c>
      <c r="B36" s="16" t="s">
        <v>42</v>
      </c>
      <c r="C36" s="95">
        <v>4.0472255247854701E-5</v>
      </c>
      <c r="D36" s="16">
        <v>0</v>
      </c>
      <c r="E36" s="95">
        <v>1.25945463327246E-5</v>
      </c>
      <c r="F36" s="95">
        <v>1.25945463327246E-5</v>
      </c>
      <c r="G36" s="16">
        <v>0</v>
      </c>
      <c r="H36" s="16">
        <v>0</v>
      </c>
      <c r="I36" s="95">
        <v>3.7783638998173901E-5</v>
      </c>
      <c r="J36" s="16" t="s">
        <v>352</v>
      </c>
      <c r="K36" s="16" t="s">
        <v>1877</v>
      </c>
    </row>
    <row r="37" spans="1:11">
      <c r="A37" s="16">
        <v>5</v>
      </c>
      <c r="B37" s="16" t="s">
        <v>43</v>
      </c>
      <c r="C37" s="16">
        <v>4.5678462664228E-3</v>
      </c>
      <c r="D37" s="16">
        <v>1.4345302324303001E-3</v>
      </c>
      <c r="E37" s="16">
        <v>1.4345302324303001E-3</v>
      </c>
      <c r="F37" s="16">
        <v>1.4345302324303001E-3</v>
      </c>
      <c r="G37" s="16">
        <v>3.1578540511261002E-3</v>
      </c>
      <c r="H37" s="16">
        <v>1.1117609301334E-3</v>
      </c>
      <c r="I37" s="16">
        <v>4.3035906972908999E-3</v>
      </c>
      <c r="J37" s="16" t="s">
        <v>352</v>
      </c>
      <c r="K37" s="16" t="s">
        <v>1877</v>
      </c>
    </row>
    <row r="38" spans="1:11">
      <c r="A38" s="16">
        <v>0</v>
      </c>
      <c r="B38" s="16" t="s">
        <v>38</v>
      </c>
      <c r="C38" s="16">
        <v>1.3018081401348E-3</v>
      </c>
      <c r="D38" s="16">
        <v>3.3031749575120002E-4</v>
      </c>
      <c r="E38" s="16">
        <v>3.1903543133530001E-4</v>
      </c>
      <c r="F38" s="16">
        <v>3.8594187567879998E-4</v>
      </c>
      <c r="G38" s="16">
        <v>6.3946128345579998E-4</v>
      </c>
      <c r="H38" s="16">
        <v>2.8289784339339998E-4</v>
      </c>
      <c r="I38" s="16">
        <v>5.8506340922450002E-4</v>
      </c>
      <c r="J38" s="16" t="s">
        <v>353</v>
      </c>
      <c r="K38" s="16" t="s">
        <v>1877</v>
      </c>
    </row>
    <row r="39" spans="1:11">
      <c r="A39" s="16">
        <v>1</v>
      </c>
      <c r="B39" s="16" t="s">
        <v>39</v>
      </c>
      <c r="C39" s="16">
        <v>3.4003581782857E-3</v>
      </c>
      <c r="D39" s="16">
        <v>2.8226770072497E-3</v>
      </c>
      <c r="E39" s="16">
        <v>9.1563612345909999E-4</v>
      </c>
      <c r="F39" s="16">
        <v>1.0581562199093999E-3</v>
      </c>
      <c r="G39" s="16">
        <v>2.3463672970162998E-3</v>
      </c>
      <c r="H39" s="16">
        <v>3.0762664275575001E-3</v>
      </c>
      <c r="I39" s="16">
        <v>3.1744686597282002E-3</v>
      </c>
      <c r="J39" s="16" t="s">
        <v>353</v>
      </c>
      <c r="K39" s="16" t="s">
        <v>1877</v>
      </c>
    </row>
    <row r="40" spans="1:11">
      <c r="A40" s="16">
        <v>2</v>
      </c>
      <c r="B40" s="16" t="s">
        <v>40</v>
      </c>
      <c r="C40" s="16">
        <v>1.6475083571845001E-3</v>
      </c>
      <c r="D40" s="16">
        <v>5.1268752410850004E-4</v>
      </c>
      <c r="E40" s="16">
        <v>5.1268752410850004E-4</v>
      </c>
      <c r="F40" s="16">
        <v>5.1268752410850004E-4</v>
      </c>
      <c r="G40" s="16">
        <v>0</v>
      </c>
      <c r="H40" s="16">
        <v>0</v>
      </c>
      <c r="I40" s="16">
        <v>1.5380625723256001E-3</v>
      </c>
      <c r="J40" s="16" t="s">
        <v>353</v>
      </c>
      <c r="K40" s="16" t="s">
        <v>1877</v>
      </c>
    </row>
    <row r="41" spans="1:11">
      <c r="A41" s="16">
        <v>3</v>
      </c>
      <c r="B41" s="16" t="s">
        <v>41</v>
      </c>
      <c r="C41" s="16">
        <v>7.5686214263260003E-4</v>
      </c>
      <c r="D41" s="95">
        <v>7.1745362435244995E-5</v>
      </c>
      <c r="E41" s="95">
        <v>7.1745362435244995E-5</v>
      </c>
      <c r="F41" s="95">
        <v>7.1745362435244995E-5</v>
      </c>
      <c r="G41" s="16">
        <v>0</v>
      </c>
      <c r="H41" s="16">
        <v>0</v>
      </c>
      <c r="I41" s="16">
        <v>2.1523608730569999E-4</v>
      </c>
      <c r="J41" s="16" t="s">
        <v>353</v>
      </c>
      <c r="K41" s="16" t="s">
        <v>1877</v>
      </c>
    </row>
    <row r="42" spans="1:11">
      <c r="A42" s="16">
        <v>4</v>
      </c>
      <c r="B42" s="16" t="s">
        <v>42</v>
      </c>
      <c r="C42" s="95">
        <v>4.0472255247854701E-5</v>
      </c>
      <c r="D42" s="16">
        <v>0</v>
      </c>
      <c r="E42" s="95">
        <v>1.25945463327246E-5</v>
      </c>
      <c r="F42" s="95">
        <v>1.25945463327246E-5</v>
      </c>
      <c r="G42" s="16">
        <v>0</v>
      </c>
      <c r="H42" s="16">
        <v>0</v>
      </c>
      <c r="I42" s="95">
        <v>3.7783638998173901E-5</v>
      </c>
      <c r="J42" s="16" t="s">
        <v>353</v>
      </c>
      <c r="K42" s="16" t="s">
        <v>1877</v>
      </c>
    </row>
    <row r="43" spans="1:11">
      <c r="A43" s="16">
        <v>5</v>
      </c>
      <c r="B43" s="16" t="s">
        <v>43</v>
      </c>
      <c r="C43" s="16">
        <v>4.5678462664228E-3</v>
      </c>
      <c r="D43" s="16">
        <v>1.4345302324303001E-3</v>
      </c>
      <c r="E43" s="16">
        <v>1.4345302324303001E-3</v>
      </c>
      <c r="F43" s="16">
        <v>1.4345302324303001E-3</v>
      </c>
      <c r="G43" s="16">
        <v>3.1578540511261002E-3</v>
      </c>
      <c r="H43" s="16">
        <v>1.1117609301334E-3</v>
      </c>
      <c r="I43" s="16">
        <v>4.3035906972908999E-3</v>
      </c>
      <c r="J43" s="16" t="s">
        <v>353</v>
      </c>
      <c r="K43" s="16" t="s">
        <v>1877</v>
      </c>
    </row>
    <row r="44" spans="1:11">
      <c r="A44" s="16">
        <v>0</v>
      </c>
      <c r="B44" s="16" t="s">
        <v>38</v>
      </c>
      <c r="C44" s="16">
        <v>1.3018081401348E-3</v>
      </c>
      <c r="D44" s="16">
        <v>3.3031749575120002E-4</v>
      </c>
      <c r="E44" s="16">
        <v>3.1903543133530001E-4</v>
      </c>
      <c r="F44" s="16">
        <v>3.8594187567879998E-4</v>
      </c>
      <c r="G44" s="16">
        <v>6.3946128345579998E-4</v>
      </c>
      <c r="H44" s="16">
        <v>2.8289784339339998E-4</v>
      </c>
      <c r="I44" s="16">
        <v>5.8506340922450002E-4</v>
      </c>
      <c r="J44" s="16" t="s">
        <v>355</v>
      </c>
      <c r="K44" s="16" t="s">
        <v>1877</v>
      </c>
    </row>
    <row r="45" spans="1:11">
      <c r="A45" s="16">
        <v>1</v>
      </c>
      <c r="B45" s="16" t="s">
        <v>39</v>
      </c>
      <c r="C45" s="16">
        <v>3.4003581782857E-3</v>
      </c>
      <c r="D45" s="16">
        <v>2.8226770072497E-3</v>
      </c>
      <c r="E45" s="16">
        <v>9.1563612345909999E-4</v>
      </c>
      <c r="F45" s="16">
        <v>1.0581562199093999E-3</v>
      </c>
      <c r="G45" s="16">
        <v>2.3463672970162998E-3</v>
      </c>
      <c r="H45" s="16">
        <v>3.0762664275575001E-3</v>
      </c>
      <c r="I45" s="16">
        <v>3.1744686597282002E-3</v>
      </c>
      <c r="J45" s="16" t="s">
        <v>355</v>
      </c>
      <c r="K45" s="16" t="s">
        <v>1877</v>
      </c>
    </row>
    <row r="46" spans="1:11">
      <c r="A46" s="16">
        <v>2</v>
      </c>
      <c r="B46" s="16" t="s">
        <v>40</v>
      </c>
      <c r="C46" s="16">
        <v>1.6475083571845001E-3</v>
      </c>
      <c r="D46" s="16">
        <v>5.1268752410850004E-4</v>
      </c>
      <c r="E46" s="16">
        <v>5.1268752410850004E-4</v>
      </c>
      <c r="F46" s="16">
        <v>5.1268752410850004E-4</v>
      </c>
      <c r="G46" s="16">
        <v>0</v>
      </c>
      <c r="H46" s="16">
        <v>0</v>
      </c>
      <c r="I46" s="16">
        <v>1.5380625723256001E-3</v>
      </c>
      <c r="J46" s="16" t="s">
        <v>355</v>
      </c>
      <c r="K46" s="16" t="s">
        <v>1877</v>
      </c>
    </row>
    <row r="47" spans="1:11">
      <c r="A47" s="16">
        <v>3</v>
      </c>
      <c r="B47" s="16" t="s">
        <v>41</v>
      </c>
      <c r="C47" s="16">
        <v>7.5686214263260003E-4</v>
      </c>
      <c r="D47" s="95">
        <v>7.1745362435244995E-5</v>
      </c>
      <c r="E47" s="95">
        <v>7.1745362435244995E-5</v>
      </c>
      <c r="F47" s="95">
        <v>7.1745362435244995E-5</v>
      </c>
      <c r="G47" s="16">
        <v>0</v>
      </c>
      <c r="H47" s="16">
        <v>0</v>
      </c>
      <c r="I47" s="16">
        <v>2.1523608730569999E-4</v>
      </c>
      <c r="J47" s="16" t="s">
        <v>355</v>
      </c>
      <c r="K47" s="16" t="s">
        <v>1877</v>
      </c>
    </row>
    <row r="48" spans="1:11">
      <c r="A48" s="16">
        <v>4</v>
      </c>
      <c r="B48" s="16" t="s">
        <v>42</v>
      </c>
      <c r="C48" s="95">
        <v>4.0472255247854701E-5</v>
      </c>
      <c r="D48" s="16">
        <v>0</v>
      </c>
      <c r="E48" s="95">
        <v>1.25945463327246E-5</v>
      </c>
      <c r="F48" s="95">
        <v>1.25945463327246E-5</v>
      </c>
      <c r="G48" s="16">
        <v>0</v>
      </c>
      <c r="H48" s="16">
        <v>0</v>
      </c>
      <c r="I48" s="95">
        <v>3.7783638998173901E-5</v>
      </c>
      <c r="J48" s="16" t="s">
        <v>355</v>
      </c>
      <c r="K48" s="16" t="s">
        <v>1877</v>
      </c>
    </row>
    <row r="49" spans="1:11">
      <c r="A49" s="16">
        <v>5</v>
      </c>
      <c r="B49" s="16" t="s">
        <v>43</v>
      </c>
      <c r="C49" s="16">
        <v>4.5678462664228E-3</v>
      </c>
      <c r="D49" s="16">
        <v>1.4345302324303001E-3</v>
      </c>
      <c r="E49" s="16">
        <v>1.4345302324303001E-3</v>
      </c>
      <c r="F49" s="16">
        <v>1.4345302324303001E-3</v>
      </c>
      <c r="G49" s="16">
        <v>3.1578540511261002E-3</v>
      </c>
      <c r="H49" s="16">
        <v>1.1117609301334E-3</v>
      </c>
      <c r="I49" s="16">
        <v>4.3035906972908999E-3</v>
      </c>
      <c r="J49" s="16" t="s">
        <v>355</v>
      </c>
      <c r="K49" s="16" t="s">
        <v>1877</v>
      </c>
    </row>
    <row r="50" spans="1:11">
      <c r="A50" s="16">
        <v>0</v>
      </c>
      <c r="B50" s="16" t="s">
        <v>38</v>
      </c>
      <c r="C50" s="16">
        <v>1.3018081401348E-3</v>
      </c>
      <c r="D50" s="16">
        <v>3.3031749575120002E-4</v>
      </c>
      <c r="E50" s="16">
        <v>3.1903543133530001E-4</v>
      </c>
      <c r="F50" s="16">
        <v>3.8594187567879998E-4</v>
      </c>
      <c r="G50" s="16">
        <v>6.3946128345579998E-4</v>
      </c>
      <c r="H50" s="16">
        <v>2.8289784339339998E-4</v>
      </c>
      <c r="I50" s="16">
        <v>5.8506340922450002E-4</v>
      </c>
      <c r="J50" s="16" t="s">
        <v>356</v>
      </c>
      <c r="K50" s="16" t="s">
        <v>1877</v>
      </c>
    </row>
    <row r="51" spans="1:11">
      <c r="A51" s="16">
        <v>1</v>
      </c>
      <c r="B51" s="16" t="s">
        <v>39</v>
      </c>
      <c r="C51" s="16">
        <v>3.4003581782857E-3</v>
      </c>
      <c r="D51" s="16">
        <v>2.8226770072497E-3</v>
      </c>
      <c r="E51" s="16">
        <v>9.1563612345909999E-4</v>
      </c>
      <c r="F51" s="16">
        <v>1.0581562199093999E-3</v>
      </c>
      <c r="G51" s="16">
        <v>2.3463672970162998E-3</v>
      </c>
      <c r="H51" s="16">
        <v>3.0762664275575001E-3</v>
      </c>
      <c r="I51" s="16">
        <v>3.1744686597282002E-3</v>
      </c>
      <c r="J51" s="16" t="s">
        <v>356</v>
      </c>
      <c r="K51" s="16" t="s">
        <v>1877</v>
      </c>
    </row>
    <row r="52" spans="1:11">
      <c r="A52" s="16">
        <v>2</v>
      </c>
      <c r="B52" s="16" t="s">
        <v>40</v>
      </c>
      <c r="C52" s="16">
        <v>1.6475083571845001E-3</v>
      </c>
      <c r="D52" s="16">
        <v>5.1268752410850004E-4</v>
      </c>
      <c r="E52" s="16">
        <v>5.1268752410850004E-4</v>
      </c>
      <c r="F52" s="16">
        <v>5.1268752410850004E-4</v>
      </c>
      <c r="G52" s="16">
        <v>0</v>
      </c>
      <c r="H52" s="16">
        <v>0</v>
      </c>
      <c r="I52" s="16">
        <v>1.5380625723256001E-3</v>
      </c>
      <c r="J52" s="16" t="s">
        <v>356</v>
      </c>
      <c r="K52" s="16" t="s">
        <v>1877</v>
      </c>
    </row>
    <row r="53" spans="1:11">
      <c r="A53" s="16">
        <v>3</v>
      </c>
      <c r="B53" s="16" t="s">
        <v>41</v>
      </c>
      <c r="C53" s="16">
        <v>7.5686214263260003E-4</v>
      </c>
      <c r="D53" s="95">
        <v>7.1745362435244995E-5</v>
      </c>
      <c r="E53" s="95">
        <v>7.1745362435244995E-5</v>
      </c>
      <c r="F53" s="95">
        <v>7.1745362435244995E-5</v>
      </c>
      <c r="G53" s="16">
        <v>0</v>
      </c>
      <c r="H53" s="16">
        <v>0</v>
      </c>
      <c r="I53" s="16">
        <v>2.1523608730569999E-4</v>
      </c>
      <c r="J53" s="16" t="s">
        <v>356</v>
      </c>
      <c r="K53" s="16" t="s">
        <v>1877</v>
      </c>
    </row>
    <row r="54" spans="1:11">
      <c r="A54" s="16">
        <v>4</v>
      </c>
      <c r="B54" s="16" t="s">
        <v>42</v>
      </c>
      <c r="C54" s="95">
        <v>4.0472255247854701E-5</v>
      </c>
      <c r="D54" s="16">
        <v>0</v>
      </c>
      <c r="E54" s="95">
        <v>1.25945463327246E-5</v>
      </c>
      <c r="F54" s="95">
        <v>1.25945463327246E-5</v>
      </c>
      <c r="G54" s="16">
        <v>0</v>
      </c>
      <c r="H54" s="16">
        <v>0</v>
      </c>
      <c r="I54" s="95">
        <v>3.7783638998173901E-5</v>
      </c>
      <c r="J54" s="16" t="s">
        <v>356</v>
      </c>
      <c r="K54" s="16" t="s">
        <v>1877</v>
      </c>
    </row>
    <row r="55" spans="1:11">
      <c r="A55" s="16">
        <v>5</v>
      </c>
      <c r="B55" s="16" t="s">
        <v>43</v>
      </c>
      <c r="C55" s="16">
        <v>4.5678462664228E-3</v>
      </c>
      <c r="D55" s="16">
        <v>1.4345302324303001E-3</v>
      </c>
      <c r="E55" s="16">
        <v>1.4345302324303001E-3</v>
      </c>
      <c r="F55" s="16">
        <v>1.4345302324303001E-3</v>
      </c>
      <c r="G55" s="16">
        <v>3.1578540511261002E-3</v>
      </c>
      <c r="H55" s="16">
        <v>1.1117609301334E-3</v>
      </c>
      <c r="I55" s="16">
        <v>4.3035906972908999E-3</v>
      </c>
      <c r="J55" s="16" t="s">
        <v>356</v>
      </c>
      <c r="K55" s="16" t="s">
        <v>1877</v>
      </c>
    </row>
    <row r="56" spans="1:11">
      <c r="A56" s="16">
        <v>0</v>
      </c>
      <c r="B56" s="16" t="s">
        <v>38</v>
      </c>
      <c r="C56" s="16">
        <v>1.3018081401348E-3</v>
      </c>
      <c r="D56" s="16">
        <v>3.3031749575120002E-4</v>
      </c>
      <c r="E56" s="16">
        <v>3.1903543133530001E-4</v>
      </c>
      <c r="F56" s="16">
        <v>3.8594187567879998E-4</v>
      </c>
      <c r="G56" s="16">
        <v>6.3946128345579998E-4</v>
      </c>
      <c r="H56" s="16">
        <v>2.8289784339339998E-4</v>
      </c>
      <c r="I56" s="16">
        <v>5.8506340922450002E-4</v>
      </c>
      <c r="J56" s="16" t="s">
        <v>357</v>
      </c>
      <c r="K56" s="16" t="s">
        <v>1877</v>
      </c>
    </row>
    <row r="57" spans="1:11">
      <c r="A57" s="16">
        <v>1</v>
      </c>
      <c r="B57" s="16" t="s">
        <v>39</v>
      </c>
      <c r="C57" s="16">
        <v>3.4003581782857E-3</v>
      </c>
      <c r="D57" s="16">
        <v>2.8226770072497E-3</v>
      </c>
      <c r="E57" s="16">
        <v>9.1563612345909999E-4</v>
      </c>
      <c r="F57" s="16">
        <v>1.0581562199093999E-3</v>
      </c>
      <c r="G57" s="16">
        <v>2.3463672970162998E-3</v>
      </c>
      <c r="H57" s="16">
        <v>3.0762664275575001E-3</v>
      </c>
      <c r="I57" s="16">
        <v>3.1744686597282002E-3</v>
      </c>
      <c r="J57" s="16" t="s">
        <v>357</v>
      </c>
      <c r="K57" s="16" t="s">
        <v>1877</v>
      </c>
    </row>
    <row r="58" spans="1:11">
      <c r="A58" s="16">
        <v>2</v>
      </c>
      <c r="B58" s="16" t="s">
        <v>40</v>
      </c>
      <c r="C58" s="16">
        <v>1.6475083571845001E-3</v>
      </c>
      <c r="D58" s="16">
        <v>5.1268752410850004E-4</v>
      </c>
      <c r="E58" s="16">
        <v>5.1268752410850004E-4</v>
      </c>
      <c r="F58" s="16">
        <v>5.1268752410850004E-4</v>
      </c>
      <c r="G58" s="16">
        <v>0</v>
      </c>
      <c r="H58" s="16">
        <v>0</v>
      </c>
      <c r="I58" s="16">
        <v>1.5380625723256001E-3</v>
      </c>
      <c r="J58" s="16" t="s">
        <v>357</v>
      </c>
      <c r="K58" s="16" t="s">
        <v>1877</v>
      </c>
    </row>
    <row r="59" spans="1:11">
      <c r="A59" s="16">
        <v>3</v>
      </c>
      <c r="B59" s="16" t="s">
        <v>41</v>
      </c>
      <c r="C59" s="16">
        <v>7.5686214263260003E-4</v>
      </c>
      <c r="D59" s="95">
        <v>7.1745362435244995E-5</v>
      </c>
      <c r="E59" s="95">
        <v>7.1745362435244995E-5</v>
      </c>
      <c r="F59" s="95">
        <v>7.1745362435244995E-5</v>
      </c>
      <c r="G59" s="16">
        <v>0</v>
      </c>
      <c r="H59" s="16">
        <v>0</v>
      </c>
      <c r="I59" s="16">
        <v>2.1523608730569999E-4</v>
      </c>
      <c r="J59" s="16" t="s">
        <v>357</v>
      </c>
      <c r="K59" s="16" t="s">
        <v>1877</v>
      </c>
    </row>
    <row r="60" spans="1:11">
      <c r="A60" s="16">
        <v>4</v>
      </c>
      <c r="B60" s="16" t="s">
        <v>42</v>
      </c>
      <c r="C60" s="95">
        <v>4.0472255247854701E-5</v>
      </c>
      <c r="D60" s="16">
        <v>0</v>
      </c>
      <c r="E60" s="95">
        <v>1.25945463327246E-5</v>
      </c>
      <c r="F60" s="95">
        <v>1.25945463327246E-5</v>
      </c>
      <c r="G60" s="16">
        <v>0</v>
      </c>
      <c r="H60" s="16">
        <v>0</v>
      </c>
      <c r="I60" s="95">
        <v>3.7783638998173901E-5</v>
      </c>
      <c r="J60" s="16" t="s">
        <v>357</v>
      </c>
      <c r="K60" s="16" t="s">
        <v>1877</v>
      </c>
    </row>
    <row r="61" spans="1:11">
      <c r="A61" s="16">
        <v>5</v>
      </c>
      <c r="B61" s="16" t="s">
        <v>43</v>
      </c>
      <c r="C61" s="16">
        <v>4.5678462664228E-3</v>
      </c>
      <c r="D61" s="16">
        <v>1.4345302324303001E-3</v>
      </c>
      <c r="E61" s="16">
        <v>1.4345302324303001E-3</v>
      </c>
      <c r="F61" s="16">
        <v>1.4345302324303001E-3</v>
      </c>
      <c r="G61" s="16">
        <v>3.1578540511261002E-3</v>
      </c>
      <c r="H61" s="16">
        <v>1.1117609301334E-3</v>
      </c>
      <c r="I61" s="16">
        <v>4.3035906972908999E-3</v>
      </c>
      <c r="J61" s="16" t="s">
        <v>357</v>
      </c>
      <c r="K61" s="16" t="s">
        <v>1877</v>
      </c>
    </row>
    <row r="62" spans="1:11">
      <c r="A62" s="16">
        <v>0</v>
      </c>
      <c r="B62" s="16" t="s">
        <v>38</v>
      </c>
      <c r="C62" s="16">
        <v>1.3018081401348E-3</v>
      </c>
      <c r="D62" s="16">
        <v>3.3031749575120002E-4</v>
      </c>
      <c r="E62" s="16">
        <v>3.1903543133530001E-4</v>
      </c>
      <c r="F62" s="16">
        <v>3.8594187567879998E-4</v>
      </c>
      <c r="G62" s="16">
        <v>6.3946128345579998E-4</v>
      </c>
      <c r="H62" s="16">
        <v>2.8289784339339998E-4</v>
      </c>
      <c r="I62" s="16">
        <v>5.8506340922450002E-4</v>
      </c>
      <c r="J62" s="16" t="s">
        <v>358</v>
      </c>
      <c r="K62" s="16" t="s">
        <v>1877</v>
      </c>
    </row>
    <row r="63" spans="1:11">
      <c r="A63" s="16">
        <v>1</v>
      </c>
      <c r="B63" s="16" t="s">
        <v>39</v>
      </c>
      <c r="C63" s="16">
        <v>3.4003581782857E-3</v>
      </c>
      <c r="D63" s="16">
        <v>2.8226770072497E-3</v>
      </c>
      <c r="E63" s="16">
        <v>9.1563612345909999E-4</v>
      </c>
      <c r="F63" s="16">
        <v>1.0581562199093999E-3</v>
      </c>
      <c r="G63" s="16">
        <v>2.3463672970162998E-3</v>
      </c>
      <c r="H63" s="16">
        <v>3.0762664275575001E-3</v>
      </c>
      <c r="I63" s="16">
        <v>3.1744686597282002E-3</v>
      </c>
      <c r="J63" s="16" t="s">
        <v>358</v>
      </c>
      <c r="K63" s="16" t="s">
        <v>1877</v>
      </c>
    </row>
    <row r="64" spans="1:11">
      <c r="A64" s="16">
        <v>2</v>
      </c>
      <c r="B64" s="16" t="s">
        <v>40</v>
      </c>
      <c r="C64" s="16">
        <v>1.6475083571845001E-3</v>
      </c>
      <c r="D64" s="16">
        <v>5.1268752410850004E-4</v>
      </c>
      <c r="E64" s="16">
        <v>5.1268752410850004E-4</v>
      </c>
      <c r="F64" s="16">
        <v>5.1268752410850004E-4</v>
      </c>
      <c r="G64" s="16">
        <v>0</v>
      </c>
      <c r="H64" s="16">
        <v>0</v>
      </c>
      <c r="I64" s="16">
        <v>1.5380625723256001E-3</v>
      </c>
      <c r="J64" s="16" t="s">
        <v>358</v>
      </c>
      <c r="K64" s="16" t="s">
        <v>1877</v>
      </c>
    </row>
    <row r="65" spans="1:11">
      <c r="A65" s="16">
        <v>3</v>
      </c>
      <c r="B65" s="16" t="s">
        <v>41</v>
      </c>
      <c r="C65" s="16">
        <v>7.5686214263260003E-4</v>
      </c>
      <c r="D65" s="95">
        <v>7.1745362435244995E-5</v>
      </c>
      <c r="E65" s="95">
        <v>7.1745362435244995E-5</v>
      </c>
      <c r="F65" s="95">
        <v>7.1745362435244995E-5</v>
      </c>
      <c r="G65" s="16">
        <v>0</v>
      </c>
      <c r="H65" s="16">
        <v>0</v>
      </c>
      <c r="I65" s="16">
        <v>2.1523608730569999E-4</v>
      </c>
      <c r="J65" s="16" t="s">
        <v>358</v>
      </c>
      <c r="K65" s="16" t="s">
        <v>1877</v>
      </c>
    </row>
    <row r="66" spans="1:11">
      <c r="A66" s="16">
        <v>4</v>
      </c>
      <c r="B66" s="16" t="s">
        <v>42</v>
      </c>
      <c r="C66" s="95">
        <v>4.0472255247854701E-5</v>
      </c>
      <c r="D66" s="16">
        <v>0</v>
      </c>
      <c r="E66" s="95">
        <v>1.25945463327246E-5</v>
      </c>
      <c r="F66" s="95">
        <v>1.25945463327246E-5</v>
      </c>
      <c r="G66" s="16">
        <v>0</v>
      </c>
      <c r="H66" s="16">
        <v>0</v>
      </c>
      <c r="I66" s="95">
        <v>3.7783638998173901E-5</v>
      </c>
      <c r="J66" s="16" t="s">
        <v>358</v>
      </c>
      <c r="K66" s="16" t="s">
        <v>1877</v>
      </c>
    </row>
    <row r="67" spans="1:11">
      <c r="A67" s="16">
        <v>5</v>
      </c>
      <c r="B67" s="16" t="s">
        <v>43</v>
      </c>
      <c r="C67" s="16">
        <v>4.5678462664228E-3</v>
      </c>
      <c r="D67" s="16">
        <v>1.4345302324303001E-3</v>
      </c>
      <c r="E67" s="16">
        <v>1.4345302324303001E-3</v>
      </c>
      <c r="F67" s="16">
        <v>1.4345302324303001E-3</v>
      </c>
      <c r="G67" s="16">
        <v>3.1578540511261002E-3</v>
      </c>
      <c r="H67" s="16">
        <v>1.1117609301334E-3</v>
      </c>
      <c r="I67" s="16">
        <v>4.3035906972908999E-3</v>
      </c>
      <c r="J67" s="16" t="s">
        <v>358</v>
      </c>
      <c r="K67" s="16" t="s">
        <v>1877</v>
      </c>
    </row>
    <row r="68" spans="1:11">
      <c r="A68" s="16">
        <v>0</v>
      </c>
      <c r="B68" s="16" t="s">
        <v>38</v>
      </c>
      <c r="C68" s="16">
        <v>1.3018081401348E-3</v>
      </c>
      <c r="D68" s="16">
        <v>3.3031749575120002E-4</v>
      </c>
      <c r="E68" s="16">
        <v>3.1903543133530001E-4</v>
      </c>
      <c r="F68" s="16">
        <v>3.8594187567879998E-4</v>
      </c>
      <c r="G68" s="16">
        <v>6.3946128345579998E-4</v>
      </c>
      <c r="H68" s="16">
        <v>2.8289784339339998E-4</v>
      </c>
      <c r="I68" s="16">
        <v>5.8506340922450002E-4</v>
      </c>
      <c r="J68" s="16" t="s">
        <v>359</v>
      </c>
      <c r="K68" s="16" t="s">
        <v>1877</v>
      </c>
    </row>
    <row r="69" spans="1:11">
      <c r="A69" s="16">
        <v>1</v>
      </c>
      <c r="B69" s="16" t="s">
        <v>39</v>
      </c>
      <c r="C69" s="16">
        <v>3.4003581782857E-3</v>
      </c>
      <c r="D69" s="16">
        <v>2.8226770072497E-3</v>
      </c>
      <c r="E69" s="16">
        <v>9.1563612345909999E-4</v>
      </c>
      <c r="F69" s="16">
        <v>1.0581562199093999E-3</v>
      </c>
      <c r="G69" s="16">
        <v>2.3463672970162998E-3</v>
      </c>
      <c r="H69" s="16">
        <v>3.0762664275575001E-3</v>
      </c>
      <c r="I69" s="16">
        <v>3.1744686597282002E-3</v>
      </c>
      <c r="J69" s="16" t="s">
        <v>359</v>
      </c>
      <c r="K69" s="16" t="s">
        <v>1877</v>
      </c>
    </row>
    <row r="70" spans="1:11">
      <c r="A70" s="16">
        <v>2</v>
      </c>
      <c r="B70" s="16" t="s">
        <v>40</v>
      </c>
      <c r="C70" s="16">
        <v>1.6475083571845001E-3</v>
      </c>
      <c r="D70" s="16">
        <v>5.1268752410850004E-4</v>
      </c>
      <c r="E70" s="16">
        <v>5.1268752410850004E-4</v>
      </c>
      <c r="F70" s="16">
        <v>5.1268752410850004E-4</v>
      </c>
      <c r="G70" s="16">
        <v>0</v>
      </c>
      <c r="H70" s="16">
        <v>0</v>
      </c>
      <c r="I70" s="16">
        <v>1.5380625723256001E-3</v>
      </c>
      <c r="J70" s="16" t="s">
        <v>359</v>
      </c>
      <c r="K70" s="16" t="s">
        <v>1877</v>
      </c>
    </row>
    <row r="71" spans="1:11">
      <c r="A71" s="16">
        <v>3</v>
      </c>
      <c r="B71" s="16" t="s">
        <v>41</v>
      </c>
      <c r="C71" s="16">
        <v>7.5686214263260003E-4</v>
      </c>
      <c r="D71" s="95">
        <v>7.1745362435244995E-5</v>
      </c>
      <c r="E71" s="95">
        <v>7.1745362435244995E-5</v>
      </c>
      <c r="F71" s="95">
        <v>7.1745362435244995E-5</v>
      </c>
      <c r="G71" s="16">
        <v>0</v>
      </c>
      <c r="H71" s="16">
        <v>0</v>
      </c>
      <c r="I71" s="16">
        <v>2.1523608730569999E-4</v>
      </c>
      <c r="J71" s="16" t="s">
        <v>359</v>
      </c>
      <c r="K71" s="16" t="s">
        <v>1877</v>
      </c>
    </row>
    <row r="72" spans="1:11">
      <c r="A72" s="16">
        <v>4</v>
      </c>
      <c r="B72" s="16" t="s">
        <v>42</v>
      </c>
      <c r="C72" s="95">
        <v>4.0472255247854701E-5</v>
      </c>
      <c r="D72" s="16">
        <v>0</v>
      </c>
      <c r="E72" s="95">
        <v>1.25945463327246E-5</v>
      </c>
      <c r="F72" s="95">
        <v>1.25945463327246E-5</v>
      </c>
      <c r="G72" s="16">
        <v>0</v>
      </c>
      <c r="H72" s="16">
        <v>0</v>
      </c>
      <c r="I72" s="95">
        <v>3.7783638998173901E-5</v>
      </c>
      <c r="J72" s="16" t="s">
        <v>359</v>
      </c>
      <c r="K72" s="16" t="s">
        <v>1877</v>
      </c>
    </row>
    <row r="73" spans="1:11">
      <c r="A73" s="16">
        <v>5</v>
      </c>
      <c r="B73" s="16" t="s">
        <v>43</v>
      </c>
      <c r="C73" s="16">
        <v>4.5678462664228E-3</v>
      </c>
      <c r="D73" s="16">
        <v>1.4345302324303001E-3</v>
      </c>
      <c r="E73" s="16">
        <v>1.4345302324303001E-3</v>
      </c>
      <c r="F73" s="16">
        <v>1.4345302324303001E-3</v>
      </c>
      <c r="G73" s="16">
        <v>3.1578540511261002E-3</v>
      </c>
      <c r="H73" s="16">
        <v>1.1117609301334E-3</v>
      </c>
      <c r="I73" s="16">
        <v>4.3035906972908999E-3</v>
      </c>
      <c r="J73" s="16" t="s">
        <v>359</v>
      </c>
      <c r="K73" s="16" t="s">
        <v>1877</v>
      </c>
    </row>
    <row r="74" spans="1:11">
      <c r="A74" s="16">
        <v>0</v>
      </c>
      <c r="B74" s="16" t="s">
        <v>38</v>
      </c>
      <c r="C74" s="16">
        <v>1.3018081401348E-3</v>
      </c>
      <c r="D74" s="16">
        <v>3.3031749575120002E-4</v>
      </c>
      <c r="E74" s="16">
        <v>3.1903543133530001E-4</v>
      </c>
      <c r="F74" s="16">
        <v>3.8594187567879998E-4</v>
      </c>
      <c r="G74" s="16">
        <v>6.3946128345579998E-4</v>
      </c>
      <c r="H74" s="16">
        <v>2.8289784339339998E-4</v>
      </c>
      <c r="I74" s="16">
        <v>5.8506340922450002E-4</v>
      </c>
      <c r="J74" s="16" t="s">
        <v>360</v>
      </c>
      <c r="K74" s="16" t="s">
        <v>1877</v>
      </c>
    </row>
    <row r="75" spans="1:11">
      <c r="A75" s="16">
        <v>1</v>
      </c>
      <c r="B75" s="16" t="s">
        <v>39</v>
      </c>
      <c r="C75" s="16">
        <v>3.4003581782857E-3</v>
      </c>
      <c r="D75" s="16">
        <v>2.8226770072497E-3</v>
      </c>
      <c r="E75" s="16">
        <v>9.1563612345909999E-4</v>
      </c>
      <c r="F75" s="16">
        <v>1.0581562199093999E-3</v>
      </c>
      <c r="G75" s="16">
        <v>2.3463672970162998E-3</v>
      </c>
      <c r="H75" s="16">
        <v>3.0762664275575001E-3</v>
      </c>
      <c r="I75" s="16">
        <v>3.1744686597282002E-3</v>
      </c>
      <c r="J75" s="16" t="s">
        <v>360</v>
      </c>
      <c r="K75" s="16" t="s">
        <v>1877</v>
      </c>
    </row>
    <row r="76" spans="1:11">
      <c r="A76" s="16">
        <v>2</v>
      </c>
      <c r="B76" s="16" t="s">
        <v>40</v>
      </c>
      <c r="C76" s="16">
        <v>1.6475083571845001E-3</v>
      </c>
      <c r="D76" s="16">
        <v>5.1268752410850004E-4</v>
      </c>
      <c r="E76" s="16">
        <v>5.1268752410850004E-4</v>
      </c>
      <c r="F76" s="16">
        <v>5.1268752410850004E-4</v>
      </c>
      <c r="G76" s="16">
        <v>0</v>
      </c>
      <c r="H76" s="16">
        <v>0</v>
      </c>
      <c r="I76" s="16">
        <v>1.5380625723256001E-3</v>
      </c>
      <c r="J76" s="16" t="s">
        <v>360</v>
      </c>
      <c r="K76" s="16" t="s">
        <v>1877</v>
      </c>
    </row>
    <row r="77" spans="1:11">
      <c r="A77" s="16">
        <v>3</v>
      </c>
      <c r="B77" s="16" t="s">
        <v>41</v>
      </c>
      <c r="C77" s="16">
        <v>7.5686214263260003E-4</v>
      </c>
      <c r="D77" s="95">
        <v>7.1745362435244995E-5</v>
      </c>
      <c r="E77" s="95">
        <v>7.1745362435244995E-5</v>
      </c>
      <c r="F77" s="95">
        <v>7.1745362435244995E-5</v>
      </c>
      <c r="G77" s="16">
        <v>0</v>
      </c>
      <c r="H77" s="16">
        <v>0</v>
      </c>
      <c r="I77" s="16">
        <v>2.1523608730569999E-4</v>
      </c>
      <c r="J77" s="16" t="s">
        <v>360</v>
      </c>
      <c r="K77" s="16" t="s">
        <v>1877</v>
      </c>
    </row>
    <row r="78" spans="1:11">
      <c r="A78" s="16">
        <v>4</v>
      </c>
      <c r="B78" s="16" t="s">
        <v>42</v>
      </c>
      <c r="C78" s="95">
        <v>4.0472255247854701E-5</v>
      </c>
      <c r="D78" s="16">
        <v>0</v>
      </c>
      <c r="E78" s="95">
        <v>1.25945463327246E-5</v>
      </c>
      <c r="F78" s="95">
        <v>1.25945463327246E-5</v>
      </c>
      <c r="G78" s="16">
        <v>0</v>
      </c>
      <c r="H78" s="16">
        <v>0</v>
      </c>
      <c r="I78" s="95">
        <v>3.7783638998173901E-5</v>
      </c>
      <c r="J78" s="16" t="s">
        <v>360</v>
      </c>
      <c r="K78" s="16" t="s">
        <v>1877</v>
      </c>
    </row>
    <row r="79" spans="1:11">
      <c r="A79" s="16">
        <v>5</v>
      </c>
      <c r="B79" s="16" t="s">
        <v>43</v>
      </c>
      <c r="C79" s="16">
        <v>4.5678462664228E-3</v>
      </c>
      <c r="D79" s="16">
        <v>1.4345302324303001E-3</v>
      </c>
      <c r="E79" s="16">
        <v>1.4345302324303001E-3</v>
      </c>
      <c r="F79" s="16">
        <v>1.4345302324303001E-3</v>
      </c>
      <c r="G79" s="16">
        <v>3.1578540511261002E-3</v>
      </c>
      <c r="H79" s="16">
        <v>1.1117609301334E-3</v>
      </c>
      <c r="I79" s="16">
        <v>4.3035906972908999E-3</v>
      </c>
      <c r="J79" s="16" t="s">
        <v>360</v>
      </c>
      <c r="K79" s="16" t="s">
        <v>1877</v>
      </c>
    </row>
    <row r="80" spans="1:11">
      <c r="A80" s="16">
        <v>0</v>
      </c>
      <c r="B80" s="16" t="s">
        <v>38</v>
      </c>
      <c r="C80" s="16">
        <v>1.3018081401348E-3</v>
      </c>
      <c r="D80" s="16">
        <v>3.3031749575120002E-4</v>
      </c>
      <c r="E80" s="16">
        <v>3.1903543133530001E-4</v>
      </c>
      <c r="F80" s="16">
        <v>3.8594187567879998E-4</v>
      </c>
      <c r="G80" s="16">
        <v>6.3946128345579998E-4</v>
      </c>
      <c r="H80" s="16">
        <v>2.8289784339339998E-4</v>
      </c>
      <c r="I80" s="16">
        <v>5.8506340922450002E-4</v>
      </c>
      <c r="J80" s="16" t="s">
        <v>361</v>
      </c>
      <c r="K80" s="16" t="s">
        <v>1877</v>
      </c>
    </row>
    <row r="81" spans="1:11">
      <c r="A81" s="16">
        <v>1</v>
      </c>
      <c r="B81" s="16" t="s">
        <v>39</v>
      </c>
      <c r="C81" s="16">
        <v>3.4003581782857E-3</v>
      </c>
      <c r="D81" s="16">
        <v>2.8226770072497E-3</v>
      </c>
      <c r="E81" s="16">
        <v>9.1563612345909999E-4</v>
      </c>
      <c r="F81" s="16">
        <v>1.0581562199093999E-3</v>
      </c>
      <c r="G81" s="16">
        <v>2.3463672970162998E-3</v>
      </c>
      <c r="H81" s="16">
        <v>3.0762664275575001E-3</v>
      </c>
      <c r="I81" s="16">
        <v>3.1744686597282002E-3</v>
      </c>
      <c r="J81" s="16" t="s">
        <v>361</v>
      </c>
      <c r="K81" s="16" t="s">
        <v>1877</v>
      </c>
    </row>
    <row r="82" spans="1:11">
      <c r="A82" s="16">
        <v>2</v>
      </c>
      <c r="B82" s="16" t="s">
        <v>40</v>
      </c>
      <c r="C82" s="16">
        <v>1.6475083571845001E-3</v>
      </c>
      <c r="D82" s="16">
        <v>5.1268752410850004E-4</v>
      </c>
      <c r="E82" s="16">
        <v>5.1268752410850004E-4</v>
      </c>
      <c r="F82" s="16">
        <v>5.1268752410850004E-4</v>
      </c>
      <c r="G82" s="16">
        <v>0</v>
      </c>
      <c r="H82" s="16">
        <v>0</v>
      </c>
      <c r="I82" s="16">
        <v>1.5380625723256001E-3</v>
      </c>
      <c r="J82" s="16" t="s">
        <v>361</v>
      </c>
      <c r="K82" s="16" t="s">
        <v>1877</v>
      </c>
    </row>
    <row r="83" spans="1:11">
      <c r="A83" s="16">
        <v>3</v>
      </c>
      <c r="B83" s="16" t="s">
        <v>41</v>
      </c>
      <c r="C83" s="16">
        <v>7.5686214263260003E-4</v>
      </c>
      <c r="D83" s="95">
        <v>7.1745362435244995E-5</v>
      </c>
      <c r="E83" s="95">
        <v>7.1745362435244995E-5</v>
      </c>
      <c r="F83" s="95">
        <v>7.1745362435244995E-5</v>
      </c>
      <c r="G83" s="16">
        <v>0</v>
      </c>
      <c r="H83" s="16">
        <v>0</v>
      </c>
      <c r="I83" s="16">
        <v>2.1523608730569999E-4</v>
      </c>
      <c r="J83" s="16" t="s">
        <v>361</v>
      </c>
      <c r="K83" s="16" t="s">
        <v>1877</v>
      </c>
    </row>
    <row r="84" spans="1:11">
      <c r="A84" s="16">
        <v>4</v>
      </c>
      <c r="B84" s="16" t="s">
        <v>42</v>
      </c>
      <c r="C84" s="95">
        <v>4.0472255247854701E-5</v>
      </c>
      <c r="D84" s="16">
        <v>0</v>
      </c>
      <c r="E84" s="95">
        <v>1.25945463327246E-5</v>
      </c>
      <c r="F84" s="95">
        <v>1.25945463327246E-5</v>
      </c>
      <c r="G84" s="16">
        <v>0</v>
      </c>
      <c r="H84" s="16">
        <v>0</v>
      </c>
      <c r="I84" s="95">
        <v>3.7783638998173901E-5</v>
      </c>
      <c r="J84" s="16" t="s">
        <v>361</v>
      </c>
      <c r="K84" s="16" t="s">
        <v>1877</v>
      </c>
    </row>
    <row r="85" spans="1:11">
      <c r="A85" s="16">
        <v>5</v>
      </c>
      <c r="B85" s="16" t="s">
        <v>43</v>
      </c>
      <c r="C85" s="16">
        <v>4.5678462664228E-3</v>
      </c>
      <c r="D85" s="16">
        <v>1.4345302324303001E-3</v>
      </c>
      <c r="E85" s="16">
        <v>1.4345302324303001E-3</v>
      </c>
      <c r="F85" s="16">
        <v>1.4345302324303001E-3</v>
      </c>
      <c r="G85" s="16">
        <v>3.1578540511261002E-3</v>
      </c>
      <c r="H85" s="16">
        <v>1.1117609301334E-3</v>
      </c>
      <c r="I85" s="16">
        <v>4.3035906972908999E-3</v>
      </c>
      <c r="J85" s="16" t="s">
        <v>361</v>
      </c>
      <c r="K85" s="16" t="s">
        <v>1877</v>
      </c>
    </row>
    <row r="86" spans="1:11">
      <c r="A86" s="16">
        <v>0</v>
      </c>
      <c r="B86" s="16" t="s">
        <v>38</v>
      </c>
      <c r="C86" s="16">
        <v>1.3018081401348E-3</v>
      </c>
      <c r="D86" s="16">
        <v>3.3031749575120002E-4</v>
      </c>
      <c r="E86" s="16">
        <v>3.1903543133530001E-4</v>
      </c>
      <c r="F86" s="16">
        <v>3.8594187567879998E-4</v>
      </c>
      <c r="G86" s="16">
        <v>6.3946128345579998E-4</v>
      </c>
      <c r="H86" s="16">
        <v>2.8289784339339998E-4</v>
      </c>
      <c r="I86" s="16">
        <v>5.8506340922450002E-4</v>
      </c>
      <c r="J86" s="16" t="s">
        <v>362</v>
      </c>
      <c r="K86" s="16" t="s">
        <v>1877</v>
      </c>
    </row>
    <row r="87" spans="1:11">
      <c r="A87" s="16">
        <v>1</v>
      </c>
      <c r="B87" s="16" t="s">
        <v>39</v>
      </c>
      <c r="C87" s="16">
        <v>3.4003581782857E-3</v>
      </c>
      <c r="D87" s="16">
        <v>2.8226770072497E-3</v>
      </c>
      <c r="E87" s="16">
        <v>9.1563612345909999E-4</v>
      </c>
      <c r="F87" s="16">
        <v>1.0581562199093999E-3</v>
      </c>
      <c r="G87" s="16">
        <v>2.3463672970162998E-3</v>
      </c>
      <c r="H87" s="16">
        <v>3.0762664275575001E-3</v>
      </c>
      <c r="I87" s="16">
        <v>3.1744686597282002E-3</v>
      </c>
      <c r="J87" s="16" t="s">
        <v>362</v>
      </c>
      <c r="K87" s="16" t="s">
        <v>1877</v>
      </c>
    </row>
    <row r="88" spans="1:11">
      <c r="A88" s="16">
        <v>2</v>
      </c>
      <c r="B88" s="16" t="s">
        <v>40</v>
      </c>
      <c r="C88" s="16">
        <v>1.6475083571845001E-3</v>
      </c>
      <c r="D88" s="16">
        <v>5.1268752410850004E-4</v>
      </c>
      <c r="E88" s="16">
        <v>5.1268752410850004E-4</v>
      </c>
      <c r="F88" s="16">
        <v>5.1268752410850004E-4</v>
      </c>
      <c r="G88" s="16">
        <v>0</v>
      </c>
      <c r="H88" s="16">
        <v>0</v>
      </c>
      <c r="I88" s="16">
        <v>1.5380625723256001E-3</v>
      </c>
      <c r="J88" s="16" t="s">
        <v>362</v>
      </c>
      <c r="K88" s="16" t="s">
        <v>1877</v>
      </c>
    </row>
    <row r="89" spans="1:11">
      <c r="A89" s="16">
        <v>3</v>
      </c>
      <c r="B89" s="16" t="s">
        <v>41</v>
      </c>
      <c r="C89" s="16">
        <v>7.5686214263260003E-4</v>
      </c>
      <c r="D89" s="95">
        <v>7.1745362435244995E-5</v>
      </c>
      <c r="E89" s="95">
        <v>7.1745362435244995E-5</v>
      </c>
      <c r="F89" s="95">
        <v>7.1745362435244995E-5</v>
      </c>
      <c r="G89" s="16">
        <v>0</v>
      </c>
      <c r="H89" s="16">
        <v>0</v>
      </c>
      <c r="I89" s="16">
        <v>2.1523608730569999E-4</v>
      </c>
      <c r="J89" s="16" t="s">
        <v>362</v>
      </c>
      <c r="K89" s="16" t="s">
        <v>1877</v>
      </c>
    </row>
    <row r="90" spans="1:11">
      <c r="A90" s="16">
        <v>4</v>
      </c>
      <c r="B90" s="16" t="s">
        <v>42</v>
      </c>
      <c r="C90" s="95">
        <v>4.0472255247854701E-5</v>
      </c>
      <c r="D90" s="16">
        <v>0</v>
      </c>
      <c r="E90" s="95">
        <v>1.25945463327246E-5</v>
      </c>
      <c r="F90" s="95">
        <v>1.25945463327246E-5</v>
      </c>
      <c r="G90" s="16">
        <v>0</v>
      </c>
      <c r="H90" s="16">
        <v>0</v>
      </c>
      <c r="I90" s="95">
        <v>3.7783638998173901E-5</v>
      </c>
      <c r="J90" s="16" t="s">
        <v>362</v>
      </c>
      <c r="K90" s="16" t="s">
        <v>1877</v>
      </c>
    </row>
    <row r="91" spans="1:11">
      <c r="A91" s="16">
        <v>5</v>
      </c>
      <c r="B91" s="16" t="s">
        <v>43</v>
      </c>
      <c r="C91" s="16">
        <v>4.5678462664228E-3</v>
      </c>
      <c r="D91" s="16">
        <v>1.4345302324303001E-3</v>
      </c>
      <c r="E91" s="16">
        <v>1.4345302324303001E-3</v>
      </c>
      <c r="F91" s="16">
        <v>1.4345302324303001E-3</v>
      </c>
      <c r="G91" s="16">
        <v>3.1578540511261002E-3</v>
      </c>
      <c r="H91" s="16">
        <v>1.1117609301334E-3</v>
      </c>
      <c r="I91" s="16">
        <v>4.3035906972908999E-3</v>
      </c>
      <c r="J91" s="16" t="s">
        <v>362</v>
      </c>
      <c r="K91" s="16" t="s">
        <v>1877</v>
      </c>
    </row>
    <row r="92" spans="1:11">
      <c r="A92" s="16">
        <v>0</v>
      </c>
      <c r="B92" s="16" t="s">
        <v>38</v>
      </c>
      <c r="C92" s="16">
        <v>1.3018081401348E-3</v>
      </c>
      <c r="D92" s="16">
        <v>3.3031749575120002E-4</v>
      </c>
      <c r="E92" s="16">
        <v>3.1903543133530001E-4</v>
      </c>
      <c r="F92" s="16">
        <v>3.8594187567879998E-4</v>
      </c>
      <c r="G92" s="16">
        <v>6.3946128345579998E-4</v>
      </c>
      <c r="H92" s="16">
        <v>2.8289784339339998E-4</v>
      </c>
      <c r="I92" s="16">
        <v>5.8506340922450002E-4</v>
      </c>
      <c r="J92" s="16" t="s">
        <v>363</v>
      </c>
      <c r="K92" s="16" t="s">
        <v>1877</v>
      </c>
    </row>
    <row r="93" spans="1:11">
      <c r="A93" s="16">
        <v>1</v>
      </c>
      <c r="B93" s="16" t="s">
        <v>39</v>
      </c>
      <c r="C93" s="16">
        <v>3.4003581782857E-3</v>
      </c>
      <c r="D93" s="16">
        <v>2.8226770072497E-3</v>
      </c>
      <c r="E93" s="16">
        <v>9.1563612345909999E-4</v>
      </c>
      <c r="F93" s="16">
        <v>1.0581562199093999E-3</v>
      </c>
      <c r="G93" s="16">
        <v>2.3463672970162998E-3</v>
      </c>
      <c r="H93" s="16">
        <v>3.0762664275575001E-3</v>
      </c>
      <c r="I93" s="16">
        <v>3.1744686597282002E-3</v>
      </c>
      <c r="J93" s="16" t="s">
        <v>363</v>
      </c>
      <c r="K93" s="16" t="s">
        <v>1877</v>
      </c>
    </row>
    <row r="94" spans="1:11">
      <c r="A94" s="16">
        <v>2</v>
      </c>
      <c r="B94" s="16" t="s">
        <v>40</v>
      </c>
      <c r="C94" s="16">
        <v>1.6475083571845001E-3</v>
      </c>
      <c r="D94" s="16">
        <v>5.1268752410850004E-4</v>
      </c>
      <c r="E94" s="16">
        <v>5.1268752410850004E-4</v>
      </c>
      <c r="F94" s="16">
        <v>5.1268752410850004E-4</v>
      </c>
      <c r="G94" s="16">
        <v>0</v>
      </c>
      <c r="H94" s="16">
        <v>0</v>
      </c>
      <c r="I94" s="16">
        <v>1.5380625723256001E-3</v>
      </c>
      <c r="J94" s="16" t="s">
        <v>363</v>
      </c>
      <c r="K94" s="16" t="s">
        <v>1877</v>
      </c>
    </row>
    <row r="95" spans="1:11">
      <c r="A95" s="16">
        <v>3</v>
      </c>
      <c r="B95" s="16" t="s">
        <v>41</v>
      </c>
      <c r="C95" s="16">
        <v>7.5686214263260003E-4</v>
      </c>
      <c r="D95" s="95">
        <v>7.1745362435244995E-5</v>
      </c>
      <c r="E95" s="95">
        <v>7.1745362435244995E-5</v>
      </c>
      <c r="F95" s="95">
        <v>7.1745362435244995E-5</v>
      </c>
      <c r="G95" s="16">
        <v>0</v>
      </c>
      <c r="H95" s="16">
        <v>0</v>
      </c>
      <c r="I95" s="16">
        <v>2.1523608730569999E-4</v>
      </c>
      <c r="J95" s="16" t="s">
        <v>363</v>
      </c>
      <c r="K95" s="16" t="s">
        <v>1877</v>
      </c>
    </row>
    <row r="96" spans="1:11">
      <c r="A96" s="16">
        <v>4</v>
      </c>
      <c r="B96" s="16" t="s">
        <v>42</v>
      </c>
      <c r="C96" s="95">
        <v>4.0472255247854701E-5</v>
      </c>
      <c r="D96" s="16">
        <v>0</v>
      </c>
      <c r="E96" s="95">
        <v>1.25945463327246E-5</v>
      </c>
      <c r="F96" s="95">
        <v>1.25945463327246E-5</v>
      </c>
      <c r="G96" s="16">
        <v>0</v>
      </c>
      <c r="H96" s="16">
        <v>0</v>
      </c>
      <c r="I96" s="95">
        <v>3.7783638998173901E-5</v>
      </c>
      <c r="J96" s="16" t="s">
        <v>363</v>
      </c>
      <c r="K96" s="16" t="s">
        <v>1877</v>
      </c>
    </row>
    <row r="97" spans="1:11">
      <c r="A97" s="16">
        <v>5</v>
      </c>
      <c r="B97" s="16" t="s">
        <v>43</v>
      </c>
      <c r="C97" s="16">
        <v>4.5678462664228E-3</v>
      </c>
      <c r="D97" s="16">
        <v>1.4345302324303001E-3</v>
      </c>
      <c r="E97" s="16">
        <v>1.4345302324303001E-3</v>
      </c>
      <c r="F97" s="16">
        <v>1.4345302324303001E-3</v>
      </c>
      <c r="G97" s="16">
        <v>3.1578540511261002E-3</v>
      </c>
      <c r="H97" s="16">
        <v>1.1117609301334E-3</v>
      </c>
      <c r="I97" s="16">
        <v>4.3035906972908999E-3</v>
      </c>
      <c r="J97" s="16" t="s">
        <v>363</v>
      </c>
      <c r="K97" s="16" t="s">
        <v>1877</v>
      </c>
    </row>
    <row r="98" spans="1:11">
      <c r="A98" s="16">
        <v>0</v>
      </c>
      <c r="B98" s="16" t="s">
        <v>38</v>
      </c>
      <c r="C98" s="16">
        <v>1.3018081401348E-3</v>
      </c>
      <c r="D98" s="16">
        <v>3.3031749575120002E-4</v>
      </c>
      <c r="E98" s="16">
        <v>3.1903543133530001E-4</v>
      </c>
      <c r="F98" s="16">
        <v>3.8594187567879998E-4</v>
      </c>
      <c r="G98" s="16">
        <v>6.3946128345579998E-4</v>
      </c>
      <c r="H98" s="16">
        <v>2.8289784339339998E-4</v>
      </c>
      <c r="I98" s="16">
        <v>5.8506340922450002E-4</v>
      </c>
      <c r="J98" s="16" t="s">
        <v>364</v>
      </c>
      <c r="K98" s="16" t="s">
        <v>1877</v>
      </c>
    </row>
    <row r="99" spans="1:11">
      <c r="A99" s="16">
        <v>1</v>
      </c>
      <c r="B99" s="16" t="s">
        <v>39</v>
      </c>
      <c r="C99" s="16">
        <v>3.4003581782857E-3</v>
      </c>
      <c r="D99" s="16">
        <v>2.8226770072497E-3</v>
      </c>
      <c r="E99" s="16">
        <v>9.1563612345909999E-4</v>
      </c>
      <c r="F99" s="16">
        <v>1.0581562199093999E-3</v>
      </c>
      <c r="G99" s="16">
        <v>2.3463672970162998E-3</v>
      </c>
      <c r="H99" s="16">
        <v>3.0762664275575001E-3</v>
      </c>
      <c r="I99" s="16">
        <v>3.1744686597282002E-3</v>
      </c>
      <c r="J99" s="16" t="s">
        <v>364</v>
      </c>
      <c r="K99" s="16" t="s">
        <v>1877</v>
      </c>
    </row>
    <row r="100" spans="1:11">
      <c r="A100" s="16">
        <v>2</v>
      </c>
      <c r="B100" s="16" t="s">
        <v>40</v>
      </c>
      <c r="C100" s="16">
        <v>1.6475083571845001E-3</v>
      </c>
      <c r="D100" s="16">
        <v>5.1268752410850004E-4</v>
      </c>
      <c r="E100" s="16">
        <v>5.1268752410850004E-4</v>
      </c>
      <c r="F100" s="16">
        <v>5.1268752410850004E-4</v>
      </c>
      <c r="G100" s="16">
        <v>0</v>
      </c>
      <c r="H100" s="16">
        <v>0</v>
      </c>
      <c r="I100" s="16">
        <v>1.5380625723256001E-3</v>
      </c>
      <c r="J100" s="16" t="s">
        <v>364</v>
      </c>
      <c r="K100" s="16" t="s">
        <v>1877</v>
      </c>
    </row>
    <row r="101" spans="1:11">
      <c r="A101" s="16">
        <v>3</v>
      </c>
      <c r="B101" s="16" t="s">
        <v>41</v>
      </c>
      <c r="C101" s="16">
        <v>7.5686214263260003E-4</v>
      </c>
      <c r="D101" s="95">
        <v>7.1745362435244995E-5</v>
      </c>
      <c r="E101" s="95">
        <v>7.1745362435244995E-5</v>
      </c>
      <c r="F101" s="95">
        <v>7.1745362435244995E-5</v>
      </c>
      <c r="G101" s="16">
        <v>0</v>
      </c>
      <c r="H101" s="16">
        <v>0</v>
      </c>
      <c r="I101" s="16">
        <v>2.1523608730569999E-4</v>
      </c>
      <c r="J101" s="16" t="s">
        <v>364</v>
      </c>
      <c r="K101" s="16" t="s">
        <v>1877</v>
      </c>
    </row>
    <row r="102" spans="1:11">
      <c r="A102" s="16">
        <v>4</v>
      </c>
      <c r="B102" s="16" t="s">
        <v>42</v>
      </c>
      <c r="C102" s="95">
        <v>4.0472255247854701E-5</v>
      </c>
      <c r="D102" s="16">
        <v>0</v>
      </c>
      <c r="E102" s="95">
        <v>1.25945463327246E-5</v>
      </c>
      <c r="F102" s="95">
        <v>1.25945463327246E-5</v>
      </c>
      <c r="G102" s="16">
        <v>0</v>
      </c>
      <c r="H102" s="16">
        <v>0</v>
      </c>
      <c r="I102" s="95">
        <v>3.7783638998173901E-5</v>
      </c>
      <c r="J102" s="16" t="s">
        <v>364</v>
      </c>
      <c r="K102" s="16" t="s">
        <v>1877</v>
      </c>
    </row>
    <row r="103" spans="1:11">
      <c r="A103" s="16">
        <v>5</v>
      </c>
      <c r="B103" s="16" t="s">
        <v>43</v>
      </c>
      <c r="C103" s="16">
        <v>4.5678462664228E-3</v>
      </c>
      <c r="D103" s="16">
        <v>1.4345302324303001E-3</v>
      </c>
      <c r="E103" s="16">
        <v>1.4345302324303001E-3</v>
      </c>
      <c r="F103" s="16">
        <v>1.4345302324303001E-3</v>
      </c>
      <c r="G103" s="16">
        <v>3.1578540511261002E-3</v>
      </c>
      <c r="H103" s="16">
        <v>1.1117609301334E-3</v>
      </c>
      <c r="I103" s="16">
        <v>4.3035906972908999E-3</v>
      </c>
      <c r="J103" s="16" t="s">
        <v>364</v>
      </c>
      <c r="K103" s="16" t="s">
        <v>1877</v>
      </c>
    </row>
    <row r="104" spans="1:11">
      <c r="A104" s="16">
        <v>0</v>
      </c>
      <c r="B104" s="16" t="s">
        <v>38</v>
      </c>
      <c r="C104" s="16">
        <v>1.3018081401348E-3</v>
      </c>
      <c r="D104" s="16">
        <v>3.3031749575120002E-4</v>
      </c>
      <c r="E104" s="16">
        <v>3.1903543133530001E-4</v>
      </c>
      <c r="F104" s="16">
        <v>3.8594187567879998E-4</v>
      </c>
      <c r="G104" s="16">
        <v>6.3946128345579998E-4</v>
      </c>
      <c r="H104" s="16">
        <v>2.8289784339339998E-4</v>
      </c>
      <c r="I104" s="16">
        <v>5.8506340922450002E-4</v>
      </c>
      <c r="J104" s="16" t="s">
        <v>365</v>
      </c>
      <c r="K104" s="16" t="s">
        <v>1877</v>
      </c>
    </row>
    <row r="105" spans="1:11">
      <c r="A105" s="16">
        <v>1</v>
      </c>
      <c r="B105" s="16" t="s">
        <v>39</v>
      </c>
      <c r="C105" s="16">
        <v>3.4003581782857E-3</v>
      </c>
      <c r="D105" s="16">
        <v>2.8226770072497E-3</v>
      </c>
      <c r="E105" s="16">
        <v>9.1563612345909999E-4</v>
      </c>
      <c r="F105" s="16">
        <v>1.0581562199093999E-3</v>
      </c>
      <c r="G105" s="16">
        <v>2.3463672970162998E-3</v>
      </c>
      <c r="H105" s="16">
        <v>3.0762664275575001E-3</v>
      </c>
      <c r="I105" s="16">
        <v>3.1744686597282002E-3</v>
      </c>
      <c r="J105" s="16" t="s">
        <v>365</v>
      </c>
      <c r="K105" s="16" t="s">
        <v>1877</v>
      </c>
    </row>
    <row r="106" spans="1:11">
      <c r="A106" s="16">
        <v>2</v>
      </c>
      <c r="B106" s="16" t="s">
        <v>40</v>
      </c>
      <c r="C106" s="16">
        <v>1.6475083571845001E-3</v>
      </c>
      <c r="D106" s="16">
        <v>5.1268752410850004E-4</v>
      </c>
      <c r="E106" s="16">
        <v>5.1268752410850004E-4</v>
      </c>
      <c r="F106" s="16">
        <v>5.1268752410850004E-4</v>
      </c>
      <c r="G106" s="16">
        <v>0</v>
      </c>
      <c r="H106" s="16">
        <v>0</v>
      </c>
      <c r="I106" s="16">
        <v>1.5380625723256001E-3</v>
      </c>
      <c r="J106" s="16" t="s">
        <v>365</v>
      </c>
      <c r="K106" s="16" t="s">
        <v>1877</v>
      </c>
    </row>
    <row r="107" spans="1:11">
      <c r="A107" s="16">
        <v>3</v>
      </c>
      <c r="B107" s="16" t="s">
        <v>41</v>
      </c>
      <c r="C107" s="16">
        <v>7.5686214263260003E-4</v>
      </c>
      <c r="D107" s="95">
        <v>7.1745362435244995E-5</v>
      </c>
      <c r="E107" s="95">
        <v>7.1745362435244995E-5</v>
      </c>
      <c r="F107" s="95">
        <v>7.1745362435244995E-5</v>
      </c>
      <c r="G107" s="16">
        <v>0</v>
      </c>
      <c r="H107" s="16">
        <v>0</v>
      </c>
      <c r="I107" s="16">
        <v>2.1523608730569999E-4</v>
      </c>
      <c r="J107" s="16" t="s">
        <v>365</v>
      </c>
      <c r="K107" s="16" t="s">
        <v>1877</v>
      </c>
    </row>
    <row r="108" spans="1:11">
      <c r="A108" s="16">
        <v>4</v>
      </c>
      <c r="B108" s="16" t="s">
        <v>42</v>
      </c>
      <c r="C108" s="95">
        <v>4.0472255247854701E-5</v>
      </c>
      <c r="D108" s="16">
        <v>0</v>
      </c>
      <c r="E108" s="95">
        <v>1.25945463327246E-5</v>
      </c>
      <c r="F108" s="95">
        <v>1.25945463327246E-5</v>
      </c>
      <c r="G108" s="16">
        <v>0</v>
      </c>
      <c r="H108" s="16">
        <v>0</v>
      </c>
      <c r="I108" s="95">
        <v>3.7783638998173901E-5</v>
      </c>
      <c r="J108" s="16" t="s">
        <v>365</v>
      </c>
      <c r="K108" s="16" t="s">
        <v>1877</v>
      </c>
    </row>
    <row r="109" spans="1:11">
      <c r="A109" s="16">
        <v>5</v>
      </c>
      <c r="B109" s="16" t="s">
        <v>43</v>
      </c>
      <c r="C109" s="16">
        <v>4.5678462664228E-3</v>
      </c>
      <c r="D109" s="16">
        <v>1.4345302324303001E-3</v>
      </c>
      <c r="E109" s="16">
        <v>1.4345302324303001E-3</v>
      </c>
      <c r="F109" s="16">
        <v>1.4345302324303001E-3</v>
      </c>
      <c r="G109" s="16">
        <v>3.1578540511261002E-3</v>
      </c>
      <c r="H109" s="16">
        <v>1.1117609301334E-3</v>
      </c>
      <c r="I109" s="16">
        <v>4.3035906972908999E-3</v>
      </c>
      <c r="J109" s="16" t="s">
        <v>365</v>
      </c>
      <c r="K109" s="16" t="s">
        <v>1877</v>
      </c>
    </row>
    <row r="110" spans="1:11">
      <c r="A110" s="16">
        <v>0</v>
      </c>
      <c r="B110" s="16" t="s">
        <v>38</v>
      </c>
      <c r="C110" s="16">
        <v>1.3018081401348E-3</v>
      </c>
      <c r="D110" s="16">
        <v>3.3031749575120002E-4</v>
      </c>
      <c r="E110" s="16">
        <v>3.1903543133530001E-4</v>
      </c>
      <c r="F110" s="16">
        <v>3.8594187567879998E-4</v>
      </c>
      <c r="G110" s="16">
        <v>6.3946128345579998E-4</v>
      </c>
      <c r="H110" s="16">
        <v>2.8289784339339998E-4</v>
      </c>
      <c r="I110" s="16">
        <v>5.8506340922450002E-4</v>
      </c>
      <c r="J110" s="16" t="s">
        <v>366</v>
      </c>
      <c r="K110" s="16" t="s">
        <v>1877</v>
      </c>
    </row>
    <row r="111" spans="1:11">
      <c r="A111" s="16">
        <v>1</v>
      </c>
      <c r="B111" s="16" t="s">
        <v>39</v>
      </c>
      <c r="C111" s="16">
        <v>3.4003581782857E-3</v>
      </c>
      <c r="D111" s="16">
        <v>2.8226770072497E-3</v>
      </c>
      <c r="E111" s="16">
        <v>9.1563612345909999E-4</v>
      </c>
      <c r="F111" s="16">
        <v>1.0581562199093999E-3</v>
      </c>
      <c r="G111" s="16">
        <v>2.3463672970162998E-3</v>
      </c>
      <c r="H111" s="16">
        <v>3.0762664275575001E-3</v>
      </c>
      <c r="I111" s="16">
        <v>3.1744686597282002E-3</v>
      </c>
      <c r="J111" s="16" t="s">
        <v>366</v>
      </c>
      <c r="K111" s="16" t="s">
        <v>1877</v>
      </c>
    </row>
    <row r="112" spans="1:11">
      <c r="A112" s="16">
        <v>2</v>
      </c>
      <c r="B112" s="16" t="s">
        <v>40</v>
      </c>
      <c r="C112" s="16">
        <v>1.6475083571845001E-3</v>
      </c>
      <c r="D112" s="16">
        <v>5.1268752410850004E-4</v>
      </c>
      <c r="E112" s="16">
        <v>5.1268752410850004E-4</v>
      </c>
      <c r="F112" s="16">
        <v>5.1268752410850004E-4</v>
      </c>
      <c r="G112" s="16">
        <v>0</v>
      </c>
      <c r="H112" s="16">
        <v>0</v>
      </c>
      <c r="I112" s="16">
        <v>1.5380625723256001E-3</v>
      </c>
      <c r="J112" s="16" t="s">
        <v>366</v>
      </c>
      <c r="K112" s="16" t="s">
        <v>1877</v>
      </c>
    </row>
    <row r="113" spans="1:11">
      <c r="A113" s="16">
        <v>3</v>
      </c>
      <c r="B113" s="16" t="s">
        <v>41</v>
      </c>
      <c r="C113" s="16">
        <v>7.5686214263260003E-4</v>
      </c>
      <c r="D113" s="95">
        <v>7.1745362435244995E-5</v>
      </c>
      <c r="E113" s="95">
        <v>7.1745362435244995E-5</v>
      </c>
      <c r="F113" s="95">
        <v>7.1745362435244995E-5</v>
      </c>
      <c r="G113" s="16">
        <v>0</v>
      </c>
      <c r="H113" s="16">
        <v>0</v>
      </c>
      <c r="I113" s="16">
        <v>2.1523608730569999E-4</v>
      </c>
      <c r="J113" s="16" t="s">
        <v>366</v>
      </c>
      <c r="K113" s="16" t="s">
        <v>1877</v>
      </c>
    </row>
    <row r="114" spans="1:11">
      <c r="A114" s="16">
        <v>4</v>
      </c>
      <c r="B114" s="16" t="s">
        <v>42</v>
      </c>
      <c r="C114" s="95">
        <v>4.0472255247854701E-5</v>
      </c>
      <c r="D114" s="16">
        <v>0</v>
      </c>
      <c r="E114" s="95">
        <v>1.25945463327246E-5</v>
      </c>
      <c r="F114" s="95">
        <v>1.25945463327246E-5</v>
      </c>
      <c r="G114" s="16">
        <v>0</v>
      </c>
      <c r="H114" s="16">
        <v>0</v>
      </c>
      <c r="I114" s="95">
        <v>3.7783638998173901E-5</v>
      </c>
      <c r="J114" s="16" t="s">
        <v>366</v>
      </c>
      <c r="K114" s="16" t="s">
        <v>1877</v>
      </c>
    </row>
    <row r="115" spans="1:11">
      <c r="A115" s="16">
        <v>5</v>
      </c>
      <c r="B115" s="16" t="s">
        <v>43</v>
      </c>
      <c r="C115" s="16">
        <v>4.5678462664228E-3</v>
      </c>
      <c r="D115" s="16">
        <v>1.4345302324303001E-3</v>
      </c>
      <c r="E115" s="16">
        <v>1.4345302324303001E-3</v>
      </c>
      <c r="F115" s="16">
        <v>1.4345302324303001E-3</v>
      </c>
      <c r="G115" s="16">
        <v>3.1578540511261002E-3</v>
      </c>
      <c r="H115" s="16">
        <v>1.1117609301334E-3</v>
      </c>
      <c r="I115" s="16">
        <v>4.3035906972908999E-3</v>
      </c>
      <c r="J115" s="16" t="s">
        <v>366</v>
      </c>
      <c r="K115" s="16" t="s">
        <v>1877</v>
      </c>
    </row>
    <row r="116" spans="1:11">
      <c r="A116" s="16">
        <v>0</v>
      </c>
      <c r="B116" s="16" t="s">
        <v>38</v>
      </c>
      <c r="C116" s="16">
        <v>1.3018081401348E-3</v>
      </c>
      <c r="D116" s="16">
        <v>3.3031749575120002E-4</v>
      </c>
      <c r="E116" s="16">
        <v>3.1903543133530001E-4</v>
      </c>
      <c r="F116" s="16">
        <v>3.8594187567879998E-4</v>
      </c>
      <c r="G116" s="16">
        <v>6.3946128345579998E-4</v>
      </c>
      <c r="H116" s="16">
        <v>2.8289784339339998E-4</v>
      </c>
      <c r="I116" s="16">
        <v>5.8506340922450002E-4</v>
      </c>
      <c r="J116" s="16" t="s">
        <v>367</v>
      </c>
      <c r="K116" s="16" t="s">
        <v>1877</v>
      </c>
    </row>
    <row r="117" spans="1:11">
      <c r="A117" s="16">
        <v>1</v>
      </c>
      <c r="B117" s="16" t="s">
        <v>39</v>
      </c>
      <c r="C117" s="16">
        <v>3.4003581782857E-3</v>
      </c>
      <c r="D117" s="16">
        <v>2.8226770072497E-3</v>
      </c>
      <c r="E117" s="16">
        <v>9.1563612345909999E-4</v>
      </c>
      <c r="F117" s="16">
        <v>1.0581562199093999E-3</v>
      </c>
      <c r="G117" s="16">
        <v>2.3463672970162998E-3</v>
      </c>
      <c r="H117" s="16">
        <v>3.0762664275575001E-3</v>
      </c>
      <c r="I117" s="16">
        <v>3.1744686597282002E-3</v>
      </c>
      <c r="J117" s="16" t="s">
        <v>367</v>
      </c>
      <c r="K117" s="16" t="s">
        <v>1877</v>
      </c>
    </row>
    <row r="118" spans="1:11">
      <c r="A118" s="16">
        <v>2</v>
      </c>
      <c r="B118" s="16" t="s">
        <v>40</v>
      </c>
      <c r="C118" s="16">
        <v>1.6475083571845001E-3</v>
      </c>
      <c r="D118" s="16">
        <v>5.1268752410850004E-4</v>
      </c>
      <c r="E118" s="16">
        <v>5.1268752410850004E-4</v>
      </c>
      <c r="F118" s="16">
        <v>5.1268752410850004E-4</v>
      </c>
      <c r="G118" s="16">
        <v>0</v>
      </c>
      <c r="H118" s="16">
        <v>0</v>
      </c>
      <c r="I118" s="16">
        <v>1.5380625723256001E-3</v>
      </c>
      <c r="J118" s="16" t="s">
        <v>367</v>
      </c>
      <c r="K118" s="16" t="s">
        <v>1877</v>
      </c>
    </row>
    <row r="119" spans="1:11">
      <c r="A119" s="16">
        <v>3</v>
      </c>
      <c r="B119" s="16" t="s">
        <v>41</v>
      </c>
      <c r="C119" s="16">
        <v>7.5686214263260003E-4</v>
      </c>
      <c r="D119" s="95">
        <v>7.1745362435244995E-5</v>
      </c>
      <c r="E119" s="95">
        <v>7.1745362435244995E-5</v>
      </c>
      <c r="F119" s="95">
        <v>7.1745362435244995E-5</v>
      </c>
      <c r="G119" s="16">
        <v>0</v>
      </c>
      <c r="H119" s="16">
        <v>0</v>
      </c>
      <c r="I119" s="16">
        <v>2.1523608730569999E-4</v>
      </c>
      <c r="J119" s="16" t="s">
        <v>367</v>
      </c>
      <c r="K119" s="16" t="s">
        <v>1877</v>
      </c>
    </row>
    <row r="120" spans="1:11">
      <c r="A120" s="16">
        <v>4</v>
      </c>
      <c r="B120" s="16" t="s">
        <v>42</v>
      </c>
      <c r="C120" s="95">
        <v>4.0472255247854701E-5</v>
      </c>
      <c r="D120" s="16">
        <v>0</v>
      </c>
      <c r="E120" s="95">
        <v>1.25945463327246E-5</v>
      </c>
      <c r="F120" s="95">
        <v>1.25945463327246E-5</v>
      </c>
      <c r="G120" s="16">
        <v>0</v>
      </c>
      <c r="H120" s="16">
        <v>0</v>
      </c>
      <c r="I120" s="95">
        <v>3.7783638998173901E-5</v>
      </c>
      <c r="J120" s="16" t="s">
        <v>367</v>
      </c>
      <c r="K120" s="16" t="s">
        <v>1877</v>
      </c>
    </row>
    <row r="121" spans="1:11">
      <c r="A121" s="16">
        <v>5</v>
      </c>
      <c r="B121" s="16" t="s">
        <v>43</v>
      </c>
      <c r="C121" s="16">
        <v>4.5678462664228E-3</v>
      </c>
      <c r="D121" s="16">
        <v>1.4345302324303001E-3</v>
      </c>
      <c r="E121" s="16">
        <v>1.4345302324303001E-3</v>
      </c>
      <c r="F121" s="16">
        <v>1.4345302324303001E-3</v>
      </c>
      <c r="G121" s="16">
        <v>3.1578540511261002E-3</v>
      </c>
      <c r="H121" s="16">
        <v>1.1117609301334E-3</v>
      </c>
      <c r="I121" s="16">
        <v>4.3035906972908999E-3</v>
      </c>
      <c r="J121" s="16" t="s">
        <v>367</v>
      </c>
      <c r="K121" s="16" t="s">
        <v>1877</v>
      </c>
    </row>
    <row r="122" spans="1:11">
      <c r="A122" s="16">
        <v>0</v>
      </c>
      <c r="B122" s="16" t="s">
        <v>38</v>
      </c>
      <c r="C122" s="16">
        <v>1.3018081401348E-3</v>
      </c>
      <c r="D122" s="16">
        <v>3.3031749575120002E-4</v>
      </c>
      <c r="E122" s="16">
        <v>3.1903543133530001E-4</v>
      </c>
      <c r="F122" s="16">
        <v>3.8594187567879998E-4</v>
      </c>
      <c r="G122" s="16">
        <v>6.3946128345579998E-4</v>
      </c>
      <c r="H122" s="16">
        <v>2.8289784339339998E-4</v>
      </c>
      <c r="I122" s="16">
        <v>5.8506340922450002E-4</v>
      </c>
      <c r="J122" s="16" t="s">
        <v>368</v>
      </c>
      <c r="K122" s="16" t="s">
        <v>1877</v>
      </c>
    </row>
    <row r="123" spans="1:11">
      <c r="A123" s="16">
        <v>1</v>
      </c>
      <c r="B123" s="16" t="s">
        <v>39</v>
      </c>
      <c r="C123" s="16">
        <v>3.4003581782857E-3</v>
      </c>
      <c r="D123" s="16">
        <v>2.8226770072497E-3</v>
      </c>
      <c r="E123" s="16">
        <v>9.1563612345909999E-4</v>
      </c>
      <c r="F123" s="16">
        <v>1.0581562199093999E-3</v>
      </c>
      <c r="G123" s="16">
        <v>2.3463672970162998E-3</v>
      </c>
      <c r="H123" s="16">
        <v>3.0762664275575001E-3</v>
      </c>
      <c r="I123" s="16">
        <v>3.1744686597282002E-3</v>
      </c>
      <c r="J123" s="16" t="s">
        <v>368</v>
      </c>
      <c r="K123" s="16" t="s">
        <v>1877</v>
      </c>
    </row>
    <row r="124" spans="1:11">
      <c r="A124" s="16">
        <v>2</v>
      </c>
      <c r="B124" s="16" t="s">
        <v>40</v>
      </c>
      <c r="C124" s="16">
        <v>1.6475083571845001E-3</v>
      </c>
      <c r="D124" s="16">
        <v>5.1268752410850004E-4</v>
      </c>
      <c r="E124" s="16">
        <v>5.1268752410850004E-4</v>
      </c>
      <c r="F124" s="16">
        <v>5.1268752410850004E-4</v>
      </c>
      <c r="G124" s="16">
        <v>0</v>
      </c>
      <c r="H124" s="16">
        <v>0</v>
      </c>
      <c r="I124" s="16">
        <v>1.5380625723256001E-3</v>
      </c>
      <c r="J124" s="16" t="s">
        <v>368</v>
      </c>
      <c r="K124" s="16" t="s">
        <v>1877</v>
      </c>
    </row>
    <row r="125" spans="1:11">
      <c r="A125" s="16">
        <v>3</v>
      </c>
      <c r="B125" s="16" t="s">
        <v>41</v>
      </c>
      <c r="C125" s="16">
        <v>7.5686214263260003E-4</v>
      </c>
      <c r="D125" s="95">
        <v>7.1745362435244995E-5</v>
      </c>
      <c r="E125" s="95">
        <v>7.1745362435244995E-5</v>
      </c>
      <c r="F125" s="95">
        <v>7.1745362435244995E-5</v>
      </c>
      <c r="G125" s="16">
        <v>0</v>
      </c>
      <c r="H125" s="16">
        <v>0</v>
      </c>
      <c r="I125" s="16">
        <v>2.1523608730569999E-4</v>
      </c>
      <c r="J125" s="16" t="s">
        <v>368</v>
      </c>
      <c r="K125" s="16" t="s">
        <v>1877</v>
      </c>
    </row>
    <row r="126" spans="1:11">
      <c r="A126" s="16">
        <v>4</v>
      </c>
      <c r="B126" s="16" t="s">
        <v>42</v>
      </c>
      <c r="C126" s="95">
        <v>4.0472255247854701E-5</v>
      </c>
      <c r="D126" s="16">
        <v>0</v>
      </c>
      <c r="E126" s="95">
        <v>1.25945463327246E-5</v>
      </c>
      <c r="F126" s="95">
        <v>1.25945463327246E-5</v>
      </c>
      <c r="G126" s="16">
        <v>0</v>
      </c>
      <c r="H126" s="16">
        <v>0</v>
      </c>
      <c r="I126" s="95">
        <v>3.7783638998173901E-5</v>
      </c>
      <c r="J126" s="16" t="s">
        <v>368</v>
      </c>
      <c r="K126" s="16" t="s">
        <v>1877</v>
      </c>
    </row>
    <row r="127" spans="1:11">
      <c r="A127" s="16">
        <v>5</v>
      </c>
      <c r="B127" s="16" t="s">
        <v>43</v>
      </c>
      <c r="C127" s="16">
        <v>4.5678462664228E-3</v>
      </c>
      <c r="D127" s="16">
        <v>1.4345302324303001E-3</v>
      </c>
      <c r="E127" s="16">
        <v>1.4345302324303001E-3</v>
      </c>
      <c r="F127" s="16">
        <v>1.4345302324303001E-3</v>
      </c>
      <c r="G127" s="16">
        <v>3.1578540511261002E-3</v>
      </c>
      <c r="H127" s="16">
        <v>1.1117609301334E-3</v>
      </c>
      <c r="I127" s="16">
        <v>4.3035906972908999E-3</v>
      </c>
      <c r="J127" s="16" t="s">
        <v>368</v>
      </c>
      <c r="K127" s="16" t="s">
        <v>1877</v>
      </c>
    </row>
    <row r="128" spans="1:11">
      <c r="A128" s="16">
        <v>0</v>
      </c>
      <c r="B128" s="16" t="s">
        <v>38</v>
      </c>
      <c r="C128" s="16">
        <v>1.3018081401348E-3</v>
      </c>
      <c r="D128" s="16">
        <v>3.3031749575120002E-4</v>
      </c>
      <c r="E128" s="16">
        <v>3.1903543133530001E-4</v>
      </c>
      <c r="F128" s="16">
        <v>3.8594187567879998E-4</v>
      </c>
      <c r="G128" s="16">
        <v>6.3946128345579998E-4</v>
      </c>
      <c r="H128" s="16">
        <v>2.8289784339339998E-4</v>
      </c>
      <c r="I128" s="16">
        <v>5.8506340922450002E-4</v>
      </c>
      <c r="J128" s="16" t="s">
        <v>369</v>
      </c>
      <c r="K128" s="16" t="s">
        <v>1877</v>
      </c>
    </row>
    <row r="129" spans="1:11">
      <c r="A129" s="16">
        <v>1</v>
      </c>
      <c r="B129" s="16" t="s">
        <v>39</v>
      </c>
      <c r="C129" s="16">
        <v>3.4003581782857E-3</v>
      </c>
      <c r="D129" s="16">
        <v>2.8226770072497E-3</v>
      </c>
      <c r="E129" s="16">
        <v>9.1563612345909999E-4</v>
      </c>
      <c r="F129" s="16">
        <v>1.0581562199093999E-3</v>
      </c>
      <c r="G129" s="16">
        <v>2.3463672970162998E-3</v>
      </c>
      <c r="H129" s="16">
        <v>3.0762664275575001E-3</v>
      </c>
      <c r="I129" s="16">
        <v>3.1744686597282002E-3</v>
      </c>
      <c r="J129" s="16" t="s">
        <v>369</v>
      </c>
      <c r="K129" s="16" t="s">
        <v>1877</v>
      </c>
    </row>
    <row r="130" spans="1:11">
      <c r="A130" s="16">
        <v>2</v>
      </c>
      <c r="B130" s="16" t="s">
        <v>40</v>
      </c>
      <c r="C130" s="16">
        <v>1.6475083571845001E-3</v>
      </c>
      <c r="D130" s="16">
        <v>5.1268752410850004E-4</v>
      </c>
      <c r="E130" s="16">
        <v>5.1268752410850004E-4</v>
      </c>
      <c r="F130" s="16">
        <v>5.1268752410850004E-4</v>
      </c>
      <c r="G130" s="16">
        <v>0</v>
      </c>
      <c r="H130" s="16">
        <v>0</v>
      </c>
      <c r="I130" s="16">
        <v>1.5380625723256001E-3</v>
      </c>
      <c r="J130" s="16" t="s">
        <v>369</v>
      </c>
      <c r="K130" s="16" t="s">
        <v>1877</v>
      </c>
    </row>
    <row r="131" spans="1:11">
      <c r="A131" s="16">
        <v>3</v>
      </c>
      <c r="B131" s="16" t="s">
        <v>41</v>
      </c>
      <c r="C131" s="16">
        <v>7.5686214263260003E-4</v>
      </c>
      <c r="D131" s="95">
        <v>7.1745362435244995E-5</v>
      </c>
      <c r="E131" s="95">
        <v>7.1745362435244995E-5</v>
      </c>
      <c r="F131" s="95">
        <v>7.1745362435244995E-5</v>
      </c>
      <c r="G131" s="16">
        <v>0</v>
      </c>
      <c r="H131" s="16">
        <v>0</v>
      </c>
      <c r="I131" s="16">
        <v>2.1523608730569999E-4</v>
      </c>
      <c r="J131" s="16" t="s">
        <v>369</v>
      </c>
      <c r="K131" s="16" t="s">
        <v>1877</v>
      </c>
    </row>
    <row r="132" spans="1:11">
      <c r="A132" s="16">
        <v>4</v>
      </c>
      <c r="B132" s="16" t="s">
        <v>42</v>
      </c>
      <c r="C132" s="95">
        <v>4.0472255247854701E-5</v>
      </c>
      <c r="D132" s="16">
        <v>0</v>
      </c>
      <c r="E132" s="95">
        <v>1.25945463327246E-5</v>
      </c>
      <c r="F132" s="95">
        <v>1.25945463327246E-5</v>
      </c>
      <c r="G132" s="16">
        <v>0</v>
      </c>
      <c r="H132" s="16">
        <v>0</v>
      </c>
      <c r="I132" s="95">
        <v>3.7783638998173901E-5</v>
      </c>
      <c r="J132" s="16" t="s">
        <v>369</v>
      </c>
      <c r="K132" s="16" t="s">
        <v>1877</v>
      </c>
    </row>
    <row r="133" spans="1:11">
      <c r="A133" s="16">
        <v>5</v>
      </c>
      <c r="B133" s="16" t="s">
        <v>43</v>
      </c>
      <c r="C133" s="16">
        <v>4.5678462664228E-3</v>
      </c>
      <c r="D133" s="16">
        <v>1.4345302324303001E-3</v>
      </c>
      <c r="E133" s="16">
        <v>1.4345302324303001E-3</v>
      </c>
      <c r="F133" s="16">
        <v>1.4345302324303001E-3</v>
      </c>
      <c r="G133" s="16">
        <v>3.1578540511261002E-3</v>
      </c>
      <c r="H133" s="16">
        <v>1.1117609301334E-3</v>
      </c>
      <c r="I133" s="16">
        <v>4.3035906972908999E-3</v>
      </c>
      <c r="J133" s="16" t="s">
        <v>369</v>
      </c>
      <c r="K133" s="16" t="s">
        <v>1877</v>
      </c>
    </row>
    <row r="134" spans="1:11">
      <c r="A134" s="16">
        <v>0</v>
      </c>
      <c r="B134" s="16" t="s">
        <v>38</v>
      </c>
      <c r="C134" s="16">
        <v>1.3018081401348E-3</v>
      </c>
      <c r="D134" s="16">
        <v>3.3031749575120002E-4</v>
      </c>
      <c r="E134" s="16">
        <v>3.1903543133530001E-4</v>
      </c>
      <c r="F134" s="16">
        <v>3.8594187567879998E-4</v>
      </c>
      <c r="G134" s="16">
        <v>6.3946128345579998E-4</v>
      </c>
      <c r="H134" s="16">
        <v>2.8289784339339998E-4</v>
      </c>
      <c r="I134" s="16">
        <v>5.8506340922450002E-4</v>
      </c>
      <c r="J134" s="16" t="s">
        <v>370</v>
      </c>
      <c r="K134" s="16" t="s">
        <v>1877</v>
      </c>
    </row>
    <row r="135" spans="1:11">
      <c r="A135" s="16">
        <v>1</v>
      </c>
      <c r="B135" s="16" t="s">
        <v>39</v>
      </c>
      <c r="C135" s="16">
        <v>3.4003581782857E-3</v>
      </c>
      <c r="D135" s="16">
        <v>2.8226770072497E-3</v>
      </c>
      <c r="E135" s="16">
        <v>9.1563612345909999E-4</v>
      </c>
      <c r="F135" s="16">
        <v>1.0581562199093999E-3</v>
      </c>
      <c r="G135" s="16">
        <v>2.3463672970162998E-3</v>
      </c>
      <c r="H135" s="16">
        <v>3.0762664275575001E-3</v>
      </c>
      <c r="I135" s="16">
        <v>3.1744686597282002E-3</v>
      </c>
      <c r="J135" s="16" t="s">
        <v>370</v>
      </c>
      <c r="K135" s="16" t="s">
        <v>1877</v>
      </c>
    </row>
    <row r="136" spans="1:11">
      <c r="A136" s="16">
        <v>2</v>
      </c>
      <c r="B136" s="16" t="s">
        <v>40</v>
      </c>
      <c r="C136" s="16">
        <v>1.6475083571845001E-3</v>
      </c>
      <c r="D136" s="16">
        <v>5.1268752410850004E-4</v>
      </c>
      <c r="E136" s="16">
        <v>5.1268752410850004E-4</v>
      </c>
      <c r="F136" s="16">
        <v>5.1268752410850004E-4</v>
      </c>
      <c r="G136" s="16">
        <v>0</v>
      </c>
      <c r="H136" s="16">
        <v>0</v>
      </c>
      <c r="I136" s="16">
        <v>1.5380625723256001E-3</v>
      </c>
      <c r="J136" s="16" t="s">
        <v>370</v>
      </c>
      <c r="K136" s="16" t="s">
        <v>1877</v>
      </c>
    </row>
    <row r="137" spans="1:11">
      <c r="A137" s="16">
        <v>3</v>
      </c>
      <c r="B137" s="16" t="s">
        <v>41</v>
      </c>
      <c r="C137" s="16">
        <v>7.5686214263260003E-4</v>
      </c>
      <c r="D137" s="95">
        <v>7.1745362435244995E-5</v>
      </c>
      <c r="E137" s="95">
        <v>7.1745362435244995E-5</v>
      </c>
      <c r="F137" s="95">
        <v>7.1745362435244995E-5</v>
      </c>
      <c r="G137" s="16">
        <v>0</v>
      </c>
      <c r="H137" s="16">
        <v>0</v>
      </c>
      <c r="I137" s="16">
        <v>2.1523608730569999E-4</v>
      </c>
      <c r="J137" s="16" t="s">
        <v>370</v>
      </c>
      <c r="K137" s="16" t="s">
        <v>1877</v>
      </c>
    </row>
    <row r="138" spans="1:11">
      <c r="A138" s="16">
        <v>4</v>
      </c>
      <c r="B138" s="16" t="s">
        <v>42</v>
      </c>
      <c r="C138" s="95">
        <v>4.0472255247854701E-5</v>
      </c>
      <c r="D138" s="16">
        <v>0</v>
      </c>
      <c r="E138" s="95">
        <v>1.25945463327246E-5</v>
      </c>
      <c r="F138" s="95">
        <v>1.25945463327246E-5</v>
      </c>
      <c r="G138" s="16">
        <v>0</v>
      </c>
      <c r="H138" s="16">
        <v>0</v>
      </c>
      <c r="I138" s="95">
        <v>3.7783638998173901E-5</v>
      </c>
      <c r="J138" s="16" t="s">
        <v>370</v>
      </c>
      <c r="K138" s="16" t="s">
        <v>1877</v>
      </c>
    </row>
    <row r="139" spans="1:11">
      <c r="A139" s="16">
        <v>5</v>
      </c>
      <c r="B139" s="16" t="s">
        <v>43</v>
      </c>
      <c r="C139" s="16">
        <v>4.5678462664228E-3</v>
      </c>
      <c r="D139" s="16">
        <v>1.4345302324303001E-3</v>
      </c>
      <c r="E139" s="16">
        <v>1.4345302324303001E-3</v>
      </c>
      <c r="F139" s="16">
        <v>1.4345302324303001E-3</v>
      </c>
      <c r="G139" s="16">
        <v>3.1578540511261002E-3</v>
      </c>
      <c r="H139" s="16">
        <v>1.1117609301334E-3</v>
      </c>
      <c r="I139" s="16">
        <v>4.3035906972908999E-3</v>
      </c>
      <c r="J139" s="16" t="s">
        <v>370</v>
      </c>
      <c r="K139" s="16" t="s">
        <v>1877</v>
      </c>
    </row>
    <row r="140" spans="1:11">
      <c r="A140" s="16">
        <v>0</v>
      </c>
      <c r="B140" s="16" t="s">
        <v>38</v>
      </c>
      <c r="C140" s="16">
        <v>1.3018081401348E-3</v>
      </c>
      <c r="D140" s="16">
        <v>3.3031749575120002E-4</v>
      </c>
      <c r="E140" s="16">
        <v>3.1903543133530001E-4</v>
      </c>
      <c r="F140" s="16">
        <v>3.8594187567879998E-4</v>
      </c>
      <c r="G140" s="16">
        <v>6.3946128345579998E-4</v>
      </c>
      <c r="H140" s="16">
        <v>2.8289784339339998E-4</v>
      </c>
      <c r="I140" s="16">
        <v>5.8506340922450002E-4</v>
      </c>
      <c r="J140" s="16" t="s">
        <v>371</v>
      </c>
      <c r="K140" s="16" t="s">
        <v>1877</v>
      </c>
    </row>
    <row r="141" spans="1:11">
      <c r="A141" s="16">
        <v>1</v>
      </c>
      <c r="B141" s="16" t="s">
        <v>39</v>
      </c>
      <c r="C141" s="16">
        <v>3.4003581782857E-3</v>
      </c>
      <c r="D141" s="16">
        <v>2.8226770072497E-3</v>
      </c>
      <c r="E141" s="16">
        <v>9.1563612345909999E-4</v>
      </c>
      <c r="F141" s="16">
        <v>1.0581562199093999E-3</v>
      </c>
      <c r="G141" s="16">
        <v>2.3463672970162998E-3</v>
      </c>
      <c r="H141" s="16">
        <v>3.0762664275575001E-3</v>
      </c>
      <c r="I141" s="16">
        <v>3.1744686597282002E-3</v>
      </c>
      <c r="J141" s="16" t="s">
        <v>371</v>
      </c>
      <c r="K141" s="16" t="s">
        <v>1877</v>
      </c>
    </row>
    <row r="142" spans="1:11">
      <c r="A142" s="16">
        <v>2</v>
      </c>
      <c r="B142" s="16" t="s">
        <v>40</v>
      </c>
      <c r="C142" s="16">
        <v>1.6475083571845001E-3</v>
      </c>
      <c r="D142" s="16">
        <v>5.1268752410850004E-4</v>
      </c>
      <c r="E142" s="16">
        <v>5.1268752410850004E-4</v>
      </c>
      <c r="F142" s="16">
        <v>5.1268752410850004E-4</v>
      </c>
      <c r="G142" s="16">
        <v>0</v>
      </c>
      <c r="H142" s="16">
        <v>0</v>
      </c>
      <c r="I142" s="16">
        <v>1.5380625723256001E-3</v>
      </c>
      <c r="J142" s="16" t="s">
        <v>371</v>
      </c>
      <c r="K142" s="16" t="s">
        <v>1877</v>
      </c>
    </row>
    <row r="143" spans="1:11">
      <c r="A143" s="16">
        <v>3</v>
      </c>
      <c r="B143" s="16" t="s">
        <v>41</v>
      </c>
      <c r="C143" s="16">
        <v>7.5686214263260003E-4</v>
      </c>
      <c r="D143" s="95">
        <v>7.1745362435244995E-5</v>
      </c>
      <c r="E143" s="95">
        <v>7.1745362435244995E-5</v>
      </c>
      <c r="F143" s="95">
        <v>7.1745362435244995E-5</v>
      </c>
      <c r="G143" s="16">
        <v>0</v>
      </c>
      <c r="H143" s="16">
        <v>0</v>
      </c>
      <c r="I143" s="16">
        <v>2.1523608730569999E-4</v>
      </c>
      <c r="J143" s="16" t="s">
        <v>371</v>
      </c>
      <c r="K143" s="16" t="s">
        <v>1877</v>
      </c>
    </row>
    <row r="144" spans="1:11">
      <c r="A144" s="16">
        <v>4</v>
      </c>
      <c r="B144" s="16" t="s">
        <v>42</v>
      </c>
      <c r="C144" s="95">
        <v>4.0472255247854701E-5</v>
      </c>
      <c r="D144" s="16">
        <v>0</v>
      </c>
      <c r="E144" s="95">
        <v>1.25945463327246E-5</v>
      </c>
      <c r="F144" s="95">
        <v>1.25945463327246E-5</v>
      </c>
      <c r="G144" s="16">
        <v>0</v>
      </c>
      <c r="H144" s="16">
        <v>0</v>
      </c>
      <c r="I144" s="95">
        <v>3.7783638998173901E-5</v>
      </c>
      <c r="J144" s="16" t="s">
        <v>371</v>
      </c>
      <c r="K144" s="16" t="s">
        <v>1877</v>
      </c>
    </row>
    <row r="145" spans="1:11">
      <c r="A145" s="16">
        <v>5</v>
      </c>
      <c r="B145" s="16" t="s">
        <v>43</v>
      </c>
      <c r="C145" s="16">
        <v>4.5678462664228E-3</v>
      </c>
      <c r="D145" s="16">
        <v>1.4345302324303001E-3</v>
      </c>
      <c r="E145" s="16">
        <v>1.4345302324303001E-3</v>
      </c>
      <c r="F145" s="16">
        <v>1.4345302324303001E-3</v>
      </c>
      <c r="G145" s="16">
        <v>3.1578540511261002E-3</v>
      </c>
      <c r="H145" s="16">
        <v>1.1117609301334E-3</v>
      </c>
      <c r="I145" s="16">
        <v>4.3035906972908999E-3</v>
      </c>
      <c r="J145" s="16" t="s">
        <v>371</v>
      </c>
      <c r="K145" s="16" t="s">
        <v>1877</v>
      </c>
    </row>
    <row r="146" spans="1:11">
      <c r="A146" s="16">
        <v>0</v>
      </c>
      <c r="B146" s="16" t="s">
        <v>38</v>
      </c>
      <c r="C146" s="16">
        <v>1.3018081401348E-3</v>
      </c>
      <c r="D146" s="16">
        <v>3.3031749575120002E-4</v>
      </c>
      <c r="E146" s="16">
        <v>3.1903543133530001E-4</v>
      </c>
      <c r="F146" s="16">
        <v>3.8594187567879998E-4</v>
      </c>
      <c r="G146" s="16">
        <v>6.3946128345579998E-4</v>
      </c>
      <c r="H146" s="16">
        <v>2.8289784339339998E-4</v>
      </c>
      <c r="I146" s="16">
        <v>5.8506340922450002E-4</v>
      </c>
      <c r="J146" s="16" t="s">
        <v>372</v>
      </c>
      <c r="K146" s="16" t="s">
        <v>1877</v>
      </c>
    </row>
    <row r="147" spans="1:11">
      <c r="A147" s="16">
        <v>1</v>
      </c>
      <c r="B147" s="16" t="s">
        <v>39</v>
      </c>
      <c r="C147" s="16">
        <v>3.4003581782857E-3</v>
      </c>
      <c r="D147" s="16">
        <v>2.8226770072497E-3</v>
      </c>
      <c r="E147" s="16">
        <v>9.1563612345909999E-4</v>
      </c>
      <c r="F147" s="16">
        <v>1.0581562199093999E-3</v>
      </c>
      <c r="G147" s="16">
        <v>2.3463672970162998E-3</v>
      </c>
      <c r="H147" s="16">
        <v>3.0762664275575001E-3</v>
      </c>
      <c r="I147" s="16">
        <v>3.1744686597282002E-3</v>
      </c>
      <c r="J147" s="16" t="s">
        <v>372</v>
      </c>
      <c r="K147" s="16" t="s">
        <v>1877</v>
      </c>
    </row>
    <row r="148" spans="1:11">
      <c r="A148" s="16">
        <v>2</v>
      </c>
      <c r="B148" s="16" t="s">
        <v>40</v>
      </c>
      <c r="C148" s="16">
        <v>1.6475083571845001E-3</v>
      </c>
      <c r="D148" s="16">
        <v>5.1268752410850004E-4</v>
      </c>
      <c r="E148" s="16">
        <v>5.1268752410850004E-4</v>
      </c>
      <c r="F148" s="16">
        <v>5.1268752410850004E-4</v>
      </c>
      <c r="G148" s="16">
        <v>0</v>
      </c>
      <c r="H148" s="16">
        <v>0</v>
      </c>
      <c r="I148" s="16">
        <v>1.5380625723256001E-3</v>
      </c>
      <c r="J148" s="16" t="s">
        <v>372</v>
      </c>
      <c r="K148" s="16" t="s">
        <v>1877</v>
      </c>
    </row>
    <row r="149" spans="1:11">
      <c r="A149" s="16">
        <v>3</v>
      </c>
      <c r="B149" s="16" t="s">
        <v>41</v>
      </c>
      <c r="C149" s="16">
        <v>7.5686214263260003E-4</v>
      </c>
      <c r="D149" s="95">
        <v>7.1745362435244995E-5</v>
      </c>
      <c r="E149" s="95">
        <v>7.1745362435244995E-5</v>
      </c>
      <c r="F149" s="95">
        <v>7.1745362435244995E-5</v>
      </c>
      <c r="G149" s="16">
        <v>0</v>
      </c>
      <c r="H149" s="16">
        <v>0</v>
      </c>
      <c r="I149" s="16">
        <v>2.1523608730569999E-4</v>
      </c>
      <c r="J149" s="16" t="s">
        <v>372</v>
      </c>
      <c r="K149" s="16" t="s">
        <v>1877</v>
      </c>
    </row>
    <row r="150" spans="1:11">
      <c r="A150" s="16">
        <v>4</v>
      </c>
      <c r="B150" s="16" t="s">
        <v>42</v>
      </c>
      <c r="C150" s="95">
        <v>4.0472255247854701E-5</v>
      </c>
      <c r="D150" s="16">
        <v>0</v>
      </c>
      <c r="E150" s="95">
        <v>1.25945463327246E-5</v>
      </c>
      <c r="F150" s="95">
        <v>1.25945463327246E-5</v>
      </c>
      <c r="G150" s="16">
        <v>0</v>
      </c>
      <c r="H150" s="16">
        <v>0</v>
      </c>
      <c r="I150" s="95">
        <v>3.7783638998173901E-5</v>
      </c>
      <c r="J150" s="16" t="s">
        <v>372</v>
      </c>
      <c r="K150" s="16" t="s">
        <v>1877</v>
      </c>
    </row>
    <row r="151" spans="1:11">
      <c r="A151" s="16">
        <v>5</v>
      </c>
      <c r="B151" s="16" t="s">
        <v>43</v>
      </c>
      <c r="C151" s="16">
        <v>4.5678462664228E-3</v>
      </c>
      <c r="D151" s="16">
        <v>1.4345302324303001E-3</v>
      </c>
      <c r="E151" s="16">
        <v>1.4345302324303001E-3</v>
      </c>
      <c r="F151" s="16">
        <v>1.4345302324303001E-3</v>
      </c>
      <c r="G151" s="16">
        <v>3.1578540511261002E-3</v>
      </c>
      <c r="H151" s="16">
        <v>1.1117609301334E-3</v>
      </c>
      <c r="I151" s="16">
        <v>4.3035906972908999E-3</v>
      </c>
      <c r="J151" s="16" t="s">
        <v>372</v>
      </c>
      <c r="K151" s="16" t="s">
        <v>1877</v>
      </c>
    </row>
    <row r="152" spans="1:11">
      <c r="A152" s="16">
        <v>0</v>
      </c>
      <c r="B152" s="16" t="s">
        <v>38</v>
      </c>
      <c r="C152" s="16">
        <v>1.3018081401348E-3</v>
      </c>
      <c r="D152" s="16">
        <v>3.3031749575120002E-4</v>
      </c>
      <c r="E152" s="16">
        <v>3.1903543133530001E-4</v>
      </c>
      <c r="F152" s="16">
        <v>3.8594187567879998E-4</v>
      </c>
      <c r="G152" s="16">
        <v>6.3946128345579998E-4</v>
      </c>
      <c r="H152" s="16">
        <v>2.8289784339339998E-4</v>
      </c>
      <c r="I152" s="16">
        <v>5.8506340922450002E-4</v>
      </c>
      <c r="J152" s="16" t="s">
        <v>373</v>
      </c>
      <c r="K152" s="16" t="s">
        <v>1877</v>
      </c>
    </row>
    <row r="153" spans="1:11">
      <c r="A153" s="16">
        <v>1</v>
      </c>
      <c r="B153" s="16" t="s">
        <v>39</v>
      </c>
      <c r="C153" s="16">
        <v>3.4003581782857E-3</v>
      </c>
      <c r="D153" s="16">
        <v>2.8226770072497E-3</v>
      </c>
      <c r="E153" s="16">
        <v>9.1563612345909999E-4</v>
      </c>
      <c r="F153" s="16">
        <v>1.0581562199093999E-3</v>
      </c>
      <c r="G153" s="16">
        <v>2.3463672970162998E-3</v>
      </c>
      <c r="H153" s="16">
        <v>3.0762664275575001E-3</v>
      </c>
      <c r="I153" s="16">
        <v>3.1744686597282002E-3</v>
      </c>
      <c r="J153" s="16" t="s">
        <v>373</v>
      </c>
      <c r="K153" s="16" t="s">
        <v>1877</v>
      </c>
    </row>
    <row r="154" spans="1:11">
      <c r="A154" s="16">
        <v>2</v>
      </c>
      <c r="B154" s="16" t="s">
        <v>40</v>
      </c>
      <c r="C154" s="16">
        <v>1.6475083571845001E-3</v>
      </c>
      <c r="D154" s="16">
        <v>5.1268752410850004E-4</v>
      </c>
      <c r="E154" s="16">
        <v>5.1268752410850004E-4</v>
      </c>
      <c r="F154" s="16">
        <v>5.1268752410850004E-4</v>
      </c>
      <c r="G154" s="16">
        <v>0</v>
      </c>
      <c r="H154" s="16">
        <v>0</v>
      </c>
      <c r="I154" s="16">
        <v>1.5380625723256001E-3</v>
      </c>
      <c r="J154" s="16" t="s">
        <v>373</v>
      </c>
      <c r="K154" s="16" t="s">
        <v>1877</v>
      </c>
    </row>
    <row r="155" spans="1:11">
      <c r="A155" s="16">
        <v>3</v>
      </c>
      <c r="B155" s="16" t="s">
        <v>41</v>
      </c>
      <c r="C155" s="16">
        <v>7.5686214263260003E-4</v>
      </c>
      <c r="D155" s="95">
        <v>7.1745362435244995E-5</v>
      </c>
      <c r="E155" s="95">
        <v>7.1745362435244995E-5</v>
      </c>
      <c r="F155" s="95">
        <v>7.1745362435244995E-5</v>
      </c>
      <c r="G155" s="16">
        <v>0</v>
      </c>
      <c r="H155" s="16">
        <v>0</v>
      </c>
      <c r="I155" s="16">
        <v>2.1523608730569999E-4</v>
      </c>
      <c r="J155" s="16" t="s">
        <v>373</v>
      </c>
      <c r="K155" s="16" t="s">
        <v>1877</v>
      </c>
    </row>
    <row r="156" spans="1:11">
      <c r="A156" s="16">
        <v>4</v>
      </c>
      <c r="B156" s="16" t="s">
        <v>42</v>
      </c>
      <c r="C156" s="95">
        <v>4.0472255247854701E-5</v>
      </c>
      <c r="D156" s="16">
        <v>0</v>
      </c>
      <c r="E156" s="95">
        <v>1.25945463327246E-5</v>
      </c>
      <c r="F156" s="95">
        <v>1.25945463327246E-5</v>
      </c>
      <c r="G156" s="16">
        <v>0</v>
      </c>
      <c r="H156" s="16">
        <v>0</v>
      </c>
      <c r="I156" s="95">
        <v>3.7783638998173901E-5</v>
      </c>
      <c r="J156" s="16" t="s">
        <v>373</v>
      </c>
      <c r="K156" s="16" t="s">
        <v>1877</v>
      </c>
    </row>
    <row r="157" spans="1:11">
      <c r="A157" s="16">
        <v>5</v>
      </c>
      <c r="B157" s="16" t="s">
        <v>43</v>
      </c>
      <c r="C157" s="16">
        <v>4.5678462664228E-3</v>
      </c>
      <c r="D157" s="16">
        <v>1.4345302324303001E-3</v>
      </c>
      <c r="E157" s="16">
        <v>1.4345302324303001E-3</v>
      </c>
      <c r="F157" s="16">
        <v>1.4345302324303001E-3</v>
      </c>
      <c r="G157" s="16">
        <v>3.1578540511261002E-3</v>
      </c>
      <c r="H157" s="16">
        <v>1.1117609301334E-3</v>
      </c>
      <c r="I157" s="16">
        <v>4.3035906972908999E-3</v>
      </c>
      <c r="J157" s="16" t="s">
        <v>373</v>
      </c>
      <c r="K157" s="16" t="s">
        <v>1877</v>
      </c>
    </row>
    <row r="158" spans="1:11">
      <c r="A158" s="16">
        <v>0</v>
      </c>
      <c r="B158" s="16" t="s">
        <v>38</v>
      </c>
      <c r="C158" s="16">
        <v>1.3018081401348E-3</v>
      </c>
      <c r="D158" s="16">
        <v>3.3031749575120002E-4</v>
      </c>
      <c r="E158" s="16">
        <v>3.1903543133530001E-4</v>
      </c>
      <c r="F158" s="16">
        <v>3.8594187567879998E-4</v>
      </c>
      <c r="G158" s="16">
        <v>6.3946128345579998E-4</v>
      </c>
      <c r="H158" s="16">
        <v>2.8289784339339998E-4</v>
      </c>
      <c r="I158" s="16">
        <v>5.8506340922450002E-4</v>
      </c>
      <c r="J158" s="16" t="s">
        <v>374</v>
      </c>
      <c r="K158" s="16" t="s">
        <v>1877</v>
      </c>
    </row>
    <row r="159" spans="1:11">
      <c r="A159" s="16">
        <v>1</v>
      </c>
      <c r="B159" s="16" t="s">
        <v>39</v>
      </c>
      <c r="C159" s="16">
        <v>3.4003581782857E-3</v>
      </c>
      <c r="D159" s="16">
        <v>2.8226770072497E-3</v>
      </c>
      <c r="E159" s="16">
        <v>9.1563612345909999E-4</v>
      </c>
      <c r="F159" s="16">
        <v>1.0581562199093999E-3</v>
      </c>
      <c r="G159" s="16">
        <v>2.3463672970162998E-3</v>
      </c>
      <c r="H159" s="16">
        <v>3.0762664275575001E-3</v>
      </c>
      <c r="I159" s="16">
        <v>3.1744686597282002E-3</v>
      </c>
      <c r="J159" s="16" t="s">
        <v>374</v>
      </c>
      <c r="K159" s="16" t="s">
        <v>1877</v>
      </c>
    </row>
    <row r="160" spans="1:11">
      <c r="A160" s="16">
        <v>2</v>
      </c>
      <c r="B160" s="16" t="s">
        <v>40</v>
      </c>
      <c r="C160" s="16">
        <v>1.6475083571845001E-3</v>
      </c>
      <c r="D160" s="16">
        <v>5.1268752410850004E-4</v>
      </c>
      <c r="E160" s="16">
        <v>5.1268752410850004E-4</v>
      </c>
      <c r="F160" s="16">
        <v>5.1268752410850004E-4</v>
      </c>
      <c r="G160" s="16">
        <v>0</v>
      </c>
      <c r="H160" s="16">
        <v>0</v>
      </c>
      <c r="I160" s="16">
        <v>1.5380625723256001E-3</v>
      </c>
      <c r="J160" s="16" t="s">
        <v>374</v>
      </c>
      <c r="K160" s="16" t="s">
        <v>1877</v>
      </c>
    </row>
    <row r="161" spans="1:11">
      <c r="A161" s="16">
        <v>3</v>
      </c>
      <c r="B161" s="16" t="s">
        <v>41</v>
      </c>
      <c r="C161" s="16">
        <v>7.5686214263260003E-4</v>
      </c>
      <c r="D161" s="95">
        <v>7.1745362435244995E-5</v>
      </c>
      <c r="E161" s="95">
        <v>7.1745362435244995E-5</v>
      </c>
      <c r="F161" s="95">
        <v>7.1745362435244995E-5</v>
      </c>
      <c r="G161" s="16">
        <v>0</v>
      </c>
      <c r="H161" s="16">
        <v>0</v>
      </c>
      <c r="I161" s="16">
        <v>2.1523608730569999E-4</v>
      </c>
      <c r="J161" s="16" t="s">
        <v>374</v>
      </c>
      <c r="K161" s="16" t="s">
        <v>1877</v>
      </c>
    </row>
    <row r="162" spans="1:11">
      <c r="A162" s="16">
        <v>4</v>
      </c>
      <c r="B162" s="16" t="s">
        <v>42</v>
      </c>
      <c r="C162" s="95">
        <v>4.0472255247854701E-5</v>
      </c>
      <c r="D162" s="16">
        <v>0</v>
      </c>
      <c r="E162" s="95">
        <v>1.25945463327246E-5</v>
      </c>
      <c r="F162" s="95">
        <v>1.25945463327246E-5</v>
      </c>
      <c r="G162" s="16">
        <v>0</v>
      </c>
      <c r="H162" s="16">
        <v>0</v>
      </c>
      <c r="I162" s="95">
        <v>3.7783638998173901E-5</v>
      </c>
      <c r="J162" s="16" t="s">
        <v>374</v>
      </c>
      <c r="K162" s="16" t="s">
        <v>1877</v>
      </c>
    </row>
    <row r="163" spans="1:11">
      <c r="A163" s="16">
        <v>5</v>
      </c>
      <c r="B163" s="16" t="s">
        <v>43</v>
      </c>
      <c r="C163" s="16">
        <v>4.5678462664228E-3</v>
      </c>
      <c r="D163" s="16">
        <v>1.4345302324303001E-3</v>
      </c>
      <c r="E163" s="16">
        <v>1.4345302324303001E-3</v>
      </c>
      <c r="F163" s="16">
        <v>1.4345302324303001E-3</v>
      </c>
      <c r="G163" s="16">
        <v>3.1578540511261002E-3</v>
      </c>
      <c r="H163" s="16">
        <v>1.1117609301334E-3</v>
      </c>
      <c r="I163" s="16">
        <v>4.3035906972908999E-3</v>
      </c>
      <c r="J163" s="16" t="s">
        <v>374</v>
      </c>
      <c r="K163" s="16" t="s">
        <v>1877</v>
      </c>
    </row>
    <row r="164" spans="1:11">
      <c r="A164" s="16">
        <v>0</v>
      </c>
      <c r="B164" s="16" t="s">
        <v>38</v>
      </c>
      <c r="C164" s="16">
        <v>1.3018081401348E-3</v>
      </c>
      <c r="D164" s="16">
        <v>3.3031749575120002E-4</v>
      </c>
      <c r="E164" s="16">
        <v>3.1903543133530001E-4</v>
      </c>
      <c r="F164" s="16">
        <v>3.8594187567879998E-4</v>
      </c>
      <c r="G164" s="16">
        <v>6.3946128345579998E-4</v>
      </c>
      <c r="H164" s="16">
        <v>2.8289784339339998E-4</v>
      </c>
      <c r="I164" s="16">
        <v>5.8506340922450002E-4</v>
      </c>
      <c r="J164" s="16" t="s">
        <v>375</v>
      </c>
      <c r="K164" s="16" t="s">
        <v>1877</v>
      </c>
    </row>
    <row r="165" spans="1:11">
      <c r="A165" s="16">
        <v>1</v>
      </c>
      <c r="B165" s="16" t="s">
        <v>39</v>
      </c>
      <c r="C165" s="16">
        <v>3.4003581782857E-3</v>
      </c>
      <c r="D165" s="16">
        <v>2.8226770072497E-3</v>
      </c>
      <c r="E165" s="16">
        <v>9.1563612345909999E-4</v>
      </c>
      <c r="F165" s="16">
        <v>1.0581562199093999E-3</v>
      </c>
      <c r="G165" s="16">
        <v>2.3463672970162998E-3</v>
      </c>
      <c r="H165" s="16">
        <v>3.0762664275575001E-3</v>
      </c>
      <c r="I165" s="16">
        <v>3.1744686597282002E-3</v>
      </c>
      <c r="J165" s="16" t="s">
        <v>375</v>
      </c>
      <c r="K165" s="16" t="s">
        <v>1877</v>
      </c>
    </row>
    <row r="166" spans="1:11">
      <c r="A166" s="16">
        <v>2</v>
      </c>
      <c r="B166" s="16" t="s">
        <v>40</v>
      </c>
      <c r="C166" s="16">
        <v>1.6475083571845001E-3</v>
      </c>
      <c r="D166" s="16">
        <v>5.1268752410850004E-4</v>
      </c>
      <c r="E166" s="16">
        <v>5.1268752410850004E-4</v>
      </c>
      <c r="F166" s="16">
        <v>5.1268752410850004E-4</v>
      </c>
      <c r="G166" s="16">
        <v>0</v>
      </c>
      <c r="H166" s="16">
        <v>0</v>
      </c>
      <c r="I166" s="16">
        <v>1.5380625723256001E-3</v>
      </c>
      <c r="J166" s="16" t="s">
        <v>375</v>
      </c>
      <c r="K166" s="16" t="s">
        <v>1877</v>
      </c>
    </row>
    <row r="167" spans="1:11">
      <c r="A167" s="16">
        <v>3</v>
      </c>
      <c r="B167" s="16" t="s">
        <v>41</v>
      </c>
      <c r="C167" s="16">
        <v>7.5686214263260003E-4</v>
      </c>
      <c r="D167" s="95">
        <v>7.1745362435244995E-5</v>
      </c>
      <c r="E167" s="95">
        <v>7.1745362435244995E-5</v>
      </c>
      <c r="F167" s="95">
        <v>7.1745362435244995E-5</v>
      </c>
      <c r="G167" s="16">
        <v>0</v>
      </c>
      <c r="H167" s="16">
        <v>0</v>
      </c>
      <c r="I167" s="16">
        <v>2.1523608730569999E-4</v>
      </c>
      <c r="J167" s="16" t="s">
        <v>375</v>
      </c>
      <c r="K167" s="16" t="s">
        <v>1877</v>
      </c>
    </row>
    <row r="168" spans="1:11">
      <c r="A168" s="16">
        <v>4</v>
      </c>
      <c r="B168" s="16" t="s">
        <v>42</v>
      </c>
      <c r="C168" s="95">
        <v>4.0472255247854701E-5</v>
      </c>
      <c r="D168" s="16">
        <v>0</v>
      </c>
      <c r="E168" s="95">
        <v>1.25945463327246E-5</v>
      </c>
      <c r="F168" s="95">
        <v>1.25945463327246E-5</v>
      </c>
      <c r="G168" s="16">
        <v>0</v>
      </c>
      <c r="H168" s="16">
        <v>0</v>
      </c>
      <c r="I168" s="95">
        <v>3.7783638998173901E-5</v>
      </c>
      <c r="J168" s="16" t="s">
        <v>375</v>
      </c>
      <c r="K168" s="16" t="s">
        <v>1877</v>
      </c>
    </row>
    <row r="169" spans="1:11">
      <c r="A169" s="16">
        <v>5</v>
      </c>
      <c r="B169" s="16" t="s">
        <v>43</v>
      </c>
      <c r="C169" s="16">
        <v>4.5678462664228E-3</v>
      </c>
      <c r="D169" s="16">
        <v>1.4345302324303001E-3</v>
      </c>
      <c r="E169" s="16">
        <v>1.4345302324303001E-3</v>
      </c>
      <c r="F169" s="16">
        <v>1.4345302324303001E-3</v>
      </c>
      <c r="G169" s="16">
        <v>3.1578540511261002E-3</v>
      </c>
      <c r="H169" s="16">
        <v>1.1117609301334E-3</v>
      </c>
      <c r="I169" s="16">
        <v>4.3035906972908999E-3</v>
      </c>
      <c r="J169" s="16" t="s">
        <v>375</v>
      </c>
      <c r="K169" s="16" t="s">
        <v>1877</v>
      </c>
    </row>
    <row r="170" spans="1:11">
      <c r="A170" s="16">
        <v>0</v>
      </c>
      <c r="B170" s="16" t="s">
        <v>38</v>
      </c>
      <c r="C170" s="16">
        <v>1.3018081401348E-3</v>
      </c>
      <c r="D170" s="16">
        <v>3.3031749575120002E-4</v>
      </c>
      <c r="E170" s="16">
        <v>3.1903543133530001E-4</v>
      </c>
      <c r="F170" s="16">
        <v>3.8594187567879998E-4</v>
      </c>
      <c r="G170" s="16">
        <v>6.3946128345579998E-4</v>
      </c>
      <c r="H170" s="16">
        <v>2.8289784339339998E-4</v>
      </c>
      <c r="I170" s="16">
        <v>5.8506340922450002E-4</v>
      </c>
      <c r="J170" s="16" t="s">
        <v>376</v>
      </c>
      <c r="K170" s="16" t="s">
        <v>1877</v>
      </c>
    </row>
    <row r="171" spans="1:11">
      <c r="A171" s="16">
        <v>1</v>
      </c>
      <c r="B171" s="16" t="s">
        <v>39</v>
      </c>
      <c r="C171" s="16">
        <v>3.4003581782857E-3</v>
      </c>
      <c r="D171" s="16">
        <v>2.8226770072497E-3</v>
      </c>
      <c r="E171" s="16">
        <v>9.1563612345909999E-4</v>
      </c>
      <c r="F171" s="16">
        <v>1.0581562199093999E-3</v>
      </c>
      <c r="G171" s="16">
        <v>2.3463672970162998E-3</v>
      </c>
      <c r="H171" s="16">
        <v>3.0762664275575001E-3</v>
      </c>
      <c r="I171" s="16">
        <v>3.1744686597282002E-3</v>
      </c>
      <c r="J171" s="16" t="s">
        <v>376</v>
      </c>
      <c r="K171" s="16" t="s">
        <v>1877</v>
      </c>
    </row>
    <row r="172" spans="1:11">
      <c r="A172" s="16">
        <v>2</v>
      </c>
      <c r="B172" s="16" t="s">
        <v>40</v>
      </c>
      <c r="C172" s="16">
        <v>1.6475083571845001E-3</v>
      </c>
      <c r="D172" s="16">
        <v>5.1268752410850004E-4</v>
      </c>
      <c r="E172" s="16">
        <v>5.1268752410850004E-4</v>
      </c>
      <c r="F172" s="16">
        <v>5.1268752410850004E-4</v>
      </c>
      <c r="G172" s="16">
        <v>0</v>
      </c>
      <c r="H172" s="16">
        <v>0</v>
      </c>
      <c r="I172" s="16">
        <v>1.5380625723256001E-3</v>
      </c>
      <c r="J172" s="16" t="s">
        <v>376</v>
      </c>
      <c r="K172" s="16" t="s">
        <v>1877</v>
      </c>
    </row>
    <row r="173" spans="1:11">
      <c r="A173" s="16">
        <v>3</v>
      </c>
      <c r="B173" s="16" t="s">
        <v>41</v>
      </c>
      <c r="C173" s="16">
        <v>7.5686214263260003E-4</v>
      </c>
      <c r="D173" s="95">
        <v>7.1745362435244995E-5</v>
      </c>
      <c r="E173" s="95">
        <v>7.1745362435244995E-5</v>
      </c>
      <c r="F173" s="95">
        <v>7.1745362435244995E-5</v>
      </c>
      <c r="G173" s="16">
        <v>0</v>
      </c>
      <c r="H173" s="16">
        <v>0</v>
      </c>
      <c r="I173" s="16">
        <v>2.1523608730569999E-4</v>
      </c>
      <c r="J173" s="16" t="s">
        <v>376</v>
      </c>
      <c r="K173" s="16" t="s">
        <v>1877</v>
      </c>
    </row>
    <row r="174" spans="1:11">
      <c r="A174" s="16">
        <v>4</v>
      </c>
      <c r="B174" s="16" t="s">
        <v>42</v>
      </c>
      <c r="C174" s="95">
        <v>4.0472255247854701E-5</v>
      </c>
      <c r="D174" s="16">
        <v>0</v>
      </c>
      <c r="E174" s="95">
        <v>1.25945463327246E-5</v>
      </c>
      <c r="F174" s="95">
        <v>1.25945463327246E-5</v>
      </c>
      <c r="G174" s="16">
        <v>0</v>
      </c>
      <c r="H174" s="16">
        <v>0</v>
      </c>
      <c r="I174" s="95">
        <v>3.7783638998173901E-5</v>
      </c>
      <c r="J174" s="16" t="s">
        <v>376</v>
      </c>
      <c r="K174" s="16" t="s">
        <v>1877</v>
      </c>
    </row>
    <row r="175" spans="1:11">
      <c r="A175" s="16">
        <v>5</v>
      </c>
      <c r="B175" s="16" t="s">
        <v>43</v>
      </c>
      <c r="C175" s="16">
        <v>4.5678462664228E-3</v>
      </c>
      <c r="D175" s="16">
        <v>1.4345302324303001E-3</v>
      </c>
      <c r="E175" s="16">
        <v>1.4345302324303001E-3</v>
      </c>
      <c r="F175" s="16">
        <v>1.4345302324303001E-3</v>
      </c>
      <c r="G175" s="16">
        <v>3.1578540511261002E-3</v>
      </c>
      <c r="H175" s="16">
        <v>1.1117609301334E-3</v>
      </c>
      <c r="I175" s="16">
        <v>4.3035906972908999E-3</v>
      </c>
      <c r="J175" s="16" t="s">
        <v>376</v>
      </c>
      <c r="K175" s="16" t="s">
        <v>1877</v>
      </c>
    </row>
    <row r="176" spans="1:11">
      <c r="A176" s="16">
        <v>0</v>
      </c>
      <c r="B176" s="16" t="s">
        <v>38</v>
      </c>
      <c r="C176" s="16">
        <v>1.3018081401348E-3</v>
      </c>
      <c r="D176" s="16">
        <v>3.3031749575120002E-4</v>
      </c>
      <c r="E176" s="16">
        <v>3.1903543133530001E-4</v>
      </c>
      <c r="F176" s="16">
        <v>3.8594187567879998E-4</v>
      </c>
      <c r="G176" s="16">
        <v>6.3946128345579998E-4</v>
      </c>
      <c r="H176" s="16">
        <v>2.8289784339339998E-4</v>
      </c>
      <c r="I176" s="16">
        <v>5.8506340922450002E-4</v>
      </c>
      <c r="J176" s="16" t="s">
        <v>377</v>
      </c>
      <c r="K176" s="16" t="s">
        <v>1877</v>
      </c>
    </row>
    <row r="177" spans="1:11">
      <c r="A177" s="16">
        <v>1</v>
      </c>
      <c r="B177" s="16" t="s">
        <v>39</v>
      </c>
      <c r="C177" s="16">
        <v>3.4003581782857E-3</v>
      </c>
      <c r="D177" s="16">
        <v>2.8226770072497E-3</v>
      </c>
      <c r="E177" s="16">
        <v>9.1563612345909999E-4</v>
      </c>
      <c r="F177" s="16">
        <v>1.0581562199093999E-3</v>
      </c>
      <c r="G177" s="16">
        <v>2.3463672970162998E-3</v>
      </c>
      <c r="H177" s="16">
        <v>3.0762664275575001E-3</v>
      </c>
      <c r="I177" s="16">
        <v>3.1744686597282002E-3</v>
      </c>
      <c r="J177" s="16" t="s">
        <v>377</v>
      </c>
      <c r="K177" s="16" t="s">
        <v>1877</v>
      </c>
    </row>
    <row r="178" spans="1:11">
      <c r="A178" s="16">
        <v>2</v>
      </c>
      <c r="B178" s="16" t="s">
        <v>40</v>
      </c>
      <c r="C178" s="16">
        <v>1.6475083571845001E-3</v>
      </c>
      <c r="D178" s="16">
        <v>5.1268752410850004E-4</v>
      </c>
      <c r="E178" s="16">
        <v>5.1268752410850004E-4</v>
      </c>
      <c r="F178" s="16">
        <v>5.1268752410850004E-4</v>
      </c>
      <c r="G178" s="16">
        <v>0</v>
      </c>
      <c r="H178" s="16">
        <v>0</v>
      </c>
      <c r="I178" s="16">
        <v>1.5380625723256001E-3</v>
      </c>
      <c r="J178" s="16" t="s">
        <v>377</v>
      </c>
      <c r="K178" s="16" t="s">
        <v>1877</v>
      </c>
    </row>
    <row r="179" spans="1:11">
      <c r="A179" s="16">
        <v>3</v>
      </c>
      <c r="B179" s="16" t="s">
        <v>41</v>
      </c>
      <c r="C179" s="16">
        <v>7.5686214263260003E-4</v>
      </c>
      <c r="D179" s="95">
        <v>7.1745362435244995E-5</v>
      </c>
      <c r="E179" s="95">
        <v>7.1745362435244995E-5</v>
      </c>
      <c r="F179" s="95">
        <v>7.1745362435244995E-5</v>
      </c>
      <c r="G179" s="16">
        <v>0</v>
      </c>
      <c r="H179" s="16">
        <v>0</v>
      </c>
      <c r="I179" s="16">
        <v>2.1523608730569999E-4</v>
      </c>
      <c r="J179" s="16" t="s">
        <v>377</v>
      </c>
      <c r="K179" s="16" t="s">
        <v>1877</v>
      </c>
    </row>
    <row r="180" spans="1:11">
      <c r="A180" s="16">
        <v>4</v>
      </c>
      <c r="B180" s="16" t="s">
        <v>42</v>
      </c>
      <c r="C180" s="95">
        <v>4.0472255247854701E-5</v>
      </c>
      <c r="D180" s="16">
        <v>0</v>
      </c>
      <c r="E180" s="95">
        <v>1.25945463327246E-5</v>
      </c>
      <c r="F180" s="95">
        <v>1.25945463327246E-5</v>
      </c>
      <c r="G180" s="16">
        <v>0</v>
      </c>
      <c r="H180" s="16">
        <v>0</v>
      </c>
      <c r="I180" s="95">
        <v>3.7783638998173901E-5</v>
      </c>
      <c r="J180" s="16" t="s">
        <v>377</v>
      </c>
      <c r="K180" s="16" t="s">
        <v>1877</v>
      </c>
    </row>
    <row r="181" spans="1:11">
      <c r="A181" s="16">
        <v>5</v>
      </c>
      <c r="B181" s="16" t="s">
        <v>43</v>
      </c>
      <c r="C181" s="16">
        <v>4.5678462664228E-3</v>
      </c>
      <c r="D181" s="16">
        <v>1.4345302324303001E-3</v>
      </c>
      <c r="E181" s="16">
        <v>1.4345302324303001E-3</v>
      </c>
      <c r="F181" s="16">
        <v>1.4345302324303001E-3</v>
      </c>
      <c r="G181" s="16">
        <v>3.1578540511261002E-3</v>
      </c>
      <c r="H181" s="16">
        <v>1.1117609301334E-3</v>
      </c>
      <c r="I181" s="16">
        <v>4.3035906972908999E-3</v>
      </c>
      <c r="J181" s="16" t="s">
        <v>377</v>
      </c>
      <c r="K181" s="16" t="s">
        <v>1877</v>
      </c>
    </row>
    <row r="182" spans="1:11">
      <c r="A182" s="16">
        <v>0</v>
      </c>
      <c r="B182" s="16" t="s">
        <v>38</v>
      </c>
      <c r="C182" s="16">
        <v>1.3018081401348E-3</v>
      </c>
      <c r="D182" s="16">
        <v>3.3031749575120002E-4</v>
      </c>
      <c r="E182" s="16">
        <v>3.1903543133530001E-4</v>
      </c>
      <c r="F182" s="16">
        <v>3.8594187567879998E-4</v>
      </c>
      <c r="G182" s="16">
        <v>6.3946128345579998E-4</v>
      </c>
      <c r="H182" s="16">
        <v>2.8289784339339998E-4</v>
      </c>
      <c r="I182" s="16">
        <v>5.8506340922450002E-4</v>
      </c>
      <c r="J182" s="16" t="s">
        <v>378</v>
      </c>
      <c r="K182" s="16" t="s">
        <v>1877</v>
      </c>
    </row>
    <row r="183" spans="1:11">
      <c r="A183" s="16">
        <v>1</v>
      </c>
      <c r="B183" s="16" t="s">
        <v>39</v>
      </c>
      <c r="C183" s="16">
        <v>3.4003581782857E-3</v>
      </c>
      <c r="D183" s="16">
        <v>2.8226770072497E-3</v>
      </c>
      <c r="E183" s="16">
        <v>9.1563612345909999E-4</v>
      </c>
      <c r="F183" s="16">
        <v>1.0581562199093999E-3</v>
      </c>
      <c r="G183" s="16">
        <v>2.3463672970162998E-3</v>
      </c>
      <c r="H183" s="16">
        <v>3.0762664275575001E-3</v>
      </c>
      <c r="I183" s="16">
        <v>3.1744686597282002E-3</v>
      </c>
      <c r="J183" s="16" t="s">
        <v>378</v>
      </c>
      <c r="K183" s="16" t="s">
        <v>1877</v>
      </c>
    </row>
    <row r="184" spans="1:11">
      <c r="A184" s="16">
        <v>2</v>
      </c>
      <c r="B184" s="16" t="s">
        <v>40</v>
      </c>
      <c r="C184" s="16">
        <v>1.6475083571845001E-3</v>
      </c>
      <c r="D184" s="16">
        <v>5.1268752410850004E-4</v>
      </c>
      <c r="E184" s="16">
        <v>5.1268752410850004E-4</v>
      </c>
      <c r="F184" s="16">
        <v>5.1268752410850004E-4</v>
      </c>
      <c r="G184" s="16">
        <v>0</v>
      </c>
      <c r="H184" s="16">
        <v>0</v>
      </c>
      <c r="I184" s="16">
        <v>1.5380625723256001E-3</v>
      </c>
      <c r="J184" s="16" t="s">
        <v>378</v>
      </c>
      <c r="K184" s="16" t="s">
        <v>1877</v>
      </c>
    </row>
    <row r="185" spans="1:11">
      <c r="A185" s="16">
        <v>3</v>
      </c>
      <c r="B185" s="16" t="s">
        <v>41</v>
      </c>
      <c r="C185" s="16">
        <v>7.5686214263260003E-4</v>
      </c>
      <c r="D185" s="95">
        <v>7.1745362435244995E-5</v>
      </c>
      <c r="E185" s="95">
        <v>7.1745362435244995E-5</v>
      </c>
      <c r="F185" s="95">
        <v>7.1745362435244995E-5</v>
      </c>
      <c r="G185" s="16">
        <v>0</v>
      </c>
      <c r="H185" s="16">
        <v>0</v>
      </c>
      <c r="I185" s="16">
        <v>2.1523608730569999E-4</v>
      </c>
      <c r="J185" s="16" t="s">
        <v>378</v>
      </c>
      <c r="K185" s="16" t="s">
        <v>1877</v>
      </c>
    </row>
    <row r="186" spans="1:11">
      <c r="A186" s="16">
        <v>4</v>
      </c>
      <c r="B186" s="16" t="s">
        <v>42</v>
      </c>
      <c r="C186" s="95">
        <v>4.0472255247854701E-5</v>
      </c>
      <c r="D186" s="16">
        <v>0</v>
      </c>
      <c r="E186" s="95">
        <v>1.25945463327246E-5</v>
      </c>
      <c r="F186" s="95">
        <v>1.25945463327246E-5</v>
      </c>
      <c r="G186" s="16">
        <v>0</v>
      </c>
      <c r="H186" s="16">
        <v>0</v>
      </c>
      <c r="I186" s="95">
        <v>3.7783638998173901E-5</v>
      </c>
      <c r="J186" s="16" t="s">
        <v>378</v>
      </c>
      <c r="K186" s="16" t="s">
        <v>1877</v>
      </c>
    </row>
    <row r="187" spans="1:11">
      <c r="A187" s="16">
        <v>5</v>
      </c>
      <c r="B187" s="16" t="s">
        <v>43</v>
      </c>
      <c r="C187" s="16">
        <v>4.5678462664228E-3</v>
      </c>
      <c r="D187" s="16">
        <v>1.4345302324303001E-3</v>
      </c>
      <c r="E187" s="16">
        <v>1.4345302324303001E-3</v>
      </c>
      <c r="F187" s="16">
        <v>1.4345302324303001E-3</v>
      </c>
      <c r="G187" s="16">
        <v>3.1578540511261002E-3</v>
      </c>
      <c r="H187" s="16">
        <v>1.1117609301334E-3</v>
      </c>
      <c r="I187" s="16">
        <v>4.3035906972908999E-3</v>
      </c>
      <c r="J187" s="16" t="s">
        <v>378</v>
      </c>
      <c r="K187" s="16" t="s">
        <v>1877</v>
      </c>
    </row>
    <row r="188" spans="1:11">
      <c r="A188" s="16">
        <v>0</v>
      </c>
      <c r="B188" s="16" t="s">
        <v>38</v>
      </c>
      <c r="C188" s="16">
        <v>1.3018081401348E-3</v>
      </c>
      <c r="D188" s="16">
        <v>3.3031749575120002E-4</v>
      </c>
      <c r="E188" s="16">
        <v>3.1903543133530001E-4</v>
      </c>
      <c r="F188" s="16">
        <v>3.8594187567879998E-4</v>
      </c>
      <c r="G188" s="16">
        <v>6.3946128345579998E-4</v>
      </c>
      <c r="H188" s="16">
        <v>2.8289784339339998E-4</v>
      </c>
      <c r="I188" s="16">
        <v>5.8506340922450002E-4</v>
      </c>
      <c r="J188" s="16" t="s">
        <v>379</v>
      </c>
      <c r="K188" s="16" t="s">
        <v>1877</v>
      </c>
    </row>
    <row r="189" spans="1:11">
      <c r="A189" s="16">
        <v>1</v>
      </c>
      <c r="B189" s="16" t="s">
        <v>39</v>
      </c>
      <c r="C189" s="16">
        <v>3.4003581782857E-3</v>
      </c>
      <c r="D189" s="16">
        <v>2.8226770072497E-3</v>
      </c>
      <c r="E189" s="16">
        <v>9.1563612345909999E-4</v>
      </c>
      <c r="F189" s="16">
        <v>1.0581562199093999E-3</v>
      </c>
      <c r="G189" s="16">
        <v>2.3463672970162998E-3</v>
      </c>
      <c r="H189" s="16">
        <v>3.0762664275575001E-3</v>
      </c>
      <c r="I189" s="16">
        <v>3.1744686597282002E-3</v>
      </c>
      <c r="J189" s="16" t="s">
        <v>379</v>
      </c>
      <c r="K189" s="16" t="s">
        <v>1877</v>
      </c>
    </row>
    <row r="190" spans="1:11">
      <c r="A190" s="16">
        <v>2</v>
      </c>
      <c r="B190" s="16" t="s">
        <v>40</v>
      </c>
      <c r="C190" s="16">
        <v>1.6475083571845001E-3</v>
      </c>
      <c r="D190" s="16">
        <v>5.1268752410850004E-4</v>
      </c>
      <c r="E190" s="16">
        <v>5.1268752410850004E-4</v>
      </c>
      <c r="F190" s="16">
        <v>5.1268752410850004E-4</v>
      </c>
      <c r="G190" s="16">
        <v>0</v>
      </c>
      <c r="H190" s="16">
        <v>0</v>
      </c>
      <c r="I190" s="16">
        <v>1.5380625723256001E-3</v>
      </c>
      <c r="J190" s="16" t="s">
        <v>379</v>
      </c>
      <c r="K190" s="16" t="s">
        <v>1877</v>
      </c>
    </row>
    <row r="191" spans="1:11">
      <c r="A191" s="16">
        <v>3</v>
      </c>
      <c r="B191" s="16" t="s">
        <v>41</v>
      </c>
      <c r="C191" s="16">
        <v>7.5686214263260003E-4</v>
      </c>
      <c r="D191" s="95">
        <v>7.1745362435244995E-5</v>
      </c>
      <c r="E191" s="95">
        <v>7.1745362435244995E-5</v>
      </c>
      <c r="F191" s="95">
        <v>7.1745362435244995E-5</v>
      </c>
      <c r="G191" s="16">
        <v>0</v>
      </c>
      <c r="H191" s="16">
        <v>0</v>
      </c>
      <c r="I191" s="16">
        <v>2.1523608730569999E-4</v>
      </c>
      <c r="J191" s="16" t="s">
        <v>379</v>
      </c>
      <c r="K191" s="16" t="s">
        <v>1877</v>
      </c>
    </row>
    <row r="192" spans="1:11">
      <c r="A192" s="16">
        <v>4</v>
      </c>
      <c r="B192" s="16" t="s">
        <v>42</v>
      </c>
      <c r="C192" s="95">
        <v>4.0472255247854701E-5</v>
      </c>
      <c r="D192" s="16">
        <v>0</v>
      </c>
      <c r="E192" s="95">
        <v>1.25945463327246E-5</v>
      </c>
      <c r="F192" s="95">
        <v>1.25945463327246E-5</v>
      </c>
      <c r="G192" s="16">
        <v>0</v>
      </c>
      <c r="H192" s="16">
        <v>0</v>
      </c>
      <c r="I192" s="95">
        <v>3.7783638998173901E-5</v>
      </c>
      <c r="J192" s="16" t="s">
        <v>379</v>
      </c>
      <c r="K192" s="16" t="s">
        <v>1877</v>
      </c>
    </row>
    <row r="193" spans="1:11">
      <c r="A193" s="16">
        <v>5</v>
      </c>
      <c r="B193" s="16" t="s">
        <v>43</v>
      </c>
      <c r="C193" s="16">
        <v>4.5678462664228E-3</v>
      </c>
      <c r="D193" s="16">
        <v>1.4345302324303001E-3</v>
      </c>
      <c r="E193" s="16">
        <v>1.4345302324303001E-3</v>
      </c>
      <c r="F193" s="16">
        <v>1.4345302324303001E-3</v>
      </c>
      <c r="G193" s="16">
        <v>3.1578540511261002E-3</v>
      </c>
      <c r="H193" s="16">
        <v>1.1117609301334E-3</v>
      </c>
      <c r="I193" s="16">
        <v>4.3035906972908999E-3</v>
      </c>
      <c r="J193" s="16" t="s">
        <v>379</v>
      </c>
      <c r="K193" s="16" t="s">
        <v>1877</v>
      </c>
    </row>
    <row r="194" spans="1:11">
      <c r="A194" s="16">
        <v>0</v>
      </c>
      <c r="B194" s="16" t="s">
        <v>38</v>
      </c>
      <c r="C194" s="16">
        <v>1.3018081401348E-3</v>
      </c>
      <c r="D194" s="16">
        <v>3.3031749575120002E-4</v>
      </c>
      <c r="E194" s="16">
        <v>3.1903543133530001E-4</v>
      </c>
      <c r="F194" s="16">
        <v>3.8594187567879998E-4</v>
      </c>
      <c r="G194" s="16">
        <v>6.3946128345579998E-4</v>
      </c>
      <c r="H194" s="16">
        <v>2.8289784339339998E-4</v>
      </c>
      <c r="I194" s="16">
        <v>5.8506340922450002E-4</v>
      </c>
      <c r="J194" s="16" t="s">
        <v>380</v>
      </c>
      <c r="K194" s="16" t="s">
        <v>1877</v>
      </c>
    </row>
    <row r="195" spans="1:11">
      <c r="A195" s="16">
        <v>1</v>
      </c>
      <c r="B195" s="16" t="s">
        <v>39</v>
      </c>
      <c r="C195" s="16">
        <v>3.4003581782857E-3</v>
      </c>
      <c r="D195" s="16">
        <v>2.8226770072497E-3</v>
      </c>
      <c r="E195" s="16">
        <v>9.1563612345909999E-4</v>
      </c>
      <c r="F195" s="16">
        <v>1.0581562199093999E-3</v>
      </c>
      <c r="G195" s="16">
        <v>2.3463672970162998E-3</v>
      </c>
      <c r="H195" s="16">
        <v>3.0762664275575001E-3</v>
      </c>
      <c r="I195" s="16">
        <v>3.1744686597282002E-3</v>
      </c>
      <c r="J195" s="16" t="s">
        <v>380</v>
      </c>
      <c r="K195" s="16" t="s">
        <v>1877</v>
      </c>
    </row>
    <row r="196" spans="1:11">
      <c r="A196" s="16">
        <v>2</v>
      </c>
      <c r="B196" s="16" t="s">
        <v>40</v>
      </c>
      <c r="C196" s="16">
        <v>1.6475083571845001E-3</v>
      </c>
      <c r="D196" s="16">
        <v>5.1268752410850004E-4</v>
      </c>
      <c r="E196" s="16">
        <v>5.1268752410850004E-4</v>
      </c>
      <c r="F196" s="16">
        <v>5.1268752410850004E-4</v>
      </c>
      <c r="G196" s="16">
        <v>0</v>
      </c>
      <c r="H196" s="16">
        <v>0</v>
      </c>
      <c r="I196" s="16">
        <v>1.5380625723256001E-3</v>
      </c>
      <c r="J196" s="16" t="s">
        <v>380</v>
      </c>
      <c r="K196" s="16" t="s">
        <v>1877</v>
      </c>
    </row>
    <row r="197" spans="1:11">
      <c r="A197" s="16">
        <v>3</v>
      </c>
      <c r="B197" s="16" t="s">
        <v>41</v>
      </c>
      <c r="C197" s="16">
        <v>7.5686214263260003E-4</v>
      </c>
      <c r="D197" s="95">
        <v>7.1745362435244995E-5</v>
      </c>
      <c r="E197" s="95">
        <v>7.1745362435244995E-5</v>
      </c>
      <c r="F197" s="95">
        <v>7.1745362435244995E-5</v>
      </c>
      <c r="G197" s="16">
        <v>0</v>
      </c>
      <c r="H197" s="16">
        <v>0</v>
      </c>
      <c r="I197" s="16">
        <v>2.1523608730569999E-4</v>
      </c>
      <c r="J197" s="16" t="s">
        <v>380</v>
      </c>
      <c r="K197" s="16" t="s">
        <v>1877</v>
      </c>
    </row>
    <row r="198" spans="1:11">
      <c r="A198" s="16">
        <v>4</v>
      </c>
      <c r="B198" s="16" t="s">
        <v>42</v>
      </c>
      <c r="C198" s="95">
        <v>4.0472255247854701E-5</v>
      </c>
      <c r="D198" s="16">
        <v>0</v>
      </c>
      <c r="E198" s="95">
        <v>1.25945463327246E-5</v>
      </c>
      <c r="F198" s="95">
        <v>1.25945463327246E-5</v>
      </c>
      <c r="G198" s="16">
        <v>0</v>
      </c>
      <c r="H198" s="16">
        <v>0</v>
      </c>
      <c r="I198" s="95">
        <v>3.7783638998173901E-5</v>
      </c>
      <c r="J198" s="16" t="s">
        <v>380</v>
      </c>
      <c r="K198" s="16" t="s">
        <v>1877</v>
      </c>
    </row>
    <row r="199" spans="1:11">
      <c r="A199" s="16">
        <v>5</v>
      </c>
      <c r="B199" s="16" t="s">
        <v>43</v>
      </c>
      <c r="C199" s="16">
        <v>4.5678462664228E-3</v>
      </c>
      <c r="D199" s="16">
        <v>1.4345302324303001E-3</v>
      </c>
      <c r="E199" s="16">
        <v>1.4345302324303001E-3</v>
      </c>
      <c r="F199" s="16">
        <v>1.4345302324303001E-3</v>
      </c>
      <c r="G199" s="16">
        <v>3.1578540511261002E-3</v>
      </c>
      <c r="H199" s="16">
        <v>1.1117609301334E-3</v>
      </c>
      <c r="I199" s="16">
        <v>4.3035906972908999E-3</v>
      </c>
      <c r="J199" s="16" t="s">
        <v>380</v>
      </c>
      <c r="K199" s="16" t="s">
        <v>1877</v>
      </c>
    </row>
    <row r="200" spans="1:11">
      <c r="A200" s="16">
        <v>0</v>
      </c>
      <c r="B200" s="16" t="s">
        <v>38</v>
      </c>
      <c r="C200" s="16">
        <v>1.3018081401348E-3</v>
      </c>
      <c r="D200" s="16">
        <v>3.3031749575120002E-4</v>
      </c>
      <c r="E200" s="16">
        <v>3.1903543133530001E-4</v>
      </c>
      <c r="F200" s="16">
        <v>3.8594187567879998E-4</v>
      </c>
      <c r="G200" s="16">
        <v>6.3946128345579998E-4</v>
      </c>
      <c r="H200" s="16">
        <v>2.8289784339339998E-4</v>
      </c>
      <c r="I200" s="16">
        <v>5.8506340922450002E-4</v>
      </c>
      <c r="J200" s="16" t="s">
        <v>381</v>
      </c>
      <c r="K200" s="16" t="s">
        <v>1877</v>
      </c>
    </row>
    <row r="201" spans="1:11">
      <c r="A201" s="16">
        <v>1</v>
      </c>
      <c r="B201" s="16" t="s">
        <v>39</v>
      </c>
      <c r="C201" s="16">
        <v>3.4003581782857E-3</v>
      </c>
      <c r="D201" s="16">
        <v>2.8226770072497E-3</v>
      </c>
      <c r="E201" s="16">
        <v>9.1563612345909999E-4</v>
      </c>
      <c r="F201" s="16">
        <v>1.0581562199093999E-3</v>
      </c>
      <c r="G201" s="16">
        <v>2.3463672970162998E-3</v>
      </c>
      <c r="H201" s="16">
        <v>3.0762664275575001E-3</v>
      </c>
      <c r="I201" s="16">
        <v>3.1744686597282002E-3</v>
      </c>
      <c r="J201" s="16" t="s">
        <v>381</v>
      </c>
      <c r="K201" s="16" t="s">
        <v>1877</v>
      </c>
    </row>
    <row r="202" spans="1:11">
      <c r="A202" s="16">
        <v>2</v>
      </c>
      <c r="B202" s="16" t="s">
        <v>40</v>
      </c>
      <c r="C202" s="16">
        <v>1.6475083571845001E-3</v>
      </c>
      <c r="D202" s="16">
        <v>5.1268752410850004E-4</v>
      </c>
      <c r="E202" s="16">
        <v>5.1268752410850004E-4</v>
      </c>
      <c r="F202" s="16">
        <v>5.1268752410850004E-4</v>
      </c>
      <c r="G202" s="16">
        <v>0</v>
      </c>
      <c r="H202" s="16">
        <v>0</v>
      </c>
      <c r="I202" s="16">
        <v>1.5380625723256001E-3</v>
      </c>
      <c r="J202" s="16" t="s">
        <v>381</v>
      </c>
      <c r="K202" s="16" t="s">
        <v>1877</v>
      </c>
    </row>
    <row r="203" spans="1:11">
      <c r="A203" s="16">
        <v>3</v>
      </c>
      <c r="B203" s="16" t="s">
        <v>41</v>
      </c>
      <c r="C203" s="16">
        <v>7.5686214263260003E-4</v>
      </c>
      <c r="D203" s="95">
        <v>7.1745362435244995E-5</v>
      </c>
      <c r="E203" s="95">
        <v>7.1745362435244995E-5</v>
      </c>
      <c r="F203" s="95">
        <v>7.1745362435244995E-5</v>
      </c>
      <c r="G203" s="16">
        <v>0</v>
      </c>
      <c r="H203" s="16">
        <v>0</v>
      </c>
      <c r="I203" s="16">
        <v>2.1523608730569999E-4</v>
      </c>
      <c r="J203" s="16" t="s">
        <v>381</v>
      </c>
      <c r="K203" s="16" t="s">
        <v>1877</v>
      </c>
    </row>
    <row r="204" spans="1:11">
      <c r="A204" s="16">
        <v>4</v>
      </c>
      <c r="B204" s="16" t="s">
        <v>42</v>
      </c>
      <c r="C204" s="95">
        <v>4.0472255247854701E-5</v>
      </c>
      <c r="D204" s="16">
        <v>0</v>
      </c>
      <c r="E204" s="95">
        <v>1.25945463327246E-5</v>
      </c>
      <c r="F204" s="95">
        <v>1.25945463327246E-5</v>
      </c>
      <c r="G204" s="16">
        <v>0</v>
      </c>
      <c r="H204" s="16">
        <v>0</v>
      </c>
      <c r="I204" s="95">
        <v>3.7783638998173901E-5</v>
      </c>
      <c r="J204" s="16" t="s">
        <v>381</v>
      </c>
      <c r="K204" s="16" t="s">
        <v>1877</v>
      </c>
    </row>
    <row r="205" spans="1:11">
      <c r="A205" s="16">
        <v>5</v>
      </c>
      <c r="B205" s="16" t="s">
        <v>43</v>
      </c>
      <c r="C205" s="16">
        <v>4.5678462664228E-3</v>
      </c>
      <c r="D205" s="16">
        <v>1.4345302324303001E-3</v>
      </c>
      <c r="E205" s="16">
        <v>1.4345302324303001E-3</v>
      </c>
      <c r="F205" s="16">
        <v>1.4345302324303001E-3</v>
      </c>
      <c r="G205" s="16">
        <v>3.1578540511261002E-3</v>
      </c>
      <c r="H205" s="16">
        <v>1.1117609301334E-3</v>
      </c>
      <c r="I205" s="16">
        <v>4.3035906972908999E-3</v>
      </c>
      <c r="J205" s="16" t="s">
        <v>381</v>
      </c>
      <c r="K205" s="16" t="s">
        <v>1877</v>
      </c>
    </row>
    <row r="206" spans="1:11">
      <c r="A206" s="16">
        <v>0</v>
      </c>
      <c r="B206" s="16" t="s">
        <v>38</v>
      </c>
      <c r="C206" s="16">
        <v>1.3018081401348E-3</v>
      </c>
      <c r="D206" s="16">
        <v>3.3031749575120002E-4</v>
      </c>
      <c r="E206" s="16">
        <v>3.1903543133530001E-4</v>
      </c>
      <c r="F206" s="16">
        <v>3.8594187567879998E-4</v>
      </c>
      <c r="G206" s="16">
        <v>6.3946128345579998E-4</v>
      </c>
      <c r="H206" s="16">
        <v>2.8289784339339998E-4</v>
      </c>
      <c r="I206" s="16">
        <v>5.8506340922450002E-4</v>
      </c>
      <c r="J206" s="16" t="s">
        <v>382</v>
      </c>
      <c r="K206" s="16" t="s">
        <v>1877</v>
      </c>
    </row>
    <row r="207" spans="1:11">
      <c r="A207" s="16">
        <v>1</v>
      </c>
      <c r="B207" s="16" t="s">
        <v>39</v>
      </c>
      <c r="C207" s="16">
        <v>3.4003581782857E-3</v>
      </c>
      <c r="D207" s="16">
        <v>2.8226770072497E-3</v>
      </c>
      <c r="E207" s="16">
        <v>9.1563612345909999E-4</v>
      </c>
      <c r="F207" s="16">
        <v>1.0581562199093999E-3</v>
      </c>
      <c r="G207" s="16">
        <v>2.3463672970162998E-3</v>
      </c>
      <c r="H207" s="16">
        <v>3.0762664275575001E-3</v>
      </c>
      <c r="I207" s="16">
        <v>3.1744686597282002E-3</v>
      </c>
      <c r="J207" s="16" t="s">
        <v>382</v>
      </c>
      <c r="K207" s="16" t="s">
        <v>1877</v>
      </c>
    </row>
    <row r="208" spans="1:11">
      <c r="A208" s="16">
        <v>2</v>
      </c>
      <c r="B208" s="16" t="s">
        <v>40</v>
      </c>
      <c r="C208" s="16">
        <v>1.6475083571845001E-3</v>
      </c>
      <c r="D208" s="16">
        <v>5.1268752410850004E-4</v>
      </c>
      <c r="E208" s="16">
        <v>5.1268752410850004E-4</v>
      </c>
      <c r="F208" s="16">
        <v>5.1268752410850004E-4</v>
      </c>
      <c r="G208" s="16">
        <v>0</v>
      </c>
      <c r="H208" s="16">
        <v>0</v>
      </c>
      <c r="I208" s="16">
        <v>1.5380625723256001E-3</v>
      </c>
      <c r="J208" s="16" t="s">
        <v>382</v>
      </c>
      <c r="K208" s="16" t="s">
        <v>1877</v>
      </c>
    </row>
    <row r="209" spans="1:11">
      <c r="A209" s="16">
        <v>3</v>
      </c>
      <c r="B209" s="16" t="s">
        <v>41</v>
      </c>
      <c r="C209" s="16">
        <v>7.5686214263260003E-4</v>
      </c>
      <c r="D209" s="95">
        <v>7.1745362435244995E-5</v>
      </c>
      <c r="E209" s="95">
        <v>7.1745362435244995E-5</v>
      </c>
      <c r="F209" s="95">
        <v>7.1745362435244995E-5</v>
      </c>
      <c r="G209" s="16">
        <v>0</v>
      </c>
      <c r="H209" s="16">
        <v>0</v>
      </c>
      <c r="I209" s="16">
        <v>2.1523608730569999E-4</v>
      </c>
      <c r="J209" s="16" t="s">
        <v>382</v>
      </c>
      <c r="K209" s="16" t="s">
        <v>1877</v>
      </c>
    </row>
    <row r="210" spans="1:11">
      <c r="A210" s="16">
        <v>4</v>
      </c>
      <c r="B210" s="16" t="s">
        <v>42</v>
      </c>
      <c r="C210" s="95">
        <v>4.0472255247854701E-5</v>
      </c>
      <c r="D210" s="16">
        <v>0</v>
      </c>
      <c r="E210" s="95">
        <v>1.25945463327246E-5</v>
      </c>
      <c r="F210" s="95">
        <v>1.25945463327246E-5</v>
      </c>
      <c r="G210" s="16">
        <v>0</v>
      </c>
      <c r="H210" s="16">
        <v>0</v>
      </c>
      <c r="I210" s="95">
        <v>3.7783638998173901E-5</v>
      </c>
      <c r="J210" s="16" t="s">
        <v>382</v>
      </c>
      <c r="K210" s="16" t="s">
        <v>1877</v>
      </c>
    </row>
    <row r="211" spans="1:11">
      <c r="A211" s="16">
        <v>5</v>
      </c>
      <c r="B211" s="16" t="s">
        <v>43</v>
      </c>
      <c r="C211" s="16">
        <v>4.5678462664228E-3</v>
      </c>
      <c r="D211" s="16">
        <v>1.4345302324303001E-3</v>
      </c>
      <c r="E211" s="16">
        <v>1.4345302324303001E-3</v>
      </c>
      <c r="F211" s="16">
        <v>1.4345302324303001E-3</v>
      </c>
      <c r="G211" s="16">
        <v>3.1578540511261002E-3</v>
      </c>
      <c r="H211" s="16">
        <v>1.1117609301334E-3</v>
      </c>
      <c r="I211" s="16">
        <v>4.3035906972908999E-3</v>
      </c>
      <c r="J211" s="16" t="s">
        <v>382</v>
      </c>
      <c r="K211" s="16" t="s">
        <v>1877</v>
      </c>
    </row>
    <row r="212" spans="1:11">
      <c r="A212" s="16">
        <v>0</v>
      </c>
      <c r="B212" s="16" t="s">
        <v>38</v>
      </c>
      <c r="C212" s="16">
        <v>1.3018081401348E-3</v>
      </c>
      <c r="D212" s="16">
        <v>3.3031749575120002E-4</v>
      </c>
      <c r="E212" s="16">
        <v>3.1903543133530001E-4</v>
      </c>
      <c r="F212" s="16">
        <v>3.8594187567879998E-4</v>
      </c>
      <c r="G212" s="16">
        <v>6.3946128345579998E-4</v>
      </c>
      <c r="H212" s="16">
        <v>2.8289784339339998E-4</v>
      </c>
      <c r="I212" s="16">
        <v>5.8506340922450002E-4</v>
      </c>
      <c r="J212" s="16" t="s">
        <v>383</v>
      </c>
      <c r="K212" s="16" t="s">
        <v>1877</v>
      </c>
    </row>
    <row r="213" spans="1:11">
      <c r="A213" s="16">
        <v>1</v>
      </c>
      <c r="B213" s="16" t="s">
        <v>39</v>
      </c>
      <c r="C213" s="16">
        <v>3.4003581782857E-3</v>
      </c>
      <c r="D213" s="16">
        <v>2.8226770072497E-3</v>
      </c>
      <c r="E213" s="16">
        <v>9.1563612345909999E-4</v>
      </c>
      <c r="F213" s="16">
        <v>1.0581562199093999E-3</v>
      </c>
      <c r="G213" s="16">
        <v>2.3463672970162998E-3</v>
      </c>
      <c r="H213" s="16">
        <v>3.0762664275575001E-3</v>
      </c>
      <c r="I213" s="16">
        <v>3.1744686597282002E-3</v>
      </c>
      <c r="J213" s="16" t="s">
        <v>383</v>
      </c>
      <c r="K213" s="16" t="s">
        <v>1877</v>
      </c>
    </row>
    <row r="214" spans="1:11">
      <c r="A214" s="16">
        <v>2</v>
      </c>
      <c r="B214" s="16" t="s">
        <v>40</v>
      </c>
      <c r="C214" s="16">
        <v>1.6475083571845001E-3</v>
      </c>
      <c r="D214" s="16">
        <v>5.1268752410850004E-4</v>
      </c>
      <c r="E214" s="16">
        <v>5.1268752410850004E-4</v>
      </c>
      <c r="F214" s="16">
        <v>5.1268752410850004E-4</v>
      </c>
      <c r="G214" s="16">
        <v>0</v>
      </c>
      <c r="H214" s="16">
        <v>0</v>
      </c>
      <c r="I214" s="16">
        <v>1.5380625723256001E-3</v>
      </c>
      <c r="J214" s="16" t="s">
        <v>383</v>
      </c>
      <c r="K214" s="16" t="s">
        <v>1877</v>
      </c>
    </row>
    <row r="215" spans="1:11">
      <c r="A215" s="16">
        <v>3</v>
      </c>
      <c r="B215" s="16" t="s">
        <v>41</v>
      </c>
      <c r="C215" s="16">
        <v>7.5686214263260003E-4</v>
      </c>
      <c r="D215" s="95">
        <v>7.1745362435244995E-5</v>
      </c>
      <c r="E215" s="95">
        <v>7.1745362435244995E-5</v>
      </c>
      <c r="F215" s="95">
        <v>7.1745362435244995E-5</v>
      </c>
      <c r="G215" s="16">
        <v>0</v>
      </c>
      <c r="H215" s="16">
        <v>0</v>
      </c>
      <c r="I215" s="16">
        <v>2.1523608730569999E-4</v>
      </c>
      <c r="J215" s="16" t="s">
        <v>383</v>
      </c>
      <c r="K215" s="16" t="s">
        <v>1877</v>
      </c>
    </row>
    <row r="216" spans="1:11">
      <c r="A216" s="16">
        <v>4</v>
      </c>
      <c r="B216" s="16" t="s">
        <v>42</v>
      </c>
      <c r="C216" s="95">
        <v>4.0472255247854701E-5</v>
      </c>
      <c r="D216" s="16">
        <v>0</v>
      </c>
      <c r="E216" s="95">
        <v>1.25945463327246E-5</v>
      </c>
      <c r="F216" s="95">
        <v>1.25945463327246E-5</v>
      </c>
      <c r="G216" s="16">
        <v>0</v>
      </c>
      <c r="H216" s="16">
        <v>0</v>
      </c>
      <c r="I216" s="95">
        <v>3.7783638998173901E-5</v>
      </c>
      <c r="J216" s="16" t="s">
        <v>383</v>
      </c>
      <c r="K216" s="16" t="s">
        <v>1877</v>
      </c>
    </row>
    <row r="217" spans="1:11">
      <c r="A217" s="16">
        <v>5</v>
      </c>
      <c r="B217" s="16" t="s">
        <v>43</v>
      </c>
      <c r="C217" s="16">
        <v>4.5678462664228E-3</v>
      </c>
      <c r="D217" s="16">
        <v>1.4345302324303001E-3</v>
      </c>
      <c r="E217" s="16">
        <v>1.4345302324303001E-3</v>
      </c>
      <c r="F217" s="16">
        <v>1.4345302324303001E-3</v>
      </c>
      <c r="G217" s="16">
        <v>3.1578540511261002E-3</v>
      </c>
      <c r="H217" s="16">
        <v>1.1117609301334E-3</v>
      </c>
      <c r="I217" s="16">
        <v>4.3035906972908999E-3</v>
      </c>
      <c r="J217" s="16" t="s">
        <v>383</v>
      </c>
      <c r="K217" s="16" t="s">
        <v>1877</v>
      </c>
    </row>
    <row r="218" spans="1:11">
      <c r="A218" s="16">
        <v>0</v>
      </c>
      <c r="B218" s="16" t="s">
        <v>38</v>
      </c>
      <c r="C218" s="16">
        <v>1.3018081401348E-3</v>
      </c>
      <c r="D218" s="16">
        <v>3.3031749575120002E-4</v>
      </c>
      <c r="E218" s="16">
        <v>3.1903543133530001E-4</v>
      </c>
      <c r="F218" s="16">
        <v>3.8594187567879998E-4</v>
      </c>
      <c r="G218" s="16">
        <v>6.3946128345579998E-4</v>
      </c>
      <c r="H218" s="16">
        <v>2.8289784339339998E-4</v>
      </c>
      <c r="I218" s="16">
        <v>5.8506340922450002E-4</v>
      </c>
      <c r="J218" s="16" t="s">
        <v>384</v>
      </c>
      <c r="K218" s="16" t="s">
        <v>1877</v>
      </c>
    </row>
    <row r="219" spans="1:11">
      <c r="A219" s="16">
        <v>1</v>
      </c>
      <c r="B219" s="16" t="s">
        <v>39</v>
      </c>
      <c r="C219" s="16">
        <v>3.4003581782857E-3</v>
      </c>
      <c r="D219" s="16">
        <v>2.8226770072497E-3</v>
      </c>
      <c r="E219" s="16">
        <v>9.1563612345909999E-4</v>
      </c>
      <c r="F219" s="16">
        <v>1.0581562199093999E-3</v>
      </c>
      <c r="G219" s="16">
        <v>2.3463672970162998E-3</v>
      </c>
      <c r="H219" s="16">
        <v>3.0762664275575001E-3</v>
      </c>
      <c r="I219" s="16">
        <v>3.1744686597282002E-3</v>
      </c>
      <c r="J219" s="16" t="s">
        <v>384</v>
      </c>
      <c r="K219" s="16" t="s">
        <v>1877</v>
      </c>
    </row>
    <row r="220" spans="1:11">
      <c r="A220" s="16">
        <v>2</v>
      </c>
      <c r="B220" s="16" t="s">
        <v>40</v>
      </c>
      <c r="C220" s="16">
        <v>1.6475083571845001E-3</v>
      </c>
      <c r="D220" s="16">
        <v>5.1268752410850004E-4</v>
      </c>
      <c r="E220" s="16">
        <v>5.1268752410850004E-4</v>
      </c>
      <c r="F220" s="16">
        <v>5.1268752410850004E-4</v>
      </c>
      <c r="G220" s="16">
        <v>0</v>
      </c>
      <c r="H220" s="16">
        <v>0</v>
      </c>
      <c r="I220" s="16">
        <v>1.5380625723256001E-3</v>
      </c>
      <c r="J220" s="16" t="s">
        <v>384</v>
      </c>
      <c r="K220" s="16" t="s">
        <v>1877</v>
      </c>
    </row>
    <row r="221" spans="1:11">
      <c r="A221" s="16">
        <v>3</v>
      </c>
      <c r="B221" s="16" t="s">
        <v>41</v>
      </c>
      <c r="C221" s="16">
        <v>7.5686214263260003E-4</v>
      </c>
      <c r="D221" s="95">
        <v>7.1745362435244995E-5</v>
      </c>
      <c r="E221" s="95">
        <v>7.1745362435244995E-5</v>
      </c>
      <c r="F221" s="95">
        <v>7.1745362435244995E-5</v>
      </c>
      <c r="G221" s="16">
        <v>0</v>
      </c>
      <c r="H221" s="16">
        <v>0</v>
      </c>
      <c r="I221" s="16">
        <v>2.1523608730569999E-4</v>
      </c>
      <c r="J221" s="16" t="s">
        <v>384</v>
      </c>
      <c r="K221" s="16" t="s">
        <v>1877</v>
      </c>
    </row>
    <row r="222" spans="1:11">
      <c r="A222" s="16">
        <v>4</v>
      </c>
      <c r="B222" s="16" t="s">
        <v>42</v>
      </c>
      <c r="C222" s="95">
        <v>4.0472255247854701E-5</v>
      </c>
      <c r="D222" s="16">
        <v>0</v>
      </c>
      <c r="E222" s="95">
        <v>1.25945463327246E-5</v>
      </c>
      <c r="F222" s="95">
        <v>1.25945463327246E-5</v>
      </c>
      <c r="G222" s="16">
        <v>0</v>
      </c>
      <c r="H222" s="16">
        <v>0</v>
      </c>
      <c r="I222" s="95">
        <v>3.7783638998173901E-5</v>
      </c>
      <c r="J222" s="16" t="s">
        <v>384</v>
      </c>
      <c r="K222" s="16" t="s">
        <v>1877</v>
      </c>
    </row>
    <row r="223" spans="1:11">
      <c r="A223" s="16">
        <v>5</v>
      </c>
      <c r="B223" s="16" t="s">
        <v>43</v>
      </c>
      <c r="C223" s="16">
        <v>4.5678462664228E-3</v>
      </c>
      <c r="D223" s="16">
        <v>1.4345302324303001E-3</v>
      </c>
      <c r="E223" s="16">
        <v>1.4345302324303001E-3</v>
      </c>
      <c r="F223" s="16">
        <v>1.4345302324303001E-3</v>
      </c>
      <c r="G223" s="16">
        <v>3.1578540511261002E-3</v>
      </c>
      <c r="H223" s="16">
        <v>1.1117609301334E-3</v>
      </c>
      <c r="I223" s="16">
        <v>4.3035906972908999E-3</v>
      </c>
      <c r="J223" s="16" t="s">
        <v>384</v>
      </c>
      <c r="K223" s="16" t="s">
        <v>1877</v>
      </c>
    </row>
    <row r="224" spans="1:11">
      <c r="A224" s="16">
        <v>0</v>
      </c>
      <c r="B224" s="16" t="s">
        <v>38</v>
      </c>
      <c r="C224" s="16">
        <v>1.3018081401348E-3</v>
      </c>
      <c r="D224" s="16">
        <v>3.3031749575120002E-4</v>
      </c>
      <c r="E224" s="16">
        <v>3.1903543133530001E-4</v>
      </c>
      <c r="F224" s="16">
        <v>3.8594187567879998E-4</v>
      </c>
      <c r="G224" s="16">
        <v>6.3946128345579998E-4</v>
      </c>
      <c r="H224" s="16">
        <v>2.8289784339339998E-4</v>
      </c>
      <c r="I224" s="16">
        <v>5.8506340922450002E-4</v>
      </c>
      <c r="J224" s="16" t="s">
        <v>385</v>
      </c>
      <c r="K224" s="16" t="s">
        <v>1877</v>
      </c>
    </row>
    <row r="225" spans="1:11">
      <c r="A225" s="16">
        <v>1</v>
      </c>
      <c r="B225" s="16" t="s">
        <v>39</v>
      </c>
      <c r="C225" s="16">
        <v>3.4003581782857E-3</v>
      </c>
      <c r="D225" s="16">
        <v>2.8226770072497E-3</v>
      </c>
      <c r="E225" s="16">
        <v>9.1563612345909999E-4</v>
      </c>
      <c r="F225" s="16">
        <v>1.0581562199093999E-3</v>
      </c>
      <c r="G225" s="16">
        <v>2.3463672970162998E-3</v>
      </c>
      <c r="H225" s="16">
        <v>3.0762664275575001E-3</v>
      </c>
      <c r="I225" s="16">
        <v>3.1744686597282002E-3</v>
      </c>
      <c r="J225" s="16" t="s">
        <v>385</v>
      </c>
      <c r="K225" s="16" t="s">
        <v>1877</v>
      </c>
    </row>
    <row r="226" spans="1:11">
      <c r="A226" s="16">
        <v>2</v>
      </c>
      <c r="B226" s="16" t="s">
        <v>40</v>
      </c>
      <c r="C226" s="16">
        <v>1.6475083571845001E-3</v>
      </c>
      <c r="D226" s="16">
        <v>5.1268752410850004E-4</v>
      </c>
      <c r="E226" s="16">
        <v>5.1268752410850004E-4</v>
      </c>
      <c r="F226" s="16">
        <v>5.1268752410850004E-4</v>
      </c>
      <c r="G226" s="16">
        <v>0</v>
      </c>
      <c r="H226" s="16">
        <v>0</v>
      </c>
      <c r="I226" s="16">
        <v>1.5380625723256001E-3</v>
      </c>
      <c r="J226" s="16" t="s">
        <v>385</v>
      </c>
      <c r="K226" s="16" t="s">
        <v>1877</v>
      </c>
    </row>
    <row r="227" spans="1:11">
      <c r="A227" s="16">
        <v>3</v>
      </c>
      <c r="B227" s="16" t="s">
        <v>41</v>
      </c>
      <c r="C227" s="16">
        <v>7.5686214263260003E-4</v>
      </c>
      <c r="D227" s="95">
        <v>7.1745362435244995E-5</v>
      </c>
      <c r="E227" s="95">
        <v>7.1745362435244995E-5</v>
      </c>
      <c r="F227" s="95">
        <v>7.1745362435244995E-5</v>
      </c>
      <c r="G227" s="16">
        <v>0</v>
      </c>
      <c r="H227" s="16">
        <v>0</v>
      </c>
      <c r="I227" s="16">
        <v>2.1523608730569999E-4</v>
      </c>
      <c r="J227" s="16" t="s">
        <v>385</v>
      </c>
      <c r="K227" s="16" t="s">
        <v>1877</v>
      </c>
    </row>
    <row r="228" spans="1:11">
      <c r="A228" s="16">
        <v>4</v>
      </c>
      <c r="B228" s="16" t="s">
        <v>42</v>
      </c>
      <c r="C228" s="95">
        <v>4.0472255247854701E-5</v>
      </c>
      <c r="D228" s="16">
        <v>0</v>
      </c>
      <c r="E228" s="95">
        <v>1.25945463327246E-5</v>
      </c>
      <c r="F228" s="95">
        <v>1.25945463327246E-5</v>
      </c>
      <c r="G228" s="16">
        <v>0</v>
      </c>
      <c r="H228" s="16">
        <v>0</v>
      </c>
      <c r="I228" s="95">
        <v>3.7783638998173901E-5</v>
      </c>
      <c r="J228" s="16" t="s">
        <v>385</v>
      </c>
      <c r="K228" s="16" t="s">
        <v>1877</v>
      </c>
    </row>
    <row r="229" spans="1:11">
      <c r="A229" s="16">
        <v>5</v>
      </c>
      <c r="B229" s="16" t="s">
        <v>43</v>
      </c>
      <c r="C229" s="16">
        <v>4.5678462664228E-3</v>
      </c>
      <c r="D229" s="16">
        <v>1.4345302324303001E-3</v>
      </c>
      <c r="E229" s="16">
        <v>1.4345302324303001E-3</v>
      </c>
      <c r="F229" s="16">
        <v>1.4345302324303001E-3</v>
      </c>
      <c r="G229" s="16">
        <v>3.1578540511261002E-3</v>
      </c>
      <c r="H229" s="16">
        <v>1.1117609301334E-3</v>
      </c>
      <c r="I229" s="16">
        <v>4.3035906972908999E-3</v>
      </c>
      <c r="J229" s="16" t="s">
        <v>385</v>
      </c>
      <c r="K229" s="16" t="s">
        <v>1877</v>
      </c>
    </row>
    <row r="230" spans="1:11">
      <c r="A230" s="16">
        <v>0</v>
      </c>
      <c r="B230" s="16" t="s">
        <v>38</v>
      </c>
      <c r="C230" s="16">
        <v>1.3018081401348E-3</v>
      </c>
      <c r="D230" s="16">
        <v>3.3031749575120002E-4</v>
      </c>
      <c r="E230" s="16">
        <v>3.1903543133530001E-4</v>
      </c>
      <c r="F230" s="16">
        <v>3.8594187567879998E-4</v>
      </c>
      <c r="G230" s="16">
        <v>6.3946128345579998E-4</v>
      </c>
      <c r="H230" s="16">
        <v>2.8289784339339998E-4</v>
      </c>
      <c r="I230" s="16">
        <v>5.8506340922450002E-4</v>
      </c>
      <c r="J230" s="16" t="s">
        <v>386</v>
      </c>
      <c r="K230" s="16" t="s">
        <v>1877</v>
      </c>
    </row>
    <row r="231" spans="1:11">
      <c r="A231" s="16">
        <v>1</v>
      </c>
      <c r="B231" s="16" t="s">
        <v>39</v>
      </c>
      <c r="C231" s="16">
        <v>3.4003581782857E-3</v>
      </c>
      <c r="D231" s="16">
        <v>2.8226770072497E-3</v>
      </c>
      <c r="E231" s="16">
        <v>9.1563612345909999E-4</v>
      </c>
      <c r="F231" s="16">
        <v>1.0581562199093999E-3</v>
      </c>
      <c r="G231" s="16">
        <v>2.3463672970162998E-3</v>
      </c>
      <c r="H231" s="16">
        <v>3.0762664275575001E-3</v>
      </c>
      <c r="I231" s="16">
        <v>3.1744686597282002E-3</v>
      </c>
      <c r="J231" s="16" t="s">
        <v>386</v>
      </c>
      <c r="K231" s="16" t="s">
        <v>1877</v>
      </c>
    </row>
    <row r="232" spans="1:11">
      <c r="A232" s="16">
        <v>2</v>
      </c>
      <c r="B232" s="16" t="s">
        <v>40</v>
      </c>
      <c r="C232" s="16">
        <v>1.6475083571845001E-3</v>
      </c>
      <c r="D232" s="16">
        <v>5.1268752410850004E-4</v>
      </c>
      <c r="E232" s="16">
        <v>5.1268752410850004E-4</v>
      </c>
      <c r="F232" s="16">
        <v>5.1268752410850004E-4</v>
      </c>
      <c r="G232" s="16">
        <v>0</v>
      </c>
      <c r="H232" s="16">
        <v>0</v>
      </c>
      <c r="I232" s="16">
        <v>1.5380625723256001E-3</v>
      </c>
      <c r="J232" s="16" t="s">
        <v>386</v>
      </c>
      <c r="K232" s="16" t="s">
        <v>1877</v>
      </c>
    </row>
    <row r="233" spans="1:11">
      <c r="A233" s="16">
        <v>3</v>
      </c>
      <c r="B233" s="16" t="s">
        <v>41</v>
      </c>
      <c r="C233" s="16">
        <v>7.5686214263260003E-4</v>
      </c>
      <c r="D233" s="95">
        <v>7.1745362435244995E-5</v>
      </c>
      <c r="E233" s="95">
        <v>7.1745362435244995E-5</v>
      </c>
      <c r="F233" s="95">
        <v>7.1745362435244995E-5</v>
      </c>
      <c r="G233" s="16">
        <v>0</v>
      </c>
      <c r="H233" s="16">
        <v>0</v>
      </c>
      <c r="I233" s="16">
        <v>2.1523608730569999E-4</v>
      </c>
      <c r="J233" s="16" t="s">
        <v>386</v>
      </c>
      <c r="K233" s="16" t="s">
        <v>1877</v>
      </c>
    </row>
    <row r="234" spans="1:11">
      <c r="A234" s="16">
        <v>4</v>
      </c>
      <c r="B234" s="16" t="s">
        <v>42</v>
      </c>
      <c r="C234" s="95">
        <v>4.0472255247854701E-5</v>
      </c>
      <c r="D234" s="16">
        <v>0</v>
      </c>
      <c r="E234" s="95">
        <v>1.25945463327246E-5</v>
      </c>
      <c r="F234" s="95">
        <v>1.25945463327246E-5</v>
      </c>
      <c r="G234" s="16">
        <v>0</v>
      </c>
      <c r="H234" s="16">
        <v>0</v>
      </c>
      <c r="I234" s="95">
        <v>3.7783638998173901E-5</v>
      </c>
      <c r="J234" s="16" t="s">
        <v>386</v>
      </c>
      <c r="K234" s="16" t="s">
        <v>1877</v>
      </c>
    </row>
    <row r="235" spans="1:11">
      <c r="A235" s="16">
        <v>5</v>
      </c>
      <c r="B235" s="16" t="s">
        <v>43</v>
      </c>
      <c r="C235" s="16">
        <v>4.5678462664228E-3</v>
      </c>
      <c r="D235" s="16">
        <v>1.4345302324303001E-3</v>
      </c>
      <c r="E235" s="16">
        <v>1.4345302324303001E-3</v>
      </c>
      <c r="F235" s="16">
        <v>1.4345302324303001E-3</v>
      </c>
      <c r="G235" s="16">
        <v>3.1578540511261002E-3</v>
      </c>
      <c r="H235" s="16">
        <v>1.1117609301334E-3</v>
      </c>
      <c r="I235" s="16">
        <v>4.3035906972908999E-3</v>
      </c>
      <c r="J235" s="16" t="s">
        <v>386</v>
      </c>
      <c r="K235" s="16" t="s">
        <v>1877</v>
      </c>
    </row>
    <row r="236" spans="1:11">
      <c r="A236" s="16">
        <v>0</v>
      </c>
      <c r="B236" s="16" t="s">
        <v>38</v>
      </c>
      <c r="C236" s="16">
        <v>1.3018081401348E-3</v>
      </c>
      <c r="D236" s="16">
        <v>3.3031749575120002E-4</v>
      </c>
      <c r="E236" s="16">
        <v>3.1903543133530001E-4</v>
      </c>
      <c r="F236" s="16">
        <v>3.8594187567879998E-4</v>
      </c>
      <c r="G236" s="16">
        <v>6.3946128345579998E-4</v>
      </c>
      <c r="H236" s="16">
        <v>2.8289784339339998E-4</v>
      </c>
      <c r="I236" s="16">
        <v>5.8506340922450002E-4</v>
      </c>
      <c r="J236" s="16" t="s">
        <v>387</v>
      </c>
      <c r="K236" s="16" t="s">
        <v>1877</v>
      </c>
    </row>
    <row r="237" spans="1:11">
      <c r="A237" s="16">
        <v>1</v>
      </c>
      <c r="B237" s="16" t="s">
        <v>39</v>
      </c>
      <c r="C237" s="16">
        <v>3.4003581782857E-3</v>
      </c>
      <c r="D237" s="16">
        <v>2.8226770072497E-3</v>
      </c>
      <c r="E237" s="16">
        <v>9.1563612345909999E-4</v>
      </c>
      <c r="F237" s="16">
        <v>1.0581562199093999E-3</v>
      </c>
      <c r="G237" s="16">
        <v>2.3463672970162998E-3</v>
      </c>
      <c r="H237" s="16">
        <v>3.0762664275575001E-3</v>
      </c>
      <c r="I237" s="16">
        <v>3.1744686597282002E-3</v>
      </c>
      <c r="J237" s="16" t="s">
        <v>387</v>
      </c>
      <c r="K237" s="16" t="s">
        <v>1877</v>
      </c>
    </row>
    <row r="238" spans="1:11">
      <c r="A238" s="16">
        <v>2</v>
      </c>
      <c r="B238" s="16" t="s">
        <v>40</v>
      </c>
      <c r="C238" s="16">
        <v>1.6475083571845001E-3</v>
      </c>
      <c r="D238" s="16">
        <v>5.1268752410850004E-4</v>
      </c>
      <c r="E238" s="16">
        <v>5.1268752410850004E-4</v>
      </c>
      <c r="F238" s="16">
        <v>5.1268752410850004E-4</v>
      </c>
      <c r="G238" s="16">
        <v>0</v>
      </c>
      <c r="H238" s="16">
        <v>0</v>
      </c>
      <c r="I238" s="16">
        <v>1.5380625723256001E-3</v>
      </c>
      <c r="J238" s="16" t="s">
        <v>387</v>
      </c>
      <c r="K238" s="16" t="s">
        <v>1877</v>
      </c>
    </row>
    <row r="239" spans="1:11">
      <c r="A239" s="16">
        <v>3</v>
      </c>
      <c r="B239" s="16" t="s">
        <v>41</v>
      </c>
      <c r="C239" s="16">
        <v>7.5686214263260003E-4</v>
      </c>
      <c r="D239" s="95">
        <v>7.1745362435244995E-5</v>
      </c>
      <c r="E239" s="95">
        <v>7.1745362435244995E-5</v>
      </c>
      <c r="F239" s="95">
        <v>7.1745362435244995E-5</v>
      </c>
      <c r="G239" s="16">
        <v>0</v>
      </c>
      <c r="H239" s="16">
        <v>0</v>
      </c>
      <c r="I239" s="16">
        <v>2.1523608730569999E-4</v>
      </c>
      <c r="J239" s="16" t="s">
        <v>387</v>
      </c>
      <c r="K239" s="16" t="s">
        <v>1877</v>
      </c>
    </row>
    <row r="240" spans="1:11">
      <c r="A240" s="16">
        <v>4</v>
      </c>
      <c r="B240" s="16" t="s">
        <v>42</v>
      </c>
      <c r="C240" s="95">
        <v>4.0472255247854701E-5</v>
      </c>
      <c r="D240" s="16">
        <v>0</v>
      </c>
      <c r="E240" s="95">
        <v>1.25945463327246E-5</v>
      </c>
      <c r="F240" s="95">
        <v>1.25945463327246E-5</v>
      </c>
      <c r="G240" s="16">
        <v>0</v>
      </c>
      <c r="H240" s="16">
        <v>0</v>
      </c>
      <c r="I240" s="95">
        <v>3.7783638998173901E-5</v>
      </c>
      <c r="J240" s="16" t="s">
        <v>387</v>
      </c>
      <c r="K240" s="16" t="s">
        <v>1877</v>
      </c>
    </row>
    <row r="241" spans="1:11">
      <c r="A241" s="16">
        <v>5</v>
      </c>
      <c r="B241" s="16" t="s">
        <v>43</v>
      </c>
      <c r="C241" s="16">
        <v>4.5678462664228E-3</v>
      </c>
      <c r="D241" s="16">
        <v>1.4345302324303001E-3</v>
      </c>
      <c r="E241" s="16">
        <v>1.4345302324303001E-3</v>
      </c>
      <c r="F241" s="16">
        <v>1.4345302324303001E-3</v>
      </c>
      <c r="G241" s="16">
        <v>3.1578540511261002E-3</v>
      </c>
      <c r="H241" s="16">
        <v>1.1117609301334E-3</v>
      </c>
      <c r="I241" s="16">
        <v>4.3035906972908999E-3</v>
      </c>
      <c r="J241" s="16" t="s">
        <v>387</v>
      </c>
      <c r="K241" s="16" t="s">
        <v>1877</v>
      </c>
    </row>
    <row r="242" spans="1:11">
      <c r="A242" s="16">
        <v>0</v>
      </c>
      <c r="B242" s="16" t="s">
        <v>38</v>
      </c>
      <c r="C242" s="16">
        <v>1.3018081401348E-3</v>
      </c>
      <c r="D242" s="16">
        <v>3.3031749575120002E-4</v>
      </c>
      <c r="E242" s="16">
        <v>3.1903543133530001E-4</v>
      </c>
      <c r="F242" s="16">
        <v>3.8594187567879998E-4</v>
      </c>
      <c r="G242" s="16">
        <v>6.3946128345579998E-4</v>
      </c>
      <c r="H242" s="16">
        <v>2.8289784339339998E-4</v>
      </c>
      <c r="I242" s="16">
        <v>5.8506340922450002E-4</v>
      </c>
      <c r="J242" s="16" t="s">
        <v>388</v>
      </c>
      <c r="K242" s="16" t="s">
        <v>1877</v>
      </c>
    </row>
    <row r="243" spans="1:11">
      <c r="A243" s="16">
        <v>1</v>
      </c>
      <c r="B243" s="16" t="s">
        <v>39</v>
      </c>
      <c r="C243" s="16">
        <v>3.4003581782857E-3</v>
      </c>
      <c r="D243" s="16">
        <v>2.8226770072497E-3</v>
      </c>
      <c r="E243" s="16">
        <v>9.1563612345909999E-4</v>
      </c>
      <c r="F243" s="16">
        <v>1.0581562199093999E-3</v>
      </c>
      <c r="G243" s="16">
        <v>2.3463672970162998E-3</v>
      </c>
      <c r="H243" s="16">
        <v>3.0762664275575001E-3</v>
      </c>
      <c r="I243" s="16">
        <v>3.1744686597282002E-3</v>
      </c>
      <c r="J243" s="16" t="s">
        <v>388</v>
      </c>
      <c r="K243" s="16" t="s">
        <v>1877</v>
      </c>
    </row>
    <row r="244" spans="1:11">
      <c r="A244" s="16">
        <v>2</v>
      </c>
      <c r="B244" s="16" t="s">
        <v>40</v>
      </c>
      <c r="C244" s="16">
        <v>1.6475083571845001E-3</v>
      </c>
      <c r="D244" s="16">
        <v>5.1268752410850004E-4</v>
      </c>
      <c r="E244" s="16">
        <v>5.1268752410850004E-4</v>
      </c>
      <c r="F244" s="16">
        <v>5.1268752410850004E-4</v>
      </c>
      <c r="G244" s="16">
        <v>0</v>
      </c>
      <c r="H244" s="16">
        <v>0</v>
      </c>
      <c r="I244" s="16">
        <v>1.5380625723256001E-3</v>
      </c>
      <c r="J244" s="16" t="s">
        <v>388</v>
      </c>
      <c r="K244" s="16" t="s">
        <v>1877</v>
      </c>
    </row>
    <row r="245" spans="1:11">
      <c r="A245" s="16">
        <v>3</v>
      </c>
      <c r="B245" s="16" t="s">
        <v>41</v>
      </c>
      <c r="C245" s="16">
        <v>7.5686214263260003E-4</v>
      </c>
      <c r="D245" s="95">
        <v>7.1745362435244995E-5</v>
      </c>
      <c r="E245" s="95">
        <v>7.1745362435244995E-5</v>
      </c>
      <c r="F245" s="95">
        <v>7.1745362435244995E-5</v>
      </c>
      <c r="G245" s="16">
        <v>0</v>
      </c>
      <c r="H245" s="16">
        <v>0</v>
      </c>
      <c r="I245" s="16">
        <v>2.1523608730569999E-4</v>
      </c>
      <c r="J245" s="16" t="s">
        <v>388</v>
      </c>
      <c r="K245" s="16" t="s">
        <v>1877</v>
      </c>
    </row>
    <row r="246" spans="1:11">
      <c r="A246" s="16">
        <v>4</v>
      </c>
      <c r="B246" s="16" t="s">
        <v>42</v>
      </c>
      <c r="C246" s="95">
        <v>4.0472255247854701E-5</v>
      </c>
      <c r="D246" s="16">
        <v>0</v>
      </c>
      <c r="E246" s="95">
        <v>1.25945463327246E-5</v>
      </c>
      <c r="F246" s="95">
        <v>1.25945463327246E-5</v>
      </c>
      <c r="G246" s="16">
        <v>0</v>
      </c>
      <c r="H246" s="16">
        <v>0</v>
      </c>
      <c r="I246" s="95">
        <v>3.7783638998173901E-5</v>
      </c>
      <c r="J246" s="16" t="s">
        <v>388</v>
      </c>
      <c r="K246" s="16" t="s">
        <v>1877</v>
      </c>
    </row>
    <row r="247" spans="1:11">
      <c r="A247" s="16">
        <v>5</v>
      </c>
      <c r="B247" s="16" t="s">
        <v>43</v>
      </c>
      <c r="C247" s="16">
        <v>4.5678462664228E-3</v>
      </c>
      <c r="D247" s="16">
        <v>1.4345302324303001E-3</v>
      </c>
      <c r="E247" s="16">
        <v>1.4345302324303001E-3</v>
      </c>
      <c r="F247" s="16">
        <v>1.4345302324303001E-3</v>
      </c>
      <c r="G247" s="16">
        <v>3.1578540511261002E-3</v>
      </c>
      <c r="H247" s="16">
        <v>1.1117609301334E-3</v>
      </c>
      <c r="I247" s="16">
        <v>4.3035906972908999E-3</v>
      </c>
      <c r="J247" s="16" t="s">
        <v>388</v>
      </c>
      <c r="K247" s="16" t="s">
        <v>1877</v>
      </c>
    </row>
    <row r="248" spans="1:11">
      <c r="A248" s="16">
        <v>0</v>
      </c>
      <c r="B248" s="16" t="s">
        <v>38</v>
      </c>
      <c r="C248" s="16">
        <v>1.3018081401348E-3</v>
      </c>
      <c r="D248" s="16">
        <v>3.3031749575120002E-4</v>
      </c>
      <c r="E248" s="16">
        <v>3.1903543133530001E-4</v>
      </c>
      <c r="F248" s="16">
        <v>3.8594187567879998E-4</v>
      </c>
      <c r="G248" s="16">
        <v>6.3946128345579998E-4</v>
      </c>
      <c r="H248" s="16">
        <v>2.8289784339339998E-4</v>
      </c>
      <c r="I248" s="16">
        <v>5.8506340922450002E-4</v>
      </c>
      <c r="J248" s="16" t="s">
        <v>389</v>
      </c>
      <c r="K248" s="16" t="s">
        <v>1877</v>
      </c>
    </row>
    <row r="249" spans="1:11">
      <c r="A249" s="16">
        <v>1</v>
      </c>
      <c r="B249" s="16" t="s">
        <v>39</v>
      </c>
      <c r="C249" s="16">
        <v>3.4003581782857E-3</v>
      </c>
      <c r="D249" s="16">
        <v>2.8226770072497E-3</v>
      </c>
      <c r="E249" s="16">
        <v>9.1563612345909999E-4</v>
      </c>
      <c r="F249" s="16">
        <v>1.0581562199093999E-3</v>
      </c>
      <c r="G249" s="16">
        <v>2.3463672970162998E-3</v>
      </c>
      <c r="H249" s="16">
        <v>3.0762664275575001E-3</v>
      </c>
      <c r="I249" s="16">
        <v>3.1744686597282002E-3</v>
      </c>
      <c r="J249" s="16" t="s">
        <v>389</v>
      </c>
      <c r="K249" s="16" t="s">
        <v>1877</v>
      </c>
    </row>
    <row r="250" spans="1:11">
      <c r="A250" s="16">
        <v>2</v>
      </c>
      <c r="B250" s="16" t="s">
        <v>40</v>
      </c>
      <c r="C250" s="16">
        <v>1.6475083571845001E-3</v>
      </c>
      <c r="D250" s="16">
        <v>5.1268752410850004E-4</v>
      </c>
      <c r="E250" s="16">
        <v>5.1268752410850004E-4</v>
      </c>
      <c r="F250" s="16">
        <v>5.1268752410850004E-4</v>
      </c>
      <c r="G250" s="16">
        <v>0</v>
      </c>
      <c r="H250" s="16">
        <v>0</v>
      </c>
      <c r="I250" s="16">
        <v>1.5380625723256001E-3</v>
      </c>
      <c r="J250" s="16" t="s">
        <v>389</v>
      </c>
      <c r="K250" s="16" t="s">
        <v>1877</v>
      </c>
    </row>
    <row r="251" spans="1:11">
      <c r="A251" s="16">
        <v>3</v>
      </c>
      <c r="B251" s="16" t="s">
        <v>41</v>
      </c>
      <c r="C251" s="16">
        <v>7.5686214263260003E-4</v>
      </c>
      <c r="D251" s="95">
        <v>7.1745362435244995E-5</v>
      </c>
      <c r="E251" s="95">
        <v>7.1745362435244995E-5</v>
      </c>
      <c r="F251" s="95">
        <v>7.1745362435244995E-5</v>
      </c>
      <c r="G251" s="16">
        <v>0</v>
      </c>
      <c r="H251" s="16">
        <v>0</v>
      </c>
      <c r="I251" s="16">
        <v>2.1523608730569999E-4</v>
      </c>
      <c r="J251" s="16" t="s">
        <v>389</v>
      </c>
      <c r="K251" s="16" t="s">
        <v>1877</v>
      </c>
    </row>
    <row r="252" spans="1:11">
      <c r="A252" s="16">
        <v>4</v>
      </c>
      <c r="B252" s="16" t="s">
        <v>42</v>
      </c>
      <c r="C252" s="95">
        <v>4.0472255247854701E-5</v>
      </c>
      <c r="D252" s="16">
        <v>0</v>
      </c>
      <c r="E252" s="95">
        <v>1.25945463327246E-5</v>
      </c>
      <c r="F252" s="95">
        <v>1.25945463327246E-5</v>
      </c>
      <c r="G252" s="16">
        <v>0</v>
      </c>
      <c r="H252" s="16">
        <v>0</v>
      </c>
      <c r="I252" s="95">
        <v>3.7783638998173901E-5</v>
      </c>
      <c r="J252" s="16" t="s">
        <v>389</v>
      </c>
      <c r="K252" s="16" t="s">
        <v>1877</v>
      </c>
    </row>
    <row r="253" spans="1:11">
      <c r="A253" s="16">
        <v>5</v>
      </c>
      <c r="B253" s="16" t="s">
        <v>43</v>
      </c>
      <c r="C253" s="16">
        <v>4.5678462664228E-3</v>
      </c>
      <c r="D253" s="16">
        <v>1.4345302324303001E-3</v>
      </c>
      <c r="E253" s="16">
        <v>1.4345302324303001E-3</v>
      </c>
      <c r="F253" s="16">
        <v>1.4345302324303001E-3</v>
      </c>
      <c r="G253" s="16">
        <v>3.1578540511261002E-3</v>
      </c>
      <c r="H253" s="16">
        <v>1.1117609301334E-3</v>
      </c>
      <c r="I253" s="16">
        <v>4.3035906972908999E-3</v>
      </c>
      <c r="J253" s="16" t="s">
        <v>389</v>
      </c>
      <c r="K253" s="16" t="s">
        <v>1877</v>
      </c>
    </row>
    <row r="254" spans="1:11">
      <c r="A254" s="16">
        <v>0</v>
      </c>
      <c r="B254" s="16" t="s">
        <v>38</v>
      </c>
      <c r="C254" s="16">
        <v>1.3018081401348E-3</v>
      </c>
      <c r="D254" s="16">
        <v>3.3031749575120002E-4</v>
      </c>
      <c r="E254" s="16">
        <v>3.1903543133530001E-4</v>
      </c>
      <c r="F254" s="16">
        <v>3.8594187567879998E-4</v>
      </c>
      <c r="G254" s="16">
        <v>6.3946128345579998E-4</v>
      </c>
      <c r="H254" s="16">
        <v>2.8289784339339998E-4</v>
      </c>
      <c r="I254" s="16">
        <v>5.8506340922450002E-4</v>
      </c>
      <c r="J254" s="16" t="s">
        <v>390</v>
      </c>
      <c r="K254" s="16" t="s">
        <v>1877</v>
      </c>
    </row>
    <row r="255" spans="1:11">
      <c r="A255" s="16">
        <v>1</v>
      </c>
      <c r="B255" s="16" t="s">
        <v>39</v>
      </c>
      <c r="C255" s="16">
        <v>3.4003581782857E-3</v>
      </c>
      <c r="D255" s="16">
        <v>2.8226770072497E-3</v>
      </c>
      <c r="E255" s="16">
        <v>9.1563612345909999E-4</v>
      </c>
      <c r="F255" s="16">
        <v>1.0581562199093999E-3</v>
      </c>
      <c r="G255" s="16">
        <v>2.3463672970162998E-3</v>
      </c>
      <c r="H255" s="16">
        <v>3.0762664275575001E-3</v>
      </c>
      <c r="I255" s="16">
        <v>3.1744686597282002E-3</v>
      </c>
      <c r="J255" s="16" t="s">
        <v>390</v>
      </c>
      <c r="K255" s="16" t="s">
        <v>1877</v>
      </c>
    </row>
    <row r="256" spans="1:11">
      <c r="A256" s="16">
        <v>2</v>
      </c>
      <c r="B256" s="16" t="s">
        <v>40</v>
      </c>
      <c r="C256" s="16">
        <v>1.6475083571845001E-3</v>
      </c>
      <c r="D256" s="16">
        <v>5.1268752410850004E-4</v>
      </c>
      <c r="E256" s="16">
        <v>5.1268752410850004E-4</v>
      </c>
      <c r="F256" s="16">
        <v>5.1268752410850004E-4</v>
      </c>
      <c r="G256" s="16">
        <v>0</v>
      </c>
      <c r="H256" s="16">
        <v>0</v>
      </c>
      <c r="I256" s="16">
        <v>1.5380625723256001E-3</v>
      </c>
      <c r="J256" s="16" t="s">
        <v>390</v>
      </c>
      <c r="K256" s="16" t="s">
        <v>1877</v>
      </c>
    </row>
    <row r="257" spans="1:11">
      <c r="A257" s="16">
        <v>3</v>
      </c>
      <c r="B257" s="16" t="s">
        <v>41</v>
      </c>
      <c r="C257" s="16">
        <v>7.5686214263260003E-4</v>
      </c>
      <c r="D257" s="95">
        <v>7.1745362435244995E-5</v>
      </c>
      <c r="E257" s="95">
        <v>7.1745362435244995E-5</v>
      </c>
      <c r="F257" s="95">
        <v>7.1745362435244995E-5</v>
      </c>
      <c r="G257" s="16">
        <v>0</v>
      </c>
      <c r="H257" s="16">
        <v>0</v>
      </c>
      <c r="I257" s="16">
        <v>2.1523608730569999E-4</v>
      </c>
      <c r="J257" s="16" t="s">
        <v>390</v>
      </c>
      <c r="K257" s="16" t="s">
        <v>1877</v>
      </c>
    </row>
    <row r="258" spans="1:11">
      <c r="A258" s="16">
        <v>4</v>
      </c>
      <c r="B258" s="16" t="s">
        <v>42</v>
      </c>
      <c r="C258" s="95">
        <v>4.0472255247854701E-5</v>
      </c>
      <c r="D258" s="16">
        <v>0</v>
      </c>
      <c r="E258" s="95">
        <v>1.25945463327246E-5</v>
      </c>
      <c r="F258" s="95">
        <v>1.25945463327246E-5</v>
      </c>
      <c r="G258" s="16">
        <v>0</v>
      </c>
      <c r="H258" s="16">
        <v>0</v>
      </c>
      <c r="I258" s="95">
        <v>3.7783638998173901E-5</v>
      </c>
      <c r="J258" s="16" t="s">
        <v>390</v>
      </c>
      <c r="K258" s="16" t="s">
        <v>1877</v>
      </c>
    </row>
    <row r="259" spans="1:11">
      <c r="A259" s="16">
        <v>5</v>
      </c>
      <c r="B259" s="16" t="s">
        <v>43</v>
      </c>
      <c r="C259" s="16">
        <v>4.5678462664228E-3</v>
      </c>
      <c r="D259" s="16">
        <v>1.4345302324303001E-3</v>
      </c>
      <c r="E259" s="16">
        <v>1.4345302324303001E-3</v>
      </c>
      <c r="F259" s="16">
        <v>1.4345302324303001E-3</v>
      </c>
      <c r="G259" s="16">
        <v>3.1578540511261002E-3</v>
      </c>
      <c r="H259" s="16">
        <v>1.1117609301334E-3</v>
      </c>
      <c r="I259" s="16">
        <v>4.3035906972908999E-3</v>
      </c>
      <c r="J259" s="16" t="s">
        <v>390</v>
      </c>
      <c r="K259" s="16" t="s">
        <v>1877</v>
      </c>
    </row>
    <row r="260" spans="1:11">
      <c r="A260" s="16">
        <v>0</v>
      </c>
      <c r="B260" s="16" t="s">
        <v>38</v>
      </c>
      <c r="C260" s="16">
        <v>1.3018081401348E-3</v>
      </c>
      <c r="D260" s="16">
        <v>3.3031749575120002E-4</v>
      </c>
      <c r="E260" s="16">
        <v>3.1903543133530001E-4</v>
      </c>
      <c r="F260" s="16">
        <v>3.8594187567879998E-4</v>
      </c>
      <c r="G260" s="16">
        <v>6.3946128345579998E-4</v>
      </c>
      <c r="H260" s="16">
        <v>2.8289784339339998E-4</v>
      </c>
      <c r="I260" s="16">
        <v>5.8506340922450002E-4</v>
      </c>
      <c r="J260" s="16" t="s">
        <v>395</v>
      </c>
      <c r="K260" s="16" t="s">
        <v>1877</v>
      </c>
    </row>
    <row r="261" spans="1:11">
      <c r="A261" s="16">
        <v>1</v>
      </c>
      <c r="B261" s="16" t="s">
        <v>39</v>
      </c>
      <c r="C261" s="16">
        <v>3.4003581782857E-3</v>
      </c>
      <c r="D261" s="16">
        <v>2.8226770072497E-3</v>
      </c>
      <c r="E261" s="16">
        <v>9.1563612345909999E-4</v>
      </c>
      <c r="F261" s="16">
        <v>1.0581562199093999E-3</v>
      </c>
      <c r="G261" s="16">
        <v>2.3463672970162998E-3</v>
      </c>
      <c r="H261" s="16">
        <v>3.0762664275575001E-3</v>
      </c>
      <c r="I261" s="16">
        <v>3.1744686597282002E-3</v>
      </c>
      <c r="J261" s="16" t="s">
        <v>395</v>
      </c>
      <c r="K261" s="16" t="s">
        <v>1877</v>
      </c>
    </row>
    <row r="262" spans="1:11">
      <c r="A262" s="16">
        <v>2</v>
      </c>
      <c r="B262" s="16" t="s">
        <v>40</v>
      </c>
      <c r="C262" s="16">
        <v>1.6475083571845001E-3</v>
      </c>
      <c r="D262" s="16">
        <v>5.1268752410850004E-4</v>
      </c>
      <c r="E262" s="16">
        <v>5.1268752410850004E-4</v>
      </c>
      <c r="F262" s="16">
        <v>5.1268752410850004E-4</v>
      </c>
      <c r="G262" s="16">
        <v>0</v>
      </c>
      <c r="H262" s="16">
        <v>0</v>
      </c>
      <c r="I262" s="16">
        <v>1.5380625723256001E-3</v>
      </c>
      <c r="J262" s="16" t="s">
        <v>395</v>
      </c>
      <c r="K262" s="16" t="s">
        <v>1877</v>
      </c>
    </row>
    <row r="263" spans="1:11">
      <c r="A263" s="16">
        <v>3</v>
      </c>
      <c r="B263" s="16" t="s">
        <v>41</v>
      </c>
      <c r="C263" s="16">
        <v>7.5686214263260003E-4</v>
      </c>
      <c r="D263" s="95">
        <v>7.1745362435244995E-5</v>
      </c>
      <c r="E263" s="95">
        <v>7.1745362435244995E-5</v>
      </c>
      <c r="F263" s="95">
        <v>7.1745362435244995E-5</v>
      </c>
      <c r="G263" s="16">
        <v>0</v>
      </c>
      <c r="H263" s="16">
        <v>0</v>
      </c>
      <c r="I263" s="16">
        <v>2.1523608730569999E-4</v>
      </c>
      <c r="J263" s="16" t="s">
        <v>395</v>
      </c>
      <c r="K263" s="16" t="s">
        <v>1877</v>
      </c>
    </row>
    <row r="264" spans="1:11">
      <c r="A264" s="16">
        <v>4</v>
      </c>
      <c r="B264" s="16" t="s">
        <v>42</v>
      </c>
      <c r="C264" s="95">
        <v>4.0472255247854701E-5</v>
      </c>
      <c r="D264" s="16">
        <v>0</v>
      </c>
      <c r="E264" s="95">
        <v>1.25945463327246E-5</v>
      </c>
      <c r="F264" s="95">
        <v>1.25945463327246E-5</v>
      </c>
      <c r="G264" s="16">
        <v>0</v>
      </c>
      <c r="H264" s="16">
        <v>0</v>
      </c>
      <c r="I264" s="95">
        <v>3.7783638998173901E-5</v>
      </c>
      <c r="J264" s="16" t="s">
        <v>395</v>
      </c>
      <c r="K264" s="16" t="s">
        <v>1877</v>
      </c>
    </row>
    <row r="265" spans="1:11">
      <c r="A265" s="16">
        <v>5</v>
      </c>
      <c r="B265" s="16" t="s">
        <v>43</v>
      </c>
      <c r="C265" s="16">
        <v>4.5678462664228E-3</v>
      </c>
      <c r="D265" s="16">
        <v>1.4345302324303001E-3</v>
      </c>
      <c r="E265" s="16">
        <v>1.4345302324303001E-3</v>
      </c>
      <c r="F265" s="16">
        <v>1.4345302324303001E-3</v>
      </c>
      <c r="G265" s="16">
        <v>3.1578540511261002E-3</v>
      </c>
      <c r="H265" s="16">
        <v>1.1117609301334E-3</v>
      </c>
      <c r="I265" s="16">
        <v>4.3035906972908999E-3</v>
      </c>
      <c r="J265" s="16" t="s">
        <v>395</v>
      </c>
      <c r="K265" s="16" t="s">
        <v>1877</v>
      </c>
    </row>
    <row r="266" spans="1:11">
      <c r="A266" s="16">
        <v>0</v>
      </c>
      <c r="B266" s="16" t="s">
        <v>38</v>
      </c>
      <c r="C266" s="16">
        <v>1.3018081401348E-3</v>
      </c>
      <c r="D266" s="16">
        <v>3.3031749575120002E-4</v>
      </c>
      <c r="E266" s="16">
        <v>3.1903543133530001E-4</v>
      </c>
      <c r="F266" s="16">
        <v>3.8594187567879998E-4</v>
      </c>
      <c r="G266" s="16">
        <v>6.3946128345579998E-4</v>
      </c>
      <c r="H266" s="16">
        <v>2.8289784339339998E-4</v>
      </c>
      <c r="I266" s="16">
        <v>5.8506340922450002E-4</v>
      </c>
      <c r="J266" s="16" t="s">
        <v>396</v>
      </c>
      <c r="K266" s="16" t="s">
        <v>1877</v>
      </c>
    </row>
    <row r="267" spans="1:11">
      <c r="A267" s="16">
        <v>1</v>
      </c>
      <c r="B267" s="16" t="s">
        <v>39</v>
      </c>
      <c r="C267" s="16">
        <v>3.4003581782857E-3</v>
      </c>
      <c r="D267" s="16">
        <v>2.8226770072497E-3</v>
      </c>
      <c r="E267" s="16">
        <v>9.1563612345909999E-4</v>
      </c>
      <c r="F267" s="16">
        <v>1.0581562199093999E-3</v>
      </c>
      <c r="G267" s="16">
        <v>2.3463672970162998E-3</v>
      </c>
      <c r="H267" s="16">
        <v>3.0762664275575001E-3</v>
      </c>
      <c r="I267" s="16">
        <v>3.1744686597282002E-3</v>
      </c>
      <c r="J267" s="16" t="s">
        <v>396</v>
      </c>
      <c r="K267" s="16" t="s">
        <v>1877</v>
      </c>
    </row>
    <row r="268" spans="1:11">
      <c r="A268" s="16">
        <v>2</v>
      </c>
      <c r="B268" s="16" t="s">
        <v>40</v>
      </c>
      <c r="C268" s="16">
        <v>1.6475083571845001E-3</v>
      </c>
      <c r="D268" s="16">
        <v>5.1268752410850004E-4</v>
      </c>
      <c r="E268" s="16">
        <v>5.1268752410850004E-4</v>
      </c>
      <c r="F268" s="16">
        <v>5.1268752410850004E-4</v>
      </c>
      <c r="G268" s="16">
        <v>0</v>
      </c>
      <c r="H268" s="16">
        <v>0</v>
      </c>
      <c r="I268" s="16">
        <v>1.5380625723256001E-3</v>
      </c>
      <c r="J268" s="16" t="s">
        <v>396</v>
      </c>
      <c r="K268" s="16" t="s">
        <v>1877</v>
      </c>
    </row>
    <row r="269" spans="1:11">
      <c r="A269" s="16">
        <v>3</v>
      </c>
      <c r="B269" s="16" t="s">
        <v>41</v>
      </c>
      <c r="C269" s="16">
        <v>7.5686214263260003E-4</v>
      </c>
      <c r="D269" s="95">
        <v>7.1745362435244995E-5</v>
      </c>
      <c r="E269" s="95">
        <v>7.1745362435244995E-5</v>
      </c>
      <c r="F269" s="95">
        <v>7.1745362435244995E-5</v>
      </c>
      <c r="G269" s="16">
        <v>0</v>
      </c>
      <c r="H269" s="16">
        <v>0</v>
      </c>
      <c r="I269" s="16">
        <v>2.1523608730569999E-4</v>
      </c>
      <c r="J269" s="16" t="s">
        <v>396</v>
      </c>
      <c r="K269" s="16" t="s">
        <v>1877</v>
      </c>
    </row>
    <row r="270" spans="1:11">
      <c r="A270" s="16">
        <v>4</v>
      </c>
      <c r="B270" s="16" t="s">
        <v>42</v>
      </c>
      <c r="C270" s="95">
        <v>4.0472255247854701E-5</v>
      </c>
      <c r="D270" s="16">
        <v>0</v>
      </c>
      <c r="E270" s="95">
        <v>1.25945463327246E-5</v>
      </c>
      <c r="F270" s="95">
        <v>1.25945463327246E-5</v>
      </c>
      <c r="G270" s="16">
        <v>0</v>
      </c>
      <c r="H270" s="16">
        <v>0</v>
      </c>
      <c r="I270" s="95">
        <v>3.7783638998173901E-5</v>
      </c>
      <c r="J270" s="16" t="s">
        <v>396</v>
      </c>
      <c r="K270" s="16" t="s">
        <v>1877</v>
      </c>
    </row>
    <row r="271" spans="1:11">
      <c r="A271" s="16">
        <v>5</v>
      </c>
      <c r="B271" s="16" t="s">
        <v>43</v>
      </c>
      <c r="C271" s="16">
        <v>4.5678462664228E-3</v>
      </c>
      <c r="D271" s="16">
        <v>1.4345302324303001E-3</v>
      </c>
      <c r="E271" s="16">
        <v>1.4345302324303001E-3</v>
      </c>
      <c r="F271" s="16">
        <v>1.4345302324303001E-3</v>
      </c>
      <c r="G271" s="16">
        <v>3.1578540511261002E-3</v>
      </c>
      <c r="H271" s="16">
        <v>1.1117609301334E-3</v>
      </c>
      <c r="I271" s="16">
        <v>4.3035906972908999E-3</v>
      </c>
      <c r="J271" s="16" t="s">
        <v>396</v>
      </c>
      <c r="K271" s="16" t="s">
        <v>1877</v>
      </c>
    </row>
    <row r="272" spans="1:11">
      <c r="A272" s="16">
        <v>0</v>
      </c>
      <c r="B272" s="16" t="s">
        <v>38</v>
      </c>
      <c r="C272" s="16">
        <v>1.3018081401348E-3</v>
      </c>
      <c r="D272" s="16">
        <v>3.3031749575120002E-4</v>
      </c>
      <c r="E272" s="16">
        <v>3.1903543133530001E-4</v>
      </c>
      <c r="F272" s="16">
        <v>3.8594187567879998E-4</v>
      </c>
      <c r="G272" s="16">
        <v>6.3946128345579998E-4</v>
      </c>
      <c r="H272" s="16">
        <v>2.8289784339339998E-4</v>
      </c>
      <c r="I272" s="16">
        <v>5.8506340922450002E-4</v>
      </c>
      <c r="J272" s="16" t="s">
        <v>397</v>
      </c>
      <c r="K272" s="16" t="s">
        <v>1877</v>
      </c>
    </row>
    <row r="273" spans="1:11">
      <c r="A273" s="16">
        <v>1</v>
      </c>
      <c r="B273" s="16" t="s">
        <v>39</v>
      </c>
      <c r="C273" s="16">
        <v>3.4003581782857E-3</v>
      </c>
      <c r="D273" s="16">
        <v>2.8226770072497E-3</v>
      </c>
      <c r="E273" s="16">
        <v>9.1563612345909999E-4</v>
      </c>
      <c r="F273" s="16">
        <v>1.0581562199093999E-3</v>
      </c>
      <c r="G273" s="16">
        <v>2.3463672970162998E-3</v>
      </c>
      <c r="H273" s="16">
        <v>3.0762664275575001E-3</v>
      </c>
      <c r="I273" s="16">
        <v>3.1744686597282002E-3</v>
      </c>
      <c r="J273" s="16" t="s">
        <v>397</v>
      </c>
      <c r="K273" s="16" t="s">
        <v>1877</v>
      </c>
    </row>
    <row r="274" spans="1:11">
      <c r="A274" s="16">
        <v>2</v>
      </c>
      <c r="B274" s="16" t="s">
        <v>40</v>
      </c>
      <c r="C274" s="16">
        <v>1.6475083571845001E-3</v>
      </c>
      <c r="D274" s="16">
        <v>5.1268752410850004E-4</v>
      </c>
      <c r="E274" s="16">
        <v>5.1268752410850004E-4</v>
      </c>
      <c r="F274" s="16">
        <v>5.1268752410850004E-4</v>
      </c>
      <c r="G274" s="16">
        <v>0</v>
      </c>
      <c r="H274" s="16">
        <v>0</v>
      </c>
      <c r="I274" s="16">
        <v>1.5380625723256001E-3</v>
      </c>
      <c r="J274" s="16" t="s">
        <v>397</v>
      </c>
      <c r="K274" s="16" t="s">
        <v>1877</v>
      </c>
    </row>
    <row r="275" spans="1:11">
      <c r="A275" s="16">
        <v>3</v>
      </c>
      <c r="B275" s="16" t="s">
        <v>41</v>
      </c>
      <c r="C275" s="16">
        <v>7.5686214263260003E-4</v>
      </c>
      <c r="D275" s="95">
        <v>7.1745362435244995E-5</v>
      </c>
      <c r="E275" s="95">
        <v>7.1745362435244995E-5</v>
      </c>
      <c r="F275" s="95">
        <v>7.1745362435244995E-5</v>
      </c>
      <c r="G275" s="16">
        <v>0</v>
      </c>
      <c r="H275" s="16">
        <v>0</v>
      </c>
      <c r="I275" s="16">
        <v>2.1523608730569999E-4</v>
      </c>
      <c r="J275" s="16" t="s">
        <v>397</v>
      </c>
      <c r="K275" s="16" t="s">
        <v>1877</v>
      </c>
    </row>
    <row r="276" spans="1:11">
      <c r="A276" s="16">
        <v>4</v>
      </c>
      <c r="B276" s="16" t="s">
        <v>42</v>
      </c>
      <c r="C276" s="95">
        <v>4.0472255247854701E-5</v>
      </c>
      <c r="D276" s="16">
        <v>0</v>
      </c>
      <c r="E276" s="95">
        <v>1.25945463327246E-5</v>
      </c>
      <c r="F276" s="95">
        <v>1.25945463327246E-5</v>
      </c>
      <c r="G276" s="16">
        <v>0</v>
      </c>
      <c r="H276" s="16">
        <v>0</v>
      </c>
      <c r="I276" s="95">
        <v>3.7783638998173901E-5</v>
      </c>
      <c r="J276" s="16" t="s">
        <v>397</v>
      </c>
      <c r="K276" s="16" t="s">
        <v>1877</v>
      </c>
    </row>
    <row r="277" spans="1:11">
      <c r="A277" s="16">
        <v>5</v>
      </c>
      <c r="B277" s="16" t="s">
        <v>43</v>
      </c>
      <c r="C277" s="16">
        <v>4.5678462664228E-3</v>
      </c>
      <c r="D277" s="16">
        <v>1.4345302324303001E-3</v>
      </c>
      <c r="E277" s="16">
        <v>1.4345302324303001E-3</v>
      </c>
      <c r="F277" s="16">
        <v>1.4345302324303001E-3</v>
      </c>
      <c r="G277" s="16">
        <v>3.1578540511261002E-3</v>
      </c>
      <c r="H277" s="16">
        <v>1.1117609301334E-3</v>
      </c>
      <c r="I277" s="16">
        <v>4.3035906972908999E-3</v>
      </c>
      <c r="J277" s="16" t="s">
        <v>397</v>
      </c>
      <c r="K277" s="16" t="s">
        <v>1877</v>
      </c>
    </row>
    <row r="278" spans="1:11">
      <c r="A278" s="16">
        <v>0</v>
      </c>
      <c r="B278" s="16" t="s">
        <v>38</v>
      </c>
      <c r="C278" s="16">
        <v>1.3018081401348E-3</v>
      </c>
      <c r="D278" s="16">
        <v>3.3031749575120002E-4</v>
      </c>
      <c r="E278" s="16">
        <v>3.1903543133530001E-4</v>
      </c>
      <c r="F278" s="16">
        <v>3.8594187567879998E-4</v>
      </c>
      <c r="G278" s="16">
        <v>6.3946128345579998E-4</v>
      </c>
      <c r="H278" s="16">
        <v>2.8289784339339998E-4</v>
      </c>
      <c r="I278" s="16">
        <v>5.8506340922450002E-4</v>
      </c>
      <c r="J278" s="16" t="s">
        <v>398</v>
      </c>
      <c r="K278" s="16" t="s">
        <v>1877</v>
      </c>
    </row>
    <row r="279" spans="1:11">
      <c r="A279" s="16">
        <v>1</v>
      </c>
      <c r="B279" s="16" t="s">
        <v>39</v>
      </c>
      <c r="C279" s="16">
        <v>3.4003581782857E-3</v>
      </c>
      <c r="D279" s="16">
        <v>2.8226770072497E-3</v>
      </c>
      <c r="E279" s="16">
        <v>9.1563612345909999E-4</v>
      </c>
      <c r="F279" s="16">
        <v>1.0581562199093999E-3</v>
      </c>
      <c r="G279" s="16">
        <v>2.3463672970162998E-3</v>
      </c>
      <c r="H279" s="16">
        <v>3.0762664275575001E-3</v>
      </c>
      <c r="I279" s="16">
        <v>3.1744686597282002E-3</v>
      </c>
      <c r="J279" s="16" t="s">
        <v>398</v>
      </c>
      <c r="K279" s="16" t="s">
        <v>1877</v>
      </c>
    </row>
    <row r="280" spans="1:11">
      <c r="A280" s="16">
        <v>2</v>
      </c>
      <c r="B280" s="16" t="s">
        <v>40</v>
      </c>
      <c r="C280" s="16">
        <v>1.6475083571845001E-3</v>
      </c>
      <c r="D280" s="16">
        <v>5.1268752410850004E-4</v>
      </c>
      <c r="E280" s="16">
        <v>5.1268752410850004E-4</v>
      </c>
      <c r="F280" s="16">
        <v>5.1268752410850004E-4</v>
      </c>
      <c r="G280" s="16">
        <v>0</v>
      </c>
      <c r="H280" s="16">
        <v>0</v>
      </c>
      <c r="I280" s="16">
        <v>1.5380625723256001E-3</v>
      </c>
      <c r="J280" s="16" t="s">
        <v>398</v>
      </c>
      <c r="K280" s="16" t="s">
        <v>1877</v>
      </c>
    </row>
    <row r="281" spans="1:11">
      <c r="A281" s="16">
        <v>3</v>
      </c>
      <c r="B281" s="16" t="s">
        <v>41</v>
      </c>
      <c r="C281" s="16">
        <v>7.5686214263260003E-4</v>
      </c>
      <c r="D281" s="95">
        <v>7.1745362435244995E-5</v>
      </c>
      <c r="E281" s="95">
        <v>7.1745362435244995E-5</v>
      </c>
      <c r="F281" s="95">
        <v>7.1745362435244995E-5</v>
      </c>
      <c r="G281" s="16">
        <v>0</v>
      </c>
      <c r="H281" s="16">
        <v>0</v>
      </c>
      <c r="I281" s="16">
        <v>2.1523608730569999E-4</v>
      </c>
      <c r="J281" s="16" t="s">
        <v>398</v>
      </c>
      <c r="K281" s="16" t="s">
        <v>1877</v>
      </c>
    </row>
    <row r="282" spans="1:11">
      <c r="A282" s="16">
        <v>4</v>
      </c>
      <c r="B282" s="16" t="s">
        <v>42</v>
      </c>
      <c r="C282" s="95">
        <v>4.0472255247854701E-5</v>
      </c>
      <c r="D282" s="16">
        <v>0</v>
      </c>
      <c r="E282" s="95">
        <v>1.25945463327246E-5</v>
      </c>
      <c r="F282" s="95">
        <v>1.25945463327246E-5</v>
      </c>
      <c r="G282" s="16">
        <v>0</v>
      </c>
      <c r="H282" s="16">
        <v>0</v>
      </c>
      <c r="I282" s="95">
        <v>3.7783638998173901E-5</v>
      </c>
      <c r="J282" s="16" t="s">
        <v>398</v>
      </c>
      <c r="K282" s="16" t="s">
        <v>1877</v>
      </c>
    </row>
    <row r="283" spans="1:11">
      <c r="A283" s="16">
        <v>5</v>
      </c>
      <c r="B283" s="16" t="s">
        <v>43</v>
      </c>
      <c r="C283" s="16">
        <v>4.5678462664228E-3</v>
      </c>
      <c r="D283" s="16">
        <v>1.4345302324303001E-3</v>
      </c>
      <c r="E283" s="16">
        <v>1.4345302324303001E-3</v>
      </c>
      <c r="F283" s="16">
        <v>1.4345302324303001E-3</v>
      </c>
      <c r="G283" s="16">
        <v>3.1578540511261002E-3</v>
      </c>
      <c r="H283" s="16">
        <v>1.1117609301334E-3</v>
      </c>
      <c r="I283" s="16">
        <v>4.3035906972908999E-3</v>
      </c>
      <c r="J283" s="16" t="s">
        <v>398</v>
      </c>
      <c r="K283" s="16" t="s">
        <v>1877</v>
      </c>
    </row>
    <row r="284" spans="1:11">
      <c r="A284" s="16">
        <v>0</v>
      </c>
      <c r="B284" s="16" t="s">
        <v>38</v>
      </c>
      <c r="C284" s="16">
        <v>1.3018081401348E-3</v>
      </c>
      <c r="D284" s="16">
        <v>3.3031749575120002E-4</v>
      </c>
      <c r="E284" s="16">
        <v>3.1903543133530001E-4</v>
      </c>
      <c r="F284" s="16">
        <v>3.8594187567879998E-4</v>
      </c>
      <c r="G284" s="16">
        <v>6.3946128345579998E-4</v>
      </c>
      <c r="H284" s="16">
        <v>2.8289784339339998E-4</v>
      </c>
      <c r="I284" s="16">
        <v>5.8506340922450002E-4</v>
      </c>
      <c r="J284" s="16" t="s">
        <v>399</v>
      </c>
      <c r="K284" s="16" t="s">
        <v>1877</v>
      </c>
    </row>
    <row r="285" spans="1:11">
      <c r="A285" s="16">
        <v>1</v>
      </c>
      <c r="B285" s="16" t="s">
        <v>39</v>
      </c>
      <c r="C285" s="16">
        <v>3.4003581782857E-3</v>
      </c>
      <c r="D285" s="16">
        <v>2.8226770072497E-3</v>
      </c>
      <c r="E285" s="16">
        <v>9.1563612345909999E-4</v>
      </c>
      <c r="F285" s="16">
        <v>1.0581562199093999E-3</v>
      </c>
      <c r="G285" s="16">
        <v>2.3463672970162998E-3</v>
      </c>
      <c r="H285" s="16">
        <v>3.0762664275575001E-3</v>
      </c>
      <c r="I285" s="16">
        <v>3.1744686597282002E-3</v>
      </c>
      <c r="J285" s="16" t="s">
        <v>399</v>
      </c>
      <c r="K285" s="16" t="s">
        <v>1877</v>
      </c>
    </row>
    <row r="286" spans="1:11">
      <c r="A286" s="16">
        <v>2</v>
      </c>
      <c r="B286" s="16" t="s">
        <v>40</v>
      </c>
      <c r="C286" s="16">
        <v>1.6475083571845001E-3</v>
      </c>
      <c r="D286" s="16">
        <v>5.1268752410850004E-4</v>
      </c>
      <c r="E286" s="16">
        <v>5.1268752410850004E-4</v>
      </c>
      <c r="F286" s="16">
        <v>5.1268752410850004E-4</v>
      </c>
      <c r="G286" s="16">
        <v>0</v>
      </c>
      <c r="H286" s="16">
        <v>0</v>
      </c>
      <c r="I286" s="16">
        <v>1.5380625723256001E-3</v>
      </c>
      <c r="J286" s="16" t="s">
        <v>399</v>
      </c>
      <c r="K286" s="16" t="s">
        <v>1877</v>
      </c>
    </row>
    <row r="287" spans="1:11">
      <c r="A287" s="16">
        <v>3</v>
      </c>
      <c r="B287" s="16" t="s">
        <v>41</v>
      </c>
      <c r="C287" s="16">
        <v>7.5686214263260003E-4</v>
      </c>
      <c r="D287" s="95">
        <v>7.1745362435244995E-5</v>
      </c>
      <c r="E287" s="95">
        <v>7.1745362435244995E-5</v>
      </c>
      <c r="F287" s="95">
        <v>7.1745362435244995E-5</v>
      </c>
      <c r="G287" s="16">
        <v>0</v>
      </c>
      <c r="H287" s="16">
        <v>0</v>
      </c>
      <c r="I287" s="16">
        <v>2.1523608730569999E-4</v>
      </c>
      <c r="J287" s="16" t="s">
        <v>399</v>
      </c>
      <c r="K287" s="16" t="s">
        <v>1877</v>
      </c>
    </row>
    <row r="288" spans="1:11">
      <c r="A288" s="16">
        <v>4</v>
      </c>
      <c r="B288" s="16" t="s">
        <v>42</v>
      </c>
      <c r="C288" s="95">
        <v>4.0472255247854701E-5</v>
      </c>
      <c r="D288" s="16">
        <v>0</v>
      </c>
      <c r="E288" s="95">
        <v>1.25945463327246E-5</v>
      </c>
      <c r="F288" s="95">
        <v>1.25945463327246E-5</v>
      </c>
      <c r="G288" s="16">
        <v>0</v>
      </c>
      <c r="H288" s="16">
        <v>0</v>
      </c>
      <c r="I288" s="95">
        <v>3.7783638998173901E-5</v>
      </c>
      <c r="J288" s="16" t="s">
        <v>399</v>
      </c>
      <c r="K288" s="16" t="s">
        <v>1877</v>
      </c>
    </row>
    <row r="289" spans="1:11">
      <c r="A289" s="16">
        <v>5</v>
      </c>
      <c r="B289" s="16" t="s">
        <v>43</v>
      </c>
      <c r="C289" s="16">
        <v>4.5678462664228E-3</v>
      </c>
      <c r="D289" s="16">
        <v>1.4345302324303001E-3</v>
      </c>
      <c r="E289" s="16">
        <v>1.4345302324303001E-3</v>
      </c>
      <c r="F289" s="16">
        <v>1.4345302324303001E-3</v>
      </c>
      <c r="G289" s="16">
        <v>3.1578540511261002E-3</v>
      </c>
      <c r="H289" s="16">
        <v>1.1117609301334E-3</v>
      </c>
      <c r="I289" s="16">
        <v>4.3035906972908999E-3</v>
      </c>
      <c r="J289" s="16" t="s">
        <v>399</v>
      </c>
      <c r="K289" s="16" t="s">
        <v>1877</v>
      </c>
    </row>
    <row r="290" spans="1:11">
      <c r="A290" s="16">
        <v>0</v>
      </c>
      <c r="B290" s="16" t="s">
        <v>38</v>
      </c>
      <c r="C290" s="16">
        <v>1.3018081401348E-3</v>
      </c>
      <c r="D290" s="16">
        <v>3.3031749575120002E-4</v>
      </c>
      <c r="E290" s="16">
        <v>3.1903543133530001E-4</v>
      </c>
      <c r="F290" s="16">
        <v>3.8594187567879998E-4</v>
      </c>
      <c r="G290" s="16">
        <v>6.3946128345579998E-4</v>
      </c>
      <c r="H290" s="16">
        <v>2.8289784339339998E-4</v>
      </c>
      <c r="I290" s="16">
        <v>5.8506340922450002E-4</v>
      </c>
      <c r="J290" s="16" t="s">
        <v>400</v>
      </c>
      <c r="K290" s="16" t="s">
        <v>1877</v>
      </c>
    </row>
    <row r="291" spans="1:11">
      <c r="A291" s="16">
        <v>1</v>
      </c>
      <c r="B291" s="16" t="s">
        <v>39</v>
      </c>
      <c r="C291" s="16">
        <v>3.4003581782857E-3</v>
      </c>
      <c r="D291" s="16">
        <v>2.8226770072497E-3</v>
      </c>
      <c r="E291" s="16">
        <v>9.1563612345909999E-4</v>
      </c>
      <c r="F291" s="16">
        <v>1.0581562199093999E-3</v>
      </c>
      <c r="G291" s="16">
        <v>2.3463672970162998E-3</v>
      </c>
      <c r="H291" s="16">
        <v>3.0762664275575001E-3</v>
      </c>
      <c r="I291" s="16">
        <v>3.1744686597282002E-3</v>
      </c>
      <c r="J291" s="16" t="s">
        <v>400</v>
      </c>
      <c r="K291" s="16" t="s">
        <v>1877</v>
      </c>
    </row>
    <row r="292" spans="1:11">
      <c r="A292" s="16">
        <v>2</v>
      </c>
      <c r="B292" s="16" t="s">
        <v>40</v>
      </c>
      <c r="C292" s="16">
        <v>1.6475083571845001E-3</v>
      </c>
      <c r="D292" s="16">
        <v>5.1268752410850004E-4</v>
      </c>
      <c r="E292" s="16">
        <v>5.1268752410850004E-4</v>
      </c>
      <c r="F292" s="16">
        <v>5.1268752410850004E-4</v>
      </c>
      <c r="G292" s="16">
        <v>0</v>
      </c>
      <c r="H292" s="16">
        <v>0</v>
      </c>
      <c r="I292" s="16">
        <v>1.5380625723256001E-3</v>
      </c>
      <c r="J292" s="16" t="s">
        <v>400</v>
      </c>
      <c r="K292" s="16" t="s">
        <v>1877</v>
      </c>
    </row>
    <row r="293" spans="1:11">
      <c r="A293" s="16">
        <v>3</v>
      </c>
      <c r="B293" s="16" t="s">
        <v>41</v>
      </c>
      <c r="C293" s="16">
        <v>7.5686214263260003E-4</v>
      </c>
      <c r="D293" s="95">
        <v>7.1745362435244995E-5</v>
      </c>
      <c r="E293" s="95">
        <v>7.1745362435244995E-5</v>
      </c>
      <c r="F293" s="95">
        <v>7.1745362435244995E-5</v>
      </c>
      <c r="G293" s="16">
        <v>0</v>
      </c>
      <c r="H293" s="16">
        <v>0</v>
      </c>
      <c r="I293" s="16">
        <v>2.1523608730569999E-4</v>
      </c>
      <c r="J293" s="16" t="s">
        <v>400</v>
      </c>
      <c r="K293" s="16" t="s">
        <v>1877</v>
      </c>
    </row>
    <row r="294" spans="1:11">
      <c r="A294" s="16">
        <v>4</v>
      </c>
      <c r="B294" s="16" t="s">
        <v>42</v>
      </c>
      <c r="C294" s="95">
        <v>4.0472255247854701E-5</v>
      </c>
      <c r="D294" s="16">
        <v>0</v>
      </c>
      <c r="E294" s="95">
        <v>1.25945463327246E-5</v>
      </c>
      <c r="F294" s="95">
        <v>1.25945463327246E-5</v>
      </c>
      <c r="G294" s="16">
        <v>0</v>
      </c>
      <c r="H294" s="16">
        <v>0</v>
      </c>
      <c r="I294" s="95">
        <v>3.7783638998173901E-5</v>
      </c>
      <c r="J294" s="16" t="s">
        <v>400</v>
      </c>
      <c r="K294" s="16" t="s">
        <v>1877</v>
      </c>
    </row>
    <row r="295" spans="1:11">
      <c r="A295" s="16">
        <v>5</v>
      </c>
      <c r="B295" s="16" t="s">
        <v>43</v>
      </c>
      <c r="C295" s="16">
        <v>4.5678462664228E-3</v>
      </c>
      <c r="D295" s="16">
        <v>1.4345302324303001E-3</v>
      </c>
      <c r="E295" s="16">
        <v>1.4345302324303001E-3</v>
      </c>
      <c r="F295" s="16">
        <v>1.4345302324303001E-3</v>
      </c>
      <c r="G295" s="16">
        <v>3.1578540511261002E-3</v>
      </c>
      <c r="H295" s="16">
        <v>1.1117609301334E-3</v>
      </c>
      <c r="I295" s="16">
        <v>4.3035906972908999E-3</v>
      </c>
      <c r="J295" s="16" t="s">
        <v>400</v>
      </c>
      <c r="K295" s="16" t="s">
        <v>1877</v>
      </c>
    </row>
    <row r="296" spans="1:11">
      <c r="A296" s="16">
        <v>0</v>
      </c>
      <c r="B296" s="16" t="s">
        <v>38</v>
      </c>
      <c r="C296" s="16">
        <v>1.3018081401348E-3</v>
      </c>
      <c r="D296" s="16">
        <v>3.3031749575120002E-4</v>
      </c>
      <c r="E296" s="16">
        <v>3.1903543133530001E-4</v>
      </c>
      <c r="F296" s="16">
        <v>3.8594187567879998E-4</v>
      </c>
      <c r="G296" s="16">
        <v>6.3946128345579998E-4</v>
      </c>
      <c r="H296" s="16">
        <v>2.8289784339339998E-4</v>
      </c>
      <c r="I296" s="16">
        <v>5.8506340922450002E-4</v>
      </c>
      <c r="J296" s="16" t="s">
        <v>401</v>
      </c>
      <c r="K296" s="16" t="s">
        <v>1877</v>
      </c>
    </row>
    <row r="297" spans="1:11">
      <c r="A297" s="16">
        <v>1</v>
      </c>
      <c r="B297" s="16" t="s">
        <v>39</v>
      </c>
      <c r="C297" s="16">
        <v>3.4003581782857E-3</v>
      </c>
      <c r="D297" s="16">
        <v>2.8226770072497E-3</v>
      </c>
      <c r="E297" s="16">
        <v>9.1563612345909999E-4</v>
      </c>
      <c r="F297" s="16">
        <v>1.0581562199093999E-3</v>
      </c>
      <c r="G297" s="16">
        <v>2.3463672970162998E-3</v>
      </c>
      <c r="H297" s="16">
        <v>3.0762664275575001E-3</v>
      </c>
      <c r="I297" s="16">
        <v>3.1744686597282002E-3</v>
      </c>
      <c r="J297" s="16" t="s">
        <v>401</v>
      </c>
      <c r="K297" s="16" t="s">
        <v>1877</v>
      </c>
    </row>
    <row r="298" spans="1:11">
      <c r="A298" s="16">
        <v>2</v>
      </c>
      <c r="B298" s="16" t="s">
        <v>40</v>
      </c>
      <c r="C298" s="16">
        <v>1.6475083571845001E-3</v>
      </c>
      <c r="D298" s="16">
        <v>5.1268752410850004E-4</v>
      </c>
      <c r="E298" s="16">
        <v>5.1268752410850004E-4</v>
      </c>
      <c r="F298" s="16">
        <v>5.1268752410850004E-4</v>
      </c>
      <c r="G298" s="16">
        <v>0</v>
      </c>
      <c r="H298" s="16">
        <v>0</v>
      </c>
      <c r="I298" s="16">
        <v>1.5380625723256001E-3</v>
      </c>
      <c r="J298" s="16" t="s">
        <v>401</v>
      </c>
      <c r="K298" s="16" t="s">
        <v>1877</v>
      </c>
    </row>
    <row r="299" spans="1:11">
      <c r="A299" s="16">
        <v>3</v>
      </c>
      <c r="B299" s="16" t="s">
        <v>41</v>
      </c>
      <c r="C299" s="16">
        <v>7.5686214263260003E-4</v>
      </c>
      <c r="D299" s="95">
        <v>7.1745362435244995E-5</v>
      </c>
      <c r="E299" s="95">
        <v>7.1745362435244995E-5</v>
      </c>
      <c r="F299" s="95">
        <v>7.1745362435244995E-5</v>
      </c>
      <c r="G299" s="16">
        <v>0</v>
      </c>
      <c r="H299" s="16">
        <v>0</v>
      </c>
      <c r="I299" s="16">
        <v>2.1523608730569999E-4</v>
      </c>
      <c r="J299" s="16" t="s">
        <v>401</v>
      </c>
      <c r="K299" s="16" t="s">
        <v>1877</v>
      </c>
    </row>
    <row r="300" spans="1:11">
      <c r="A300" s="16">
        <v>4</v>
      </c>
      <c r="B300" s="16" t="s">
        <v>42</v>
      </c>
      <c r="C300" s="95">
        <v>4.0472255247854701E-5</v>
      </c>
      <c r="D300" s="16">
        <v>0</v>
      </c>
      <c r="E300" s="95">
        <v>1.25945463327246E-5</v>
      </c>
      <c r="F300" s="95">
        <v>1.25945463327246E-5</v>
      </c>
      <c r="G300" s="16">
        <v>0</v>
      </c>
      <c r="H300" s="16">
        <v>0</v>
      </c>
      <c r="I300" s="95">
        <v>3.7783638998173901E-5</v>
      </c>
      <c r="J300" s="16" t="s">
        <v>401</v>
      </c>
      <c r="K300" s="16" t="s">
        <v>1877</v>
      </c>
    </row>
    <row r="301" spans="1:11">
      <c r="A301" s="16">
        <v>5</v>
      </c>
      <c r="B301" s="16" t="s">
        <v>43</v>
      </c>
      <c r="C301" s="16">
        <v>4.5678462664228E-3</v>
      </c>
      <c r="D301" s="16">
        <v>1.4345302324303001E-3</v>
      </c>
      <c r="E301" s="16">
        <v>1.4345302324303001E-3</v>
      </c>
      <c r="F301" s="16">
        <v>1.4345302324303001E-3</v>
      </c>
      <c r="G301" s="16">
        <v>3.1578540511261002E-3</v>
      </c>
      <c r="H301" s="16">
        <v>1.1117609301334E-3</v>
      </c>
      <c r="I301" s="16">
        <v>4.3035906972908999E-3</v>
      </c>
      <c r="J301" s="16" t="s">
        <v>401</v>
      </c>
      <c r="K301" s="16" t="s">
        <v>1877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K301"/>
  <sheetViews>
    <sheetView topLeftCell="A288" workbookViewId="0">
      <selection activeCell="A303" sqref="A303"/>
    </sheetView>
  </sheetViews>
  <sheetFormatPr defaultRowHeight="14.75"/>
  <sheetData>
    <row r="1" spans="1:11">
      <c r="A1" s="16"/>
      <c r="B1" s="16" t="s">
        <v>47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1.015068871454E-4</v>
      </c>
      <c r="D2" s="95">
        <v>6.6748780423538394E-5</v>
      </c>
      <c r="E2" s="95">
        <v>9.6215656200719996E-5</v>
      </c>
      <c r="F2" s="95">
        <v>6.8445241372973406E-5</v>
      </c>
      <c r="G2" s="16">
        <v>2.1334965945730001E-4</v>
      </c>
      <c r="H2" s="95">
        <v>4.0500619498536002E-5</v>
      </c>
      <c r="I2" s="16">
        <v>2.0802620001784998E-3</v>
      </c>
      <c r="J2" s="16" t="s">
        <v>132</v>
      </c>
      <c r="K2" s="16" t="s">
        <v>1878</v>
      </c>
    </row>
    <row r="3" spans="1:11">
      <c r="A3" s="16">
        <v>1</v>
      </c>
      <c r="B3" s="16" t="s">
        <v>39</v>
      </c>
      <c r="C3" s="16">
        <v>2.2282897276704001E-3</v>
      </c>
      <c r="D3" s="16">
        <v>4.9095868400550002E-4</v>
      </c>
      <c r="E3" s="16">
        <v>6.5279355603770003E-3</v>
      </c>
      <c r="F3" s="16">
        <v>6.9342066672610004E-4</v>
      </c>
      <c r="G3" s="16">
        <v>1.3400471387543E-3</v>
      </c>
      <c r="H3" s="16">
        <v>2.7723416471616999E-3</v>
      </c>
      <c r="I3" s="16">
        <v>2.5188574658521002E-3</v>
      </c>
      <c r="J3" s="16" t="s">
        <v>132</v>
      </c>
      <c r="K3" s="16" t="s">
        <v>1878</v>
      </c>
    </row>
    <row r="4" spans="1:11">
      <c r="A4" s="16">
        <v>2</v>
      </c>
      <c r="B4" s="16" t="s">
        <v>40</v>
      </c>
      <c r="C4" s="16">
        <v>1.397619925979E-4</v>
      </c>
      <c r="D4" s="95">
        <v>4.34924834444919E-5</v>
      </c>
      <c r="E4" s="95">
        <v>4.34924834444919E-5</v>
      </c>
      <c r="F4" s="95">
        <v>4.34924834444919E-5</v>
      </c>
      <c r="G4" s="16">
        <v>0</v>
      </c>
      <c r="H4" s="16">
        <v>0</v>
      </c>
      <c r="I4" s="16">
        <v>1.3047745033340001E-4</v>
      </c>
      <c r="J4" s="16" t="s">
        <v>132</v>
      </c>
      <c r="K4" s="16" t="s">
        <v>1878</v>
      </c>
    </row>
    <row r="5" spans="1:11">
      <c r="A5" s="16">
        <v>3</v>
      </c>
      <c r="B5" s="16" t="s">
        <v>41</v>
      </c>
      <c r="C5" s="16">
        <v>1.12130052195306E-2</v>
      </c>
      <c r="D5" s="16">
        <v>3.4893709999999998E-3</v>
      </c>
      <c r="E5" s="16">
        <v>3.4893709999999998E-3</v>
      </c>
      <c r="F5" s="16">
        <v>3.4893709999999998E-3</v>
      </c>
      <c r="G5" s="16">
        <v>0</v>
      </c>
      <c r="H5" s="16">
        <v>0</v>
      </c>
      <c r="I5" s="16">
        <v>1.04681129999999E-2</v>
      </c>
      <c r="J5" s="16" t="s">
        <v>132</v>
      </c>
      <c r="K5" s="16" t="s">
        <v>1878</v>
      </c>
    </row>
    <row r="6" spans="1:11">
      <c r="A6" s="16">
        <v>4</v>
      </c>
      <c r="B6" s="16" t="s">
        <v>42</v>
      </c>
      <c r="C6" s="16">
        <v>1.5559515669947E-2</v>
      </c>
      <c r="D6" s="16">
        <v>4.8419600000000002E-3</v>
      </c>
      <c r="E6" s="16">
        <v>4.8419600000000002E-3</v>
      </c>
      <c r="F6" s="16">
        <v>4.8419600000000002E-3</v>
      </c>
      <c r="G6" s="16">
        <v>0</v>
      </c>
      <c r="H6" s="16">
        <v>0</v>
      </c>
      <c r="I6" s="16">
        <v>1.4525879999999901E-2</v>
      </c>
      <c r="J6" s="16" t="s">
        <v>132</v>
      </c>
      <c r="K6" s="16" t="s">
        <v>1878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1878</v>
      </c>
    </row>
    <row r="8" spans="1:11">
      <c r="A8" s="16">
        <v>0</v>
      </c>
      <c r="B8" s="16" t="s">
        <v>38</v>
      </c>
      <c r="C8" s="16">
        <v>1.015068871454E-4</v>
      </c>
      <c r="D8" s="95">
        <v>6.6748780423538394E-5</v>
      </c>
      <c r="E8" s="95">
        <v>9.6215656200719996E-5</v>
      </c>
      <c r="F8" s="95">
        <v>6.8445241372973406E-5</v>
      </c>
      <c r="G8" s="16">
        <v>2.1334965945730001E-4</v>
      </c>
      <c r="H8" s="95">
        <v>4.0500619498536002E-5</v>
      </c>
      <c r="I8" s="16">
        <v>2.0802620001784998E-3</v>
      </c>
      <c r="J8" s="16" t="s">
        <v>348</v>
      </c>
      <c r="K8" s="16" t="s">
        <v>1878</v>
      </c>
    </row>
    <row r="9" spans="1:11">
      <c r="A9" s="16">
        <v>1</v>
      </c>
      <c r="B9" s="16" t="s">
        <v>39</v>
      </c>
      <c r="C9" s="16">
        <v>2.2282897276704001E-3</v>
      </c>
      <c r="D9" s="16">
        <v>4.9095868400550002E-4</v>
      </c>
      <c r="E9" s="16">
        <v>6.5279355603770003E-3</v>
      </c>
      <c r="F9" s="16">
        <v>6.9342066672610004E-4</v>
      </c>
      <c r="G9" s="16">
        <v>1.3400471387543E-3</v>
      </c>
      <c r="H9" s="16">
        <v>2.7723416471616999E-3</v>
      </c>
      <c r="I9" s="16">
        <v>2.5188574658521002E-3</v>
      </c>
      <c r="J9" s="16" t="s">
        <v>348</v>
      </c>
      <c r="K9" s="16" t="s">
        <v>1878</v>
      </c>
    </row>
    <row r="10" spans="1:11">
      <c r="A10" s="16">
        <v>2</v>
      </c>
      <c r="B10" s="16" t="s">
        <v>40</v>
      </c>
      <c r="C10" s="16">
        <v>1.397619925979E-4</v>
      </c>
      <c r="D10" s="95">
        <v>4.34924834444919E-5</v>
      </c>
      <c r="E10" s="95">
        <v>4.34924834444919E-5</v>
      </c>
      <c r="F10" s="95">
        <v>4.34924834444919E-5</v>
      </c>
      <c r="G10" s="16">
        <v>0</v>
      </c>
      <c r="H10" s="16">
        <v>0</v>
      </c>
      <c r="I10" s="16">
        <v>1.3047745033340001E-4</v>
      </c>
      <c r="J10" s="16" t="s">
        <v>348</v>
      </c>
      <c r="K10" s="16" t="s">
        <v>1878</v>
      </c>
    </row>
    <row r="11" spans="1:11">
      <c r="A11" s="16">
        <v>3</v>
      </c>
      <c r="B11" s="16" t="s">
        <v>41</v>
      </c>
      <c r="C11" s="16">
        <v>1.12130052195306E-2</v>
      </c>
      <c r="D11" s="16">
        <v>3.4893709999999998E-3</v>
      </c>
      <c r="E11" s="16">
        <v>3.4893709999999998E-3</v>
      </c>
      <c r="F11" s="16">
        <v>3.4893709999999998E-3</v>
      </c>
      <c r="G11" s="16">
        <v>0</v>
      </c>
      <c r="H11" s="16">
        <v>0</v>
      </c>
      <c r="I11" s="16">
        <v>1.04681129999999E-2</v>
      </c>
      <c r="J11" s="16" t="s">
        <v>348</v>
      </c>
      <c r="K11" s="16" t="s">
        <v>1878</v>
      </c>
    </row>
    <row r="12" spans="1:11">
      <c r="A12" s="16">
        <v>4</v>
      </c>
      <c r="B12" s="16" t="s">
        <v>42</v>
      </c>
      <c r="C12" s="16">
        <v>1.5559515669947E-2</v>
      </c>
      <c r="D12" s="16">
        <v>4.8419600000000002E-3</v>
      </c>
      <c r="E12" s="16">
        <v>4.8419600000000002E-3</v>
      </c>
      <c r="F12" s="16">
        <v>4.8419600000000002E-3</v>
      </c>
      <c r="G12" s="16">
        <v>0</v>
      </c>
      <c r="H12" s="16">
        <v>0</v>
      </c>
      <c r="I12" s="16">
        <v>1.4525879999999901E-2</v>
      </c>
      <c r="J12" s="16" t="s">
        <v>348</v>
      </c>
      <c r="K12" s="16" t="s">
        <v>1878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1878</v>
      </c>
    </row>
    <row r="14" spans="1:11">
      <c r="A14" s="16">
        <v>0</v>
      </c>
      <c r="B14" s="16" t="s">
        <v>38</v>
      </c>
      <c r="C14" s="16">
        <v>1.015068871454E-4</v>
      </c>
      <c r="D14" s="95">
        <v>6.6748780423538394E-5</v>
      </c>
      <c r="E14" s="95">
        <v>9.6215656200719996E-5</v>
      </c>
      <c r="F14" s="95">
        <v>6.8445241372973406E-5</v>
      </c>
      <c r="G14" s="16">
        <v>2.1334965945730001E-4</v>
      </c>
      <c r="H14" s="95">
        <v>4.0500619498536002E-5</v>
      </c>
      <c r="I14" s="16">
        <v>2.0802620001784998E-3</v>
      </c>
      <c r="J14" s="16" t="s">
        <v>349</v>
      </c>
      <c r="K14" s="16" t="s">
        <v>1878</v>
      </c>
    </row>
    <row r="15" spans="1:11">
      <c r="A15" s="16">
        <v>1</v>
      </c>
      <c r="B15" s="16" t="s">
        <v>39</v>
      </c>
      <c r="C15" s="16">
        <v>2.2282897276704001E-3</v>
      </c>
      <c r="D15" s="16">
        <v>4.9095868400550002E-4</v>
      </c>
      <c r="E15" s="16">
        <v>6.5279355603770003E-3</v>
      </c>
      <c r="F15" s="16">
        <v>6.9342066672610004E-4</v>
      </c>
      <c r="G15" s="16">
        <v>1.3400471387543E-3</v>
      </c>
      <c r="H15" s="16">
        <v>2.7723416471616999E-3</v>
      </c>
      <c r="I15" s="16">
        <v>2.5188574658521002E-3</v>
      </c>
      <c r="J15" s="16" t="s">
        <v>349</v>
      </c>
      <c r="K15" s="16" t="s">
        <v>1878</v>
      </c>
    </row>
    <row r="16" spans="1:11">
      <c r="A16" s="16">
        <v>2</v>
      </c>
      <c r="B16" s="16" t="s">
        <v>40</v>
      </c>
      <c r="C16" s="16">
        <v>1.397619925979E-4</v>
      </c>
      <c r="D16" s="95">
        <v>4.34924834444919E-5</v>
      </c>
      <c r="E16" s="95">
        <v>4.34924834444919E-5</v>
      </c>
      <c r="F16" s="95">
        <v>4.34924834444919E-5</v>
      </c>
      <c r="G16" s="16">
        <v>0</v>
      </c>
      <c r="H16" s="16">
        <v>0</v>
      </c>
      <c r="I16" s="16">
        <v>1.3047745033340001E-4</v>
      </c>
      <c r="J16" s="16" t="s">
        <v>349</v>
      </c>
      <c r="K16" s="16" t="s">
        <v>1878</v>
      </c>
    </row>
    <row r="17" spans="1:11">
      <c r="A17" s="16">
        <v>3</v>
      </c>
      <c r="B17" s="16" t="s">
        <v>41</v>
      </c>
      <c r="C17" s="16">
        <v>1.12130052195306E-2</v>
      </c>
      <c r="D17" s="16">
        <v>3.4893709999999998E-3</v>
      </c>
      <c r="E17" s="16">
        <v>3.4893709999999998E-3</v>
      </c>
      <c r="F17" s="16">
        <v>3.4893709999999998E-3</v>
      </c>
      <c r="G17" s="16">
        <v>0</v>
      </c>
      <c r="H17" s="16">
        <v>0</v>
      </c>
      <c r="I17" s="16">
        <v>1.04681129999999E-2</v>
      </c>
      <c r="J17" s="16" t="s">
        <v>349</v>
      </c>
      <c r="K17" s="16" t="s">
        <v>1878</v>
      </c>
    </row>
    <row r="18" spans="1:11">
      <c r="A18" s="16">
        <v>4</v>
      </c>
      <c r="B18" s="16" t="s">
        <v>42</v>
      </c>
      <c r="C18" s="16">
        <v>1.5559515669947E-2</v>
      </c>
      <c r="D18" s="16">
        <v>4.8419600000000002E-3</v>
      </c>
      <c r="E18" s="16">
        <v>4.8419600000000002E-3</v>
      </c>
      <c r="F18" s="16">
        <v>4.8419600000000002E-3</v>
      </c>
      <c r="G18" s="16">
        <v>0</v>
      </c>
      <c r="H18" s="16">
        <v>0</v>
      </c>
      <c r="I18" s="16">
        <v>1.4525879999999901E-2</v>
      </c>
      <c r="J18" s="16" t="s">
        <v>349</v>
      </c>
      <c r="K18" s="16" t="s">
        <v>1878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1878</v>
      </c>
    </row>
    <row r="20" spans="1:11">
      <c r="A20" s="16">
        <v>0</v>
      </c>
      <c r="B20" s="16" t="s">
        <v>38</v>
      </c>
      <c r="C20" s="16">
        <v>1.015068871454E-4</v>
      </c>
      <c r="D20" s="95">
        <v>6.6748780423538394E-5</v>
      </c>
      <c r="E20" s="95">
        <v>9.6215656200719996E-5</v>
      </c>
      <c r="F20" s="95">
        <v>6.8445241372973406E-5</v>
      </c>
      <c r="G20" s="16">
        <v>2.1334965945730001E-4</v>
      </c>
      <c r="H20" s="95">
        <v>4.0500619498536002E-5</v>
      </c>
      <c r="I20" s="16">
        <v>2.0802620001784998E-3</v>
      </c>
      <c r="J20" s="16" t="s">
        <v>350</v>
      </c>
      <c r="K20" s="16" t="s">
        <v>1878</v>
      </c>
    </row>
    <row r="21" spans="1:11">
      <c r="A21" s="16">
        <v>1</v>
      </c>
      <c r="B21" s="16" t="s">
        <v>39</v>
      </c>
      <c r="C21" s="16">
        <v>2.2282897276704001E-3</v>
      </c>
      <c r="D21" s="16">
        <v>4.9095868400550002E-4</v>
      </c>
      <c r="E21" s="16">
        <v>6.5279355603770003E-3</v>
      </c>
      <c r="F21" s="16">
        <v>6.9342066672610004E-4</v>
      </c>
      <c r="G21" s="16">
        <v>1.3400471387543E-3</v>
      </c>
      <c r="H21" s="16">
        <v>2.7723416471616999E-3</v>
      </c>
      <c r="I21" s="16">
        <v>2.5188574658521002E-3</v>
      </c>
      <c r="J21" s="16" t="s">
        <v>350</v>
      </c>
      <c r="K21" s="16" t="s">
        <v>1878</v>
      </c>
    </row>
    <row r="22" spans="1:11">
      <c r="A22" s="16">
        <v>2</v>
      </c>
      <c r="B22" s="16" t="s">
        <v>40</v>
      </c>
      <c r="C22" s="16">
        <v>1.397619925979E-4</v>
      </c>
      <c r="D22" s="95">
        <v>4.34924834444919E-5</v>
      </c>
      <c r="E22" s="95">
        <v>4.34924834444919E-5</v>
      </c>
      <c r="F22" s="95">
        <v>4.34924834444919E-5</v>
      </c>
      <c r="G22" s="16">
        <v>0</v>
      </c>
      <c r="H22" s="16">
        <v>0</v>
      </c>
      <c r="I22" s="16">
        <v>1.3047745033340001E-4</v>
      </c>
      <c r="J22" s="16" t="s">
        <v>350</v>
      </c>
      <c r="K22" s="16" t="s">
        <v>1878</v>
      </c>
    </row>
    <row r="23" spans="1:11">
      <c r="A23" s="16">
        <v>3</v>
      </c>
      <c r="B23" s="16" t="s">
        <v>41</v>
      </c>
      <c r="C23" s="16">
        <v>1.12130052195306E-2</v>
      </c>
      <c r="D23" s="16">
        <v>3.4893709999999998E-3</v>
      </c>
      <c r="E23" s="16">
        <v>3.4893709999999998E-3</v>
      </c>
      <c r="F23" s="16">
        <v>3.4893709999999998E-3</v>
      </c>
      <c r="G23" s="16">
        <v>0</v>
      </c>
      <c r="H23" s="16">
        <v>0</v>
      </c>
      <c r="I23" s="16">
        <v>1.04681129999999E-2</v>
      </c>
      <c r="J23" s="16" t="s">
        <v>350</v>
      </c>
      <c r="K23" s="16" t="s">
        <v>1878</v>
      </c>
    </row>
    <row r="24" spans="1:11">
      <c r="A24" s="16">
        <v>4</v>
      </c>
      <c r="B24" s="16" t="s">
        <v>42</v>
      </c>
      <c r="C24" s="16">
        <v>1.5559515669947E-2</v>
      </c>
      <c r="D24" s="16">
        <v>4.8419600000000002E-3</v>
      </c>
      <c r="E24" s="16">
        <v>4.8419600000000002E-3</v>
      </c>
      <c r="F24" s="16">
        <v>4.8419600000000002E-3</v>
      </c>
      <c r="G24" s="16">
        <v>0</v>
      </c>
      <c r="H24" s="16">
        <v>0</v>
      </c>
      <c r="I24" s="16">
        <v>1.4525879999999901E-2</v>
      </c>
      <c r="J24" s="16" t="s">
        <v>350</v>
      </c>
      <c r="K24" s="16" t="s">
        <v>1878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1878</v>
      </c>
    </row>
    <row r="26" spans="1:11">
      <c r="A26" s="16">
        <v>0</v>
      </c>
      <c r="B26" s="16" t="s">
        <v>38</v>
      </c>
      <c r="C26" s="16">
        <v>1.015068871454E-4</v>
      </c>
      <c r="D26" s="95">
        <v>6.6748780423538394E-5</v>
      </c>
      <c r="E26" s="95">
        <v>9.6215656200719996E-5</v>
      </c>
      <c r="F26" s="95">
        <v>6.8445241372973406E-5</v>
      </c>
      <c r="G26" s="16">
        <v>2.1334965945730001E-4</v>
      </c>
      <c r="H26" s="95">
        <v>4.0500619498536002E-5</v>
      </c>
      <c r="I26" s="16">
        <v>2.0802620001784998E-3</v>
      </c>
      <c r="J26" s="16" t="s">
        <v>351</v>
      </c>
      <c r="K26" s="16" t="s">
        <v>1878</v>
      </c>
    </row>
    <row r="27" spans="1:11">
      <c r="A27" s="16">
        <v>1</v>
      </c>
      <c r="B27" s="16" t="s">
        <v>39</v>
      </c>
      <c r="C27" s="16">
        <v>2.2282897276704001E-3</v>
      </c>
      <c r="D27" s="16">
        <v>4.9095868400550002E-4</v>
      </c>
      <c r="E27" s="16">
        <v>6.5279355603770003E-3</v>
      </c>
      <c r="F27" s="16">
        <v>6.9342066672610004E-4</v>
      </c>
      <c r="G27" s="16">
        <v>1.3400471387543E-3</v>
      </c>
      <c r="H27" s="16">
        <v>2.7723416471616999E-3</v>
      </c>
      <c r="I27" s="16">
        <v>2.5188574658521002E-3</v>
      </c>
      <c r="J27" s="16" t="s">
        <v>351</v>
      </c>
      <c r="K27" s="16" t="s">
        <v>1878</v>
      </c>
    </row>
    <row r="28" spans="1:11">
      <c r="A28" s="16">
        <v>2</v>
      </c>
      <c r="B28" s="16" t="s">
        <v>40</v>
      </c>
      <c r="C28" s="16">
        <v>1.397619925979E-4</v>
      </c>
      <c r="D28" s="95">
        <v>4.34924834444919E-5</v>
      </c>
      <c r="E28" s="95">
        <v>4.34924834444919E-5</v>
      </c>
      <c r="F28" s="95">
        <v>4.34924834444919E-5</v>
      </c>
      <c r="G28" s="16">
        <v>0</v>
      </c>
      <c r="H28" s="16">
        <v>0</v>
      </c>
      <c r="I28" s="16">
        <v>1.3047745033340001E-4</v>
      </c>
      <c r="J28" s="16" t="s">
        <v>351</v>
      </c>
      <c r="K28" s="16" t="s">
        <v>1878</v>
      </c>
    </row>
    <row r="29" spans="1:11">
      <c r="A29" s="16">
        <v>3</v>
      </c>
      <c r="B29" s="16" t="s">
        <v>41</v>
      </c>
      <c r="C29" s="16">
        <v>1.12130052195306E-2</v>
      </c>
      <c r="D29" s="16">
        <v>3.4893709999999998E-3</v>
      </c>
      <c r="E29" s="16">
        <v>3.4893709999999998E-3</v>
      </c>
      <c r="F29" s="16">
        <v>3.4893709999999998E-3</v>
      </c>
      <c r="G29" s="16">
        <v>0</v>
      </c>
      <c r="H29" s="16">
        <v>0</v>
      </c>
      <c r="I29" s="16">
        <v>1.04681129999999E-2</v>
      </c>
      <c r="J29" s="16" t="s">
        <v>351</v>
      </c>
      <c r="K29" s="16" t="s">
        <v>1878</v>
      </c>
    </row>
    <row r="30" spans="1:11">
      <c r="A30" s="16">
        <v>4</v>
      </c>
      <c r="B30" s="16" t="s">
        <v>42</v>
      </c>
      <c r="C30" s="16">
        <v>1.5559515669947E-2</v>
      </c>
      <c r="D30" s="16">
        <v>4.8419600000000002E-3</v>
      </c>
      <c r="E30" s="16">
        <v>4.8419600000000002E-3</v>
      </c>
      <c r="F30" s="16">
        <v>4.8419600000000002E-3</v>
      </c>
      <c r="G30" s="16">
        <v>0</v>
      </c>
      <c r="H30" s="16">
        <v>0</v>
      </c>
      <c r="I30" s="16">
        <v>1.4525879999999901E-2</v>
      </c>
      <c r="J30" s="16" t="s">
        <v>351</v>
      </c>
      <c r="K30" s="16" t="s">
        <v>1878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1878</v>
      </c>
    </row>
    <row r="32" spans="1:11">
      <c r="A32" s="16">
        <v>0</v>
      </c>
      <c r="B32" s="16" t="s">
        <v>38</v>
      </c>
      <c r="C32" s="16">
        <v>1.015068871454E-4</v>
      </c>
      <c r="D32" s="95">
        <v>6.6748780423538394E-5</v>
      </c>
      <c r="E32" s="95">
        <v>9.6215656200719996E-5</v>
      </c>
      <c r="F32" s="95">
        <v>6.8445241372973406E-5</v>
      </c>
      <c r="G32" s="16">
        <v>2.1334965945730001E-4</v>
      </c>
      <c r="H32" s="95">
        <v>4.0500619498536002E-5</v>
      </c>
      <c r="I32" s="16">
        <v>2.0802620001784998E-3</v>
      </c>
      <c r="J32" s="16" t="s">
        <v>352</v>
      </c>
      <c r="K32" s="16" t="s">
        <v>1878</v>
      </c>
    </row>
    <row r="33" spans="1:11">
      <c r="A33" s="16">
        <v>1</v>
      </c>
      <c r="B33" s="16" t="s">
        <v>39</v>
      </c>
      <c r="C33" s="16">
        <v>2.2282897276704001E-3</v>
      </c>
      <c r="D33" s="16">
        <v>4.9095868400550002E-4</v>
      </c>
      <c r="E33" s="16">
        <v>6.5279355603770003E-3</v>
      </c>
      <c r="F33" s="16">
        <v>6.9342066672610004E-4</v>
      </c>
      <c r="G33" s="16">
        <v>1.3400471387543E-3</v>
      </c>
      <c r="H33" s="16">
        <v>2.7723416471616999E-3</v>
      </c>
      <c r="I33" s="16">
        <v>2.5188574658521002E-3</v>
      </c>
      <c r="J33" s="16" t="s">
        <v>352</v>
      </c>
      <c r="K33" s="16" t="s">
        <v>1878</v>
      </c>
    </row>
    <row r="34" spans="1:11">
      <c r="A34" s="16">
        <v>2</v>
      </c>
      <c r="B34" s="16" t="s">
        <v>40</v>
      </c>
      <c r="C34" s="16">
        <v>1.397619925979E-4</v>
      </c>
      <c r="D34" s="95">
        <v>4.34924834444919E-5</v>
      </c>
      <c r="E34" s="95">
        <v>4.34924834444919E-5</v>
      </c>
      <c r="F34" s="95">
        <v>4.34924834444919E-5</v>
      </c>
      <c r="G34" s="16">
        <v>0</v>
      </c>
      <c r="H34" s="16">
        <v>0</v>
      </c>
      <c r="I34" s="16">
        <v>1.3047745033340001E-4</v>
      </c>
      <c r="J34" s="16" t="s">
        <v>352</v>
      </c>
      <c r="K34" s="16" t="s">
        <v>1878</v>
      </c>
    </row>
    <row r="35" spans="1:11">
      <c r="A35" s="16">
        <v>3</v>
      </c>
      <c r="B35" s="16" t="s">
        <v>41</v>
      </c>
      <c r="C35" s="16">
        <v>1.12130052195306E-2</v>
      </c>
      <c r="D35" s="16">
        <v>3.4893709999999998E-3</v>
      </c>
      <c r="E35" s="16">
        <v>3.4893709999999998E-3</v>
      </c>
      <c r="F35" s="16">
        <v>3.4893709999999998E-3</v>
      </c>
      <c r="G35" s="16">
        <v>0</v>
      </c>
      <c r="H35" s="16">
        <v>0</v>
      </c>
      <c r="I35" s="16">
        <v>1.04681129999999E-2</v>
      </c>
      <c r="J35" s="16" t="s">
        <v>352</v>
      </c>
      <c r="K35" s="16" t="s">
        <v>1878</v>
      </c>
    </row>
    <row r="36" spans="1:11">
      <c r="A36" s="16">
        <v>4</v>
      </c>
      <c r="B36" s="16" t="s">
        <v>42</v>
      </c>
      <c r="C36" s="16">
        <v>1.5559515669947E-2</v>
      </c>
      <c r="D36" s="16">
        <v>4.8419600000000002E-3</v>
      </c>
      <c r="E36" s="16">
        <v>4.8419600000000002E-3</v>
      </c>
      <c r="F36" s="16">
        <v>4.8419600000000002E-3</v>
      </c>
      <c r="G36" s="16">
        <v>0</v>
      </c>
      <c r="H36" s="16">
        <v>0</v>
      </c>
      <c r="I36" s="16">
        <v>1.4525879999999901E-2</v>
      </c>
      <c r="J36" s="16" t="s">
        <v>352</v>
      </c>
      <c r="K36" s="16" t="s">
        <v>1878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1878</v>
      </c>
    </row>
    <row r="38" spans="1:11">
      <c r="A38" s="16">
        <v>0</v>
      </c>
      <c r="B38" s="16" t="s">
        <v>38</v>
      </c>
      <c r="C38" s="16">
        <v>1.015068871454E-4</v>
      </c>
      <c r="D38" s="95">
        <v>6.6748780423538394E-5</v>
      </c>
      <c r="E38" s="95">
        <v>9.6215656200719996E-5</v>
      </c>
      <c r="F38" s="95">
        <v>6.8445241372973406E-5</v>
      </c>
      <c r="G38" s="16">
        <v>2.1334965945730001E-4</v>
      </c>
      <c r="H38" s="95">
        <v>4.0500619498536002E-5</v>
      </c>
      <c r="I38" s="16">
        <v>2.0802620001784998E-3</v>
      </c>
      <c r="J38" s="16" t="s">
        <v>353</v>
      </c>
      <c r="K38" s="16" t="s">
        <v>1878</v>
      </c>
    </row>
    <row r="39" spans="1:11">
      <c r="A39" s="16">
        <v>1</v>
      </c>
      <c r="B39" s="16" t="s">
        <v>39</v>
      </c>
      <c r="C39" s="16">
        <v>2.2282897276704001E-3</v>
      </c>
      <c r="D39" s="16">
        <v>4.9095868400550002E-4</v>
      </c>
      <c r="E39" s="16">
        <v>6.5279355603770003E-3</v>
      </c>
      <c r="F39" s="16">
        <v>6.9342066672610004E-4</v>
      </c>
      <c r="G39" s="16">
        <v>1.3400471387543E-3</v>
      </c>
      <c r="H39" s="16">
        <v>2.7723416471616999E-3</v>
      </c>
      <c r="I39" s="16">
        <v>2.5188574658521002E-3</v>
      </c>
      <c r="J39" s="16" t="s">
        <v>353</v>
      </c>
      <c r="K39" s="16" t="s">
        <v>1878</v>
      </c>
    </row>
    <row r="40" spans="1:11">
      <c r="A40" s="16">
        <v>2</v>
      </c>
      <c r="B40" s="16" t="s">
        <v>40</v>
      </c>
      <c r="C40" s="16">
        <v>1.397619925979E-4</v>
      </c>
      <c r="D40" s="95">
        <v>4.34924834444919E-5</v>
      </c>
      <c r="E40" s="95">
        <v>4.34924834444919E-5</v>
      </c>
      <c r="F40" s="95">
        <v>4.34924834444919E-5</v>
      </c>
      <c r="G40" s="16">
        <v>0</v>
      </c>
      <c r="H40" s="16">
        <v>0</v>
      </c>
      <c r="I40" s="16">
        <v>1.3047745033340001E-4</v>
      </c>
      <c r="J40" s="16" t="s">
        <v>353</v>
      </c>
      <c r="K40" s="16" t="s">
        <v>1878</v>
      </c>
    </row>
    <row r="41" spans="1:11">
      <c r="A41" s="16">
        <v>3</v>
      </c>
      <c r="B41" s="16" t="s">
        <v>41</v>
      </c>
      <c r="C41" s="16">
        <v>1.12130052195306E-2</v>
      </c>
      <c r="D41" s="16">
        <v>3.4893709999999998E-3</v>
      </c>
      <c r="E41" s="16">
        <v>3.4893709999999998E-3</v>
      </c>
      <c r="F41" s="16">
        <v>3.4893709999999998E-3</v>
      </c>
      <c r="G41" s="16">
        <v>0</v>
      </c>
      <c r="H41" s="16">
        <v>0</v>
      </c>
      <c r="I41" s="16">
        <v>1.04681129999999E-2</v>
      </c>
      <c r="J41" s="16" t="s">
        <v>353</v>
      </c>
      <c r="K41" s="16" t="s">
        <v>1878</v>
      </c>
    </row>
    <row r="42" spans="1:11">
      <c r="A42" s="16">
        <v>4</v>
      </c>
      <c r="B42" s="16" t="s">
        <v>42</v>
      </c>
      <c r="C42" s="16">
        <v>1.5559515669947E-2</v>
      </c>
      <c r="D42" s="16">
        <v>4.8419600000000002E-3</v>
      </c>
      <c r="E42" s="16">
        <v>4.8419600000000002E-3</v>
      </c>
      <c r="F42" s="16">
        <v>4.8419600000000002E-3</v>
      </c>
      <c r="G42" s="16">
        <v>0</v>
      </c>
      <c r="H42" s="16">
        <v>0</v>
      </c>
      <c r="I42" s="16">
        <v>1.4525879999999901E-2</v>
      </c>
      <c r="J42" s="16" t="s">
        <v>353</v>
      </c>
      <c r="K42" s="16" t="s">
        <v>1878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1878</v>
      </c>
    </row>
    <row r="44" spans="1:11">
      <c r="A44" s="16">
        <v>0</v>
      </c>
      <c r="B44" s="16" t="s">
        <v>38</v>
      </c>
      <c r="C44" s="16">
        <v>1.015068871454E-4</v>
      </c>
      <c r="D44" s="95">
        <v>6.6748780423538394E-5</v>
      </c>
      <c r="E44" s="95">
        <v>9.6215656200719996E-5</v>
      </c>
      <c r="F44" s="95">
        <v>6.8445241372973406E-5</v>
      </c>
      <c r="G44" s="16">
        <v>2.1334965945730001E-4</v>
      </c>
      <c r="H44" s="95">
        <v>4.0500619498536002E-5</v>
      </c>
      <c r="I44" s="16">
        <v>2.0802620001784998E-3</v>
      </c>
      <c r="J44" s="16" t="s">
        <v>355</v>
      </c>
      <c r="K44" s="16" t="s">
        <v>1878</v>
      </c>
    </row>
    <row r="45" spans="1:11">
      <c r="A45" s="16">
        <v>1</v>
      </c>
      <c r="B45" s="16" t="s">
        <v>39</v>
      </c>
      <c r="C45" s="16">
        <v>2.2282897276704001E-3</v>
      </c>
      <c r="D45" s="16">
        <v>4.9095868400550002E-4</v>
      </c>
      <c r="E45" s="16">
        <v>6.5279355603770003E-3</v>
      </c>
      <c r="F45" s="16">
        <v>6.9342066672610004E-4</v>
      </c>
      <c r="G45" s="16">
        <v>1.3400471387543E-3</v>
      </c>
      <c r="H45" s="16">
        <v>2.7723416471616999E-3</v>
      </c>
      <c r="I45" s="16">
        <v>2.5188574658521002E-3</v>
      </c>
      <c r="J45" s="16" t="s">
        <v>355</v>
      </c>
      <c r="K45" s="16" t="s">
        <v>1878</v>
      </c>
    </row>
    <row r="46" spans="1:11">
      <c r="A46" s="16">
        <v>2</v>
      </c>
      <c r="B46" s="16" t="s">
        <v>40</v>
      </c>
      <c r="C46" s="16">
        <v>1.397619925979E-4</v>
      </c>
      <c r="D46" s="95">
        <v>4.34924834444919E-5</v>
      </c>
      <c r="E46" s="95">
        <v>4.34924834444919E-5</v>
      </c>
      <c r="F46" s="95">
        <v>4.34924834444919E-5</v>
      </c>
      <c r="G46" s="16">
        <v>0</v>
      </c>
      <c r="H46" s="16">
        <v>0</v>
      </c>
      <c r="I46" s="16">
        <v>1.3047745033340001E-4</v>
      </c>
      <c r="J46" s="16" t="s">
        <v>355</v>
      </c>
      <c r="K46" s="16" t="s">
        <v>1878</v>
      </c>
    </row>
    <row r="47" spans="1:11">
      <c r="A47" s="16">
        <v>3</v>
      </c>
      <c r="B47" s="16" t="s">
        <v>41</v>
      </c>
      <c r="C47" s="16">
        <v>1.12130052195306E-2</v>
      </c>
      <c r="D47" s="16">
        <v>3.4893709999999998E-3</v>
      </c>
      <c r="E47" s="16">
        <v>3.4893709999999998E-3</v>
      </c>
      <c r="F47" s="16">
        <v>3.4893709999999998E-3</v>
      </c>
      <c r="G47" s="16">
        <v>0</v>
      </c>
      <c r="H47" s="16">
        <v>0</v>
      </c>
      <c r="I47" s="16">
        <v>1.04681129999999E-2</v>
      </c>
      <c r="J47" s="16" t="s">
        <v>355</v>
      </c>
      <c r="K47" s="16" t="s">
        <v>1878</v>
      </c>
    </row>
    <row r="48" spans="1:11">
      <c r="A48" s="16">
        <v>4</v>
      </c>
      <c r="B48" s="16" t="s">
        <v>42</v>
      </c>
      <c r="C48" s="16">
        <v>1.5559515669947E-2</v>
      </c>
      <c r="D48" s="16">
        <v>4.8419600000000002E-3</v>
      </c>
      <c r="E48" s="16">
        <v>4.8419600000000002E-3</v>
      </c>
      <c r="F48" s="16">
        <v>4.8419600000000002E-3</v>
      </c>
      <c r="G48" s="16">
        <v>0</v>
      </c>
      <c r="H48" s="16">
        <v>0</v>
      </c>
      <c r="I48" s="16">
        <v>1.4525879999999901E-2</v>
      </c>
      <c r="J48" s="16" t="s">
        <v>355</v>
      </c>
      <c r="K48" s="16" t="s">
        <v>1878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1878</v>
      </c>
    </row>
    <row r="50" spans="1:11">
      <c r="A50" s="16">
        <v>0</v>
      </c>
      <c r="B50" s="16" t="s">
        <v>38</v>
      </c>
      <c r="C50" s="16">
        <v>1.015068871454E-4</v>
      </c>
      <c r="D50" s="95">
        <v>6.6748780423538394E-5</v>
      </c>
      <c r="E50" s="95">
        <v>9.6215656200719996E-5</v>
      </c>
      <c r="F50" s="95">
        <v>6.8445241372973406E-5</v>
      </c>
      <c r="G50" s="16">
        <v>2.1334965945730001E-4</v>
      </c>
      <c r="H50" s="95">
        <v>4.0500619498536002E-5</v>
      </c>
      <c r="I50" s="16">
        <v>2.0802620001784998E-3</v>
      </c>
      <c r="J50" s="16" t="s">
        <v>356</v>
      </c>
      <c r="K50" s="16" t="s">
        <v>1878</v>
      </c>
    </row>
    <row r="51" spans="1:11">
      <c r="A51" s="16">
        <v>1</v>
      </c>
      <c r="B51" s="16" t="s">
        <v>39</v>
      </c>
      <c r="C51" s="16">
        <v>2.2282897276704001E-3</v>
      </c>
      <c r="D51" s="16">
        <v>4.9095868400550002E-4</v>
      </c>
      <c r="E51" s="16">
        <v>6.5279355603770003E-3</v>
      </c>
      <c r="F51" s="16">
        <v>6.9342066672610004E-4</v>
      </c>
      <c r="G51" s="16">
        <v>1.3400471387543E-3</v>
      </c>
      <c r="H51" s="16">
        <v>2.7723416471616999E-3</v>
      </c>
      <c r="I51" s="16">
        <v>2.5188574658521002E-3</v>
      </c>
      <c r="J51" s="16" t="s">
        <v>356</v>
      </c>
      <c r="K51" s="16" t="s">
        <v>1878</v>
      </c>
    </row>
    <row r="52" spans="1:11">
      <c r="A52" s="16">
        <v>2</v>
      </c>
      <c r="B52" s="16" t="s">
        <v>40</v>
      </c>
      <c r="C52" s="16">
        <v>1.397619925979E-4</v>
      </c>
      <c r="D52" s="95">
        <v>4.34924834444919E-5</v>
      </c>
      <c r="E52" s="95">
        <v>4.34924834444919E-5</v>
      </c>
      <c r="F52" s="95">
        <v>4.34924834444919E-5</v>
      </c>
      <c r="G52" s="16">
        <v>0</v>
      </c>
      <c r="H52" s="16">
        <v>0</v>
      </c>
      <c r="I52" s="16">
        <v>1.3047745033340001E-4</v>
      </c>
      <c r="J52" s="16" t="s">
        <v>356</v>
      </c>
      <c r="K52" s="16" t="s">
        <v>1878</v>
      </c>
    </row>
    <row r="53" spans="1:11">
      <c r="A53" s="16">
        <v>3</v>
      </c>
      <c r="B53" s="16" t="s">
        <v>41</v>
      </c>
      <c r="C53" s="16">
        <v>1.12130052195306E-2</v>
      </c>
      <c r="D53" s="16">
        <v>3.4893709999999998E-3</v>
      </c>
      <c r="E53" s="16">
        <v>3.4893709999999998E-3</v>
      </c>
      <c r="F53" s="16">
        <v>3.4893709999999998E-3</v>
      </c>
      <c r="G53" s="16">
        <v>0</v>
      </c>
      <c r="H53" s="16">
        <v>0</v>
      </c>
      <c r="I53" s="16">
        <v>1.04681129999999E-2</v>
      </c>
      <c r="J53" s="16" t="s">
        <v>356</v>
      </c>
      <c r="K53" s="16" t="s">
        <v>1878</v>
      </c>
    </row>
    <row r="54" spans="1:11">
      <c r="A54" s="16">
        <v>4</v>
      </c>
      <c r="B54" s="16" t="s">
        <v>42</v>
      </c>
      <c r="C54" s="16">
        <v>1.5559515669947E-2</v>
      </c>
      <c r="D54" s="16">
        <v>4.8419600000000002E-3</v>
      </c>
      <c r="E54" s="16">
        <v>4.8419600000000002E-3</v>
      </c>
      <c r="F54" s="16">
        <v>4.8419600000000002E-3</v>
      </c>
      <c r="G54" s="16">
        <v>0</v>
      </c>
      <c r="H54" s="16">
        <v>0</v>
      </c>
      <c r="I54" s="16">
        <v>1.4525879999999901E-2</v>
      </c>
      <c r="J54" s="16" t="s">
        <v>356</v>
      </c>
      <c r="K54" s="16" t="s">
        <v>1878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1878</v>
      </c>
    </row>
    <row r="56" spans="1:11">
      <c r="A56" s="16">
        <v>0</v>
      </c>
      <c r="B56" s="16" t="s">
        <v>38</v>
      </c>
      <c r="C56" s="16">
        <v>1.015068871454E-4</v>
      </c>
      <c r="D56" s="95">
        <v>6.6748780423538394E-5</v>
      </c>
      <c r="E56" s="95">
        <v>9.6215656200719996E-5</v>
      </c>
      <c r="F56" s="95">
        <v>6.8445241372973406E-5</v>
      </c>
      <c r="G56" s="16">
        <v>2.1334965945730001E-4</v>
      </c>
      <c r="H56" s="95">
        <v>4.0500619498536002E-5</v>
      </c>
      <c r="I56" s="16">
        <v>2.0802620001784998E-3</v>
      </c>
      <c r="J56" s="16" t="s">
        <v>357</v>
      </c>
      <c r="K56" s="16" t="s">
        <v>1878</v>
      </c>
    </row>
    <row r="57" spans="1:11">
      <c r="A57" s="16">
        <v>1</v>
      </c>
      <c r="B57" s="16" t="s">
        <v>39</v>
      </c>
      <c r="C57" s="16">
        <v>2.2282897276704001E-3</v>
      </c>
      <c r="D57" s="16">
        <v>4.9095868400550002E-4</v>
      </c>
      <c r="E57" s="16">
        <v>6.5279355603770003E-3</v>
      </c>
      <c r="F57" s="16">
        <v>6.9342066672610004E-4</v>
      </c>
      <c r="G57" s="16">
        <v>1.3400471387543E-3</v>
      </c>
      <c r="H57" s="16">
        <v>2.7723416471616999E-3</v>
      </c>
      <c r="I57" s="16">
        <v>2.5188574658521002E-3</v>
      </c>
      <c r="J57" s="16" t="s">
        <v>357</v>
      </c>
      <c r="K57" s="16" t="s">
        <v>1878</v>
      </c>
    </row>
    <row r="58" spans="1:11">
      <c r="A58" s="16">
        <v>2</v>
      </c>
      <c r="B58" s="16" t="s">
        <v>40</v>
      </c>
      <c r="C58" s="16">
        <v>1.397619925979E-4</v>
      </c>
      <c r="D58" s="95">
        <v>4.34924834444919E-5</v>
      </c>
      <c r="E58" s="95">
        <v>4.34924834444919E-5</v>
      </c>
      <c r="F58" s="95">
        <v>4.34924834444919E-5</v>
      </c>
      <c r="G58" s="16">
        <v>0</v>
      </c>
      <c r="H58" s="16">
        <v>0</v>
      </c>
      <c r="I58" s="16">
        <v>1.3047745033340001E-4</v>
      </c>
      <c r="J58" s="16" t="s">
        <v>357</v>
      </c>
      <c r="K58" s="16" t="s">
        <v>1878</v>
      </c>
    </row>
    <row r="59" spans="1:11">
      <c r="A59" s="16">
        <v>3</v>
      </c>
      <c r="B59" s="16" t="s">
        <v>41</v>
      </c>
      <c r="C59" s="16">
        <v>1.12130052195306E-2</v>
      </c>
      <c r="D59" s="16">
        <v>3.4893709999999998E-3</v>
      </c>
      <c r="E59" s="16">
        <v>3.4893709999999998E-3</v>
      </c>
      <c r="F59" s="16">
        <v>3.4893709999999998E-3</v>
      </c>
      <c r="G59" s="16">
        <v>0</v>
      </c>
      <c r="H59" s="16">
        <v>0</v>
      </c>
      <c r="I59" s="16">
        <v>1.04681129999999E-2</v>
      </c>
      <c r="J59" s="16" t="s">
        <v>357</v>
      </c>
      <c r="K59" s="16" t="s">
        <v>1878</v>
      </c>
    </row>
    <row r="60" spans="1:11">
      <c r="A60" s="16">
        <v>4</v>
      </c>
      <c r="B60" s="16" t="s">
        <v>42</v>
      </c>
      <c r="C60" s="16">
        <v>1.5559515669947E-2</v>
      </c>
      <c r="D60" s="16">
        <v>4.8419600000000002E-3</v>
      </c>
      <c r="E60" s="16">
        <v>4.8419600000000002E-3</v>
      </c>
      <c r="F60" s="16">
        <v>4.8419600000000002E-3</v>
      </c>
      <c r="G60" s="16">
        <v>0</v>
      </c>
      <c r="H60" s="16">
        <v>0</v>
      </c>
      <c r="I60" s="16">
        <v>1.4525879999999901E-2</v>
      </c>
      <c r="J60" s="16" t="s">
        <v>357</v>
      </c>
      <c r="K60" s="16" t="s">
        <v>1878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1878</v>
      </c>
    </row>
    <row r="62" spans="1:11">
      <c r="A62" s="16">
        <v>0</v>
      </c>
      <c r="B62" s="16" t="s">
        <v>38</v>
      </c>
      <c r="C62" s="16">
        <v>1.015068871454E-4</v>
      </c>
      <c r="D62" s="95">
        <v>6.6748780423538394E-5</v>
      </c>
      <c r="E62" s="95">
        <v>9.6215656200719996E-5</v>
      </c>
      <c r="F62" s="95">
        <v>6.8445241372973406E-5</v>
      </c>
      <c r="G62" s="16">
        <v>2.1334965945730001E-4</v>
      </c>
      <c r="H62" s="95">
        <v>4.0500619498536002E-5</v>
      </c>
      <c r="I62" s="16">
        <v>2.0802620001784998E-3</v>
      </c>
      <c r="J62" s="16" t="s">
        <v>358</v>
      </c>
      <c r="K62" s="16" t="s">
        <v>1878</v>
      </c>
    </row>
    <row r="63" spans="1:11">
      <c r="A63" s="16">
        <v>1</v>
      </c>
      <c r="B63" s="16" t="s">
        <v>39</v>
      </c>
      <c r="C63" s="16">
        <v>2.2282897276704001E-3</v>
      </c>
      <c r="D63" s="16">
        <v>4.9095868400550002E-4</v>
      </c>
      <c r="E63" s="16">
        <v>6.5279355603770003E-3</v>
      </c>
      <c r="F63" s="16">
        <v>6.9342066672610004E-4</v>
      </c>
      <c r="G63" s="16">
        <v>1.3400471387543E-3</v>
      </c>
      <c r="H63" s="16">
        <v>2.7723416471616999E-3</v>
      </c>
      <c r="I63" s="16">
        <v>2.5188574658521002E-3</v>
      </c>
      <c r="J63" s="16" t="s">
        <v>358</v>
      </c>
      <c r="K63" s="16" t="s">
        <v>1878</v>
      </c>
    </row>
    <row r="64" spans="1:11">
      <c r="A64" s="16">
        <v>2</v>
      </c>
      <c r="B64" s="16" t="s">
        <v>40</v>
      </c>
      <c r="C64" s="16">
        <v>1.397619925979E-4</v>
      </c>
      <c r="D64" s="95">
        <v>4.34924834444919E-5</v>
      </c>
      <c r="E64" s="95">
        <v>4.34924834444919E-5</v>
      </c>
      <c r="F64" s="95">
        <v>4.34924834444919E-5</v>
      </c>
      <c r="G64" s="16">
        <v>0</v>
      </c>
      <c r="H64" s="16">
        <v>0</v>
      </c>
      <c r="I64" s="16">
        <v>1.3047745033340001E-4</v>
      </c>
      <c r="J64" s="16" t="s">
        <v>358</v>
      </c>
      <c r="K64" s="16" t="s">
        <v>1878</v>
      </c>
    </row>
    <row r="65" spans="1:11">
      <c r="A65" s="16">
        <v>3</v>
      </c>
      <c r="B65" s="16" t="s">
        <v>41</v>
      </c>
      <c r="C65" s="16">
        <v>1.12130052195306E-2</v>
      </c>
      <c r="D65" s="16">
        <v>3.4893709999999998E-3</v>
      </c>
      <c r="E65" s="16">
        <v>3.4893709999999998E-3</v>
      </c>
      <c r="F65" s="16">
        <v>3.4893709999999998E-3</v>
      </c>
      <c r="G65" s="16">
        <v>0</v>
      </c>
      <c r="H65" s="16">
        <v>0</v>
      </c>
      <c r="I65" s="16">
        <v>1.04681129999999E-2</v>
      </c>
      <c r="J65" s="16" t="s">
        <v>358</v>
      </c>
      <c r="K65" s="16" t="s">
        <v>1878</v>
      </c>
    </row>
    <row r="66" spans="1:11">
      <c r="A66" s="16">
        <v>4</v>
      </c>
      <c r="B66" s="16" t="s">
        <v>42</v>
      </c>
      <c r="C66" s="16">
        <v>1.5559515669947E-2</v>
      </c>
      <c r="D66" s="16">
        <v>4.8419600000000002E-3</v>
      </c>
      <c r="E66" s="16">
        <v>4.8419600000000002E-3</v>
      </c>
      <c r="F66" s="16">
        <v>4.8419600000000002E-3</v>
      </c>
      <c r="G66" s="16">
        <v>0</v>
      </c>
      <c r="H66" s="16">
        <v>0</v>
      </c>
      <c r="I66" s="16">
        <v>1.4525879999999901E-2</v>
      </c>
      <c r="J66" s="16" t="s">
        <v>358</v>
      </c>
      <c r="K66" s="16" t="s">
        <v>1878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1878</v>
      </c>
    </row>
    <row r="68" spans="1:11">
      <c r="A68" s="16">
        <v>0</v>
      </c>
      <c r="B68" s="16" t="s">
        <v>38</v>
      </c>
      <c r="C68" s="16">
        <v>1.015068871454E-4</v>
      </c>
      <c r="D68" s="95">
        <v>6.6748780423538394E-5</v>
      </c>
      <c r="E68" s="95">
        <v>9.6215656200719996E-5</v>
      </c>
      <c r="F68" s="95">
        <v>6.8445241372973406E-5</v>
      </c>
      <c r="G68" s="16">
        <v>2.1334965945730001E-4</v>
      </c>
      <c r="H68" s="95">
        <v>4.0500619498536002E-5</v>
      </c>
      <c r="I68" s="16">
        <v>2.0802620001784998E-3</v>
      </c>
      <c r="J68" s="16" t="s">
        <v>359</v>
      </c>
      <c r="K68" s="16" t="s">
        <v>1878</v>
      </c>
    </row>
    <row r="69" spans="1:11">
      <c r="A69" s="16">
        <v>1</v>
      </c>
      <c r="B69" s="16" t="s">
        <v>39</v>
      </c>
      <c r="C69" s="16">
        <v>2.2282897276704001E-3</v>
      </c>
      <c r="D69" s="16">
        <v>4.9095868400550002E-4</v>
      </c>
      <c r="E69" s="16">
        <v>6.5279355603770003E-3</v>
      </c>
      <c r="F69" s="16">
        <v>6.9342066672610004E-4</v>
      </c>
      <c r="G69" s="16">
        <v>1.3400471387543E-3</v>
      </c>
      <c r="H69" s="16">
        <v>2.7723416471616999E-3</v>
      </c>
      <c r="I69" s="16">
        <v>2.5188574658521002E-3</v>
      </c>
      <c r="J69" s="16" t="s">
        <v>359</v>
      </c>
      <c r="K69" s="16" t="s">
        <v>1878</v>
      </c>
    </row>
    <row r="70" spans="1:11">
      <c r="A70" s="16">
        <v>2</v>
      </c>
      <c r="B70" s="16" t="s">
        <v>40</v>
      </c>
      <c r="C70" s="16">
        <v>1.397619925979E-4</v>
      </c>
      <c r="D70" s="95">
        <v>4.34924834444919E-5</v>
      </c>
      <c r="E70" s="95">
        <v>4.34924834444919E-5</v>
      </c>
      <c r="F70" s="95">
        <v>4.34924834444919E-5</v>
      </c>
      <c r="G70" s="16">
        <v>0</v>
      </c>
      <c r="H70" s="16">
        <v>0</v>
      </c>
      <c r="I70" s="16">
        <v>1.3047745033340001E-4</v>
      </c>
      <c r="J70" s="16" t="s">
        <v>359</v>
      </c>
      <c r="K70" s="16" t="s">
        <v>1878</v>
      </c>
    </row>
    <row r="71" spans="1:11">
      <c r="A71" s="16">
        <v>3</v>
      </c>
      <c r="B71" s="16" t="s">
        <v>41</v>
      </c>
      <c r="C71" s="16">
        <v>1.12130052195306E-2</v>
      </c>
      <c r="D71" s="16">
        <v>3.4893709999999998E-3</v>
      </c>
      <c r="E71" s="16">
        <v>3.4893709999999998E-3</v>
      </c>
      <c r="F71" s="16">
        <v>3.4893709999999998E-3</v>
      </c>
      <c r="G71" s="16">
        <v>0</v>
      </c>
      <c r="H71" s="16">
        <v>0</v>
      </c>
      <c r="I71" s="16">
        <v>1.04681129999999E-2</v>
      </c>
      <c r="J71" s="16" t="s">
        <v>359</v>
      </c>
      <c r="K71" s="16" t="s">
        <v>1878</v>
      </c>
    </row>
    <row r="72" spans="1:11">
      <c r="A72" s="16">
        <v>4</v>
      </c>
      <c r="B72" s="16" t="s">
        <v>42</v>
      </c>
      <c r="C72" s="16">
        <v>1.5559515669947E-2</v>
      </c>
      <c r="D72" s="16">
        <v>4.8419600000000002E-3</v>
      </c>
      <c r="E72" s="16">
        <v>4.8419600000000002E-3</v>
      </c>
      <c r="F72" s="16">
        <v>4.8419600000000002E-3</v>
      </c>
      <c r="G72" s="16">
        <v>0</v>
      </c>
      <c r="H72" s="16">
        <v>0</v>
      </c>
      <c r="I72" s="16">
        <v>1.4525879999999901E-2</v>
      </c>
      <c r="J72" s="16" t="s">
        <v>359</v>
      </c>
      <c r="K72" s="16" t="s">
        <v>1878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1878</v>
      </c>
    </row>
    <row r="74" spans="1:11">
      <c r="A74" s="16">
        <v>0</v>
      </c>
      <c r="B74" s="16" t="s">
        <v>38</v>
      </c>
      <c r="C74" s="16">
        <v>1.015068871454E-4</v>
      </c>
      <c r="D74" s="95">
        <v>6.6748780423538394E-5</v>
      </c>
      <c r="E74" s="95">
        <v>9.6215656200719996E-5</v>
      </c>
      <c r="F74" s="95">
        <v>6.8445241372973406E-5</v>
      </c>
      <c r="G74" s="16">
        <v>2.1334965945730001E-4</v>
      </c>
      <c r="H74" s="95">
        <v>4.0500619498536002E-5</v>
      </c>
      <c r="I74" s="16">
        <v>2.0802620001784998E-3</v>
      </c>
      <c r="J74" s="16" t="s">
        <v>360</v>
      </c>
      <c r="K74" s="16" t="s">
        <v>1878</v>
      </c>
    </row>
    <row r="75" spans="1:11">
      <c r="A75" s="16">
        <v>1</v>
      </c>
      <c r="B75" s="16" t="s">
        <v>39</v>
      </c>
      <c r="C75" s="16">
        <v>2.2282897276704001E-3</v>
      </c>
      <c r="D75" s="16">
        <v>4.9095868400550002E-4</v>
      </c>
      <c r="E75" s="16">
        <v>6.5279355603770003E-3</v>
      </c>
      <c r="F75" s="16">
        <v>6.9342066672610004E-4</v>
      </c>
      <c r="G75" s="16">
        <v>1.3400471387543E-3</v>
      </c>
      <c r="H75" s="16">
        <v>2.7723416471616999E-3</v>
      </c>
      <c r="I75" s="16">
        <v>2.5188574658521002E-3</v>
      </c>
      <c r="J75" s="16" t="s">
        <v>360</v>
      </c>
      <c r="K75" s="16" t="s">
        <v>1878</v>
      </c>
    </row>
    <row r="76" spans="1:11">
      <c r="A76" s="16">
        <v>2</v>
      </c>
      <c r="B76" s="16" t="s">
        <v>40</v>
      </c>
      <c r="C76" s="16">
        <v>1.397619925979E-4</v>
      </c>
      <c r="D76" s="95">
        <v>4.34924834444919E-5</v>
      </c>
      <c r="E76" s="95">
        <v>4.34924834444919E-5</v>
      </c>
      <c r="F76" s="95">
        <v>4.34924834444919E-5</v>
      </c>
      <c r="G76" s="16">
        <v>0</v>
      </c>
      <c r="H76" s="16">
        <v>0</v>
      </c>
      <c r="I76" s="16">
        <v>1.3047745033340001E-4</v>
      </c>
      <c r="J76" s="16" t="s">
        <v>360</v>
      </c>
      <c r="K76" s="16" t="s">
        <v>1878</v>
      </c>
    </row>
    <row r="77" spans="1:11">
      <c r="A77" s="16">
        <v>3</v>
      </c>
      <c r="B77" s="16" t="s">
        <v>41</v>
      </c>
      <c r="C77" s="16">
        <v>1.12130052195306E-2</v>
      </c>
      <c r="D77" s="16">
        <v>3.4893709999999998E-3</v>
      </c>
      <c r="E77" s="16">
        <v>3.4893709999999998E-3</v>
      </c>
      <c r="F77" s="16">
        <v>3.4893709999999998E-3</v>
      </c>
      <c r="G77" s="16">
        <v>0</v>
      </c>
      <c r="H77" s="16">
        <v>0</v>
      </c>
      <c r="I77" s="16">
        <v>1.04681129999999E-2</v>
      </c>
      <c r="J77" s="16" t="s">
        <v>360</v>
      </c>
      <c r="K77" s="16" t="s">
        <v>1878</v>
      </c>
    </row>
    <row r="78" spans="1:11">
      <c r="A78" s="16">
        <v>4</v>
      </c>
      <c r="B78" s="16" t="s">
        <v>42</v>
      </c>
      <c r="C78" s="16">
        <v>1.5559515669947E-2</v>
      </c>
      <c r="D78" s="16">
        <v>4.8419600000000002E-3</v>
      </c>
      <c r="E78" s="16">
        <v>4.8419600000000002E-3</v>
      </c>
      <c r="F78" s="16">
        <v>4.8419600000000002E-3</v>
      </c>
      <c r="G78" s="16">
        <v>0</v>
      </c>
      <c r="H78" s="16">
        <v>0</v>
      </c>
      <c r="I78" s="16">
        <v>1.4525879999999901E-2</v>
      </c>
      <c r="J78" s="16" t="s">
        <v>360</v>
      </c>
      <c r="K78" s="16" t="s">
        <v>1878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1878</v>
      </c>
    </row>
    <row r="80" spans="1:11">
      <c r="A80" s="16">
        <v>0</v>
      </c>
      <c r="B80" s="16" t="s">
        <v>38</v>
      </c>
      <c r="C80" s="16">
        <v>1.015068871454E-4</v>
      </c>
      <c r="D80" s="95">
        <v>6.6748780423538394E-5</v>
      </c>
      <c r="E80" s="95">
        <v>9.6215656200719996E-5</v>
      </c>
      <c r="F80" s="95">
        <v>6.8445241372973406E-5</v>
      </c>
      <c r="G80" s="16">
        <v>2.1334965945730001E-4</v>
      </c>
      <c r="H80" s="95">
        <v>4.0500619498536002E-5</v>
      </c>
      <c r="I80" s="16">
        <v>2.0802620001784998E-3</v>
      </c>
      <c r="J80" s="16" t="s">
        <v>361</v>
      </c>
      <c r="K80" s="16" t="s">
        <v>1878</v>
      </c>
    </row>
    <row r="81" spans="1:11">
      <c r="A81" s="16">
        <v>1</v>
      </c>
      <c r="B81" s="16" t="s">
        <v>39</v>
      </c>
      <c r="C81" s="16">
        <v>2.2282897276704001E-3</v>
      </c>
      <c r="D81" s="16">
        <v>4.9095868400550002E-4</v>
      </c>
      <c r="E81" s="16">
        <v>6.5279355603770003E-3</v>
      </c>
      <c r="F81" s="16">
        <v>6.9342066672610004E-4</v>
      </c>
      <c r="G81" s="16">
        <v>1.3400471387543E-3</v>
      </c>
      <c r="H81" s="16">
        <v>2.7723416471616999E-3</v>
      </c>
      <c r="I81" s="16">
        <v>2.5188574658521002E-3</v>
      </c>
      <c r="J81" s="16" t="s">
        <v>361</v>
      </c>
      <c r="K81" s="16" t="s">
        <v>1878</v>
      </c>
    </row>
    <row r="82" spans="1:11">
      <c r="A82" s="16">
        <v>2</v>
      </c>
      <c r="B82" s="16" t="s">
        <v>40</v>
      </c>
      <c r="C82" s="16">
        <v>1.397619925979E-4</v>
      </c>
      <c r="D82" s="95">
        <v>4.34924834444919E-5</v>
      </c>
      <c r="E82" s="95">
        <v>4.34924834444919E-5</v>
      </c>
      <c r="F82" s="95">
        <v>4.34924834444919E-5</v>
      </c>
      <c r="G82" s="16">
        <v>0</v>
      </c>
      <c r="H82" s="16">
        <v>0</v>
      </c>
      <c r="I82" s="16">
        <v>1.3047745033340001E-4</v>
      </c>
      <c r="J82" s="16" t="s">
        <v>361</v>
      </c>
      <c r="K82" s="16" t="s">
        <v>1878</v>
      </c>
    </row>
    <row r="83" spans="1:11">
      <c r="A83" s="16">
        <v>3</v>
      </c>
      <c r="B83" s="16" t="s">
        <v>41</v>
      </c>
      <c r="C83" s="16">
        <v>1.12130052195306E-2</v>
      </c>
      <c r="D83" s="16">
        <v>3.4893709999999998E-3</v>
      </c>
      <c r="E83" s="16">
        <v>3.4893709999999998E-3</v>
      </c>
      <c r="F83" s="16">
        <v>3.4893709999999998E-3</v>
      </c>
      <c r="G83" s="16">
        <v>0</v>
      </c>
      <c r="H83" s="16">
        <v>0</v>
      </c>
      <c r="I83" s="16">
        <v>1.04681129999999E-2</v>
      </c>
      <c r="J83" s="16" t="s">
        <v>361</v>
      </c>
      <c r="K83" s="16" t="s">
        <v>1878</v>
      </c>
    </row>
    <row r="84" spans="1:11">
      <c r="A84" s="16">
        <v>4</v>
      </c>
      <c r="B84" s="16" t="s">
        <v>42</v>
      </c>
      <c r="C84" s="16">
        <v>1.5559515669947E-2</v>
      </c>
      <c r="D84" s="16">
        <v>4.8419600000000002E-3</v>
      </c>
      <c r="E84" s="16">
        <v>4.8419600000000002E-3</v>
      </c>
      <c r="F84" s="16">
        <v>4.8419600000000002E-3</v>
      </c>
      <c r="G84" s="16">
        <v>0</v>
      </c>
      <c r="H84" s="16">
        <v>0</v>
      </c>
      <c r="I84" s="16">
        <v>1.4525879999999901E-2</v>
      </c>
      <c r="J84" s="16" t="s">
        <v>361</v>
      </c>
      <c r="K84" s="16" t="s">
        <v>1878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1878</v>
      </c>
    </row>
    <row r="86" spans="1:11">
      <c r="A86" s="16">
        <v>0</v>
      </c>
      <c r="B86" s="16" t="s">
        <v>38</v>
      </c>
      <c r="C86" s="16">
        <v>1.015068871454E-4</v>
      </c>
      <c r="D86" s="95">
        <v>6.6748780423538394E-5</v>
      </c>
      <c r="E86" s="95">
        <v>9.6215656200719996E-5</v>
      </c>
      <c r="F86" s="95">
        <v>6.8445241372973406E-5</v>
      </c>
      <c r="G86" s="16">
        <v>2.1334965945730001E-4</v>
      </c>
      <c r="H86" s="95">
        <v>4.0500619498536002E-5</v>
      </c>
      <c r="I86" s="16">
        <v>2.0802620001784998E-3</v>
      </c>
      <c r="J86" s="16" t="s">
        <v>362</v>
      </c>
      <c r="K86" s="16" t="s">
        <v>1878</v>
      </c>
    </row>
    <row r="87" spans="1:11">
      <c r="A87" s="16">
        <v>1</v>
      </c>
      <c r="B87" s="16" t="s">
        <v>39</v>
      </c>
      <c r="C87" s="16">
        <v>2.2282897276704001E-3</v>
      </c>
      <c r="D87" s="16">
        <v>4.9095868400550002E-4</v>
      </c>
      <c r="E87" s="16">
        <v>6.5279355603770003E-3</v>
      </c>
      <c r="F87" s="16">
        <v>6.9342066672610004E-4</v>
      </c>
      <c r="G87" s="16">
        <v>1.3400471387543E-3</v>
      </c>
      <c r="H87" s="16">
        <v>2.7723416471616999E-3</v>
      </c>
      <c r="I87" s="16">
        <v>2.5188574658521002E-3</v>
      </c>
      <c r="J87" s="16" t="s">
        <v>362</v>
      </c>
      <c r="K87" s="16" t="s">
        <v>1878</v>
      </c>
    </row>
    <row r="88" spans="1:11">
      <c r="A88" s="16">
        <v>2</v>
      </c>
      <c r="B88" s="16" t="s">
        <v>40</v>
      </c>
      <c r="C88" s="16">
        <v>1.397619925979E-4</v>
      </c>
      <c r="D88" s="95">
        <v>4.34924834444919E-5</v>
      </c>
      <c r="E88" s="95">
        <v>4.34924834444919E-5</v>
      </c>
      <c r="F88" s="95">
        <v>4.34924834444919E-5</v>
      </c>
      <c r="G88" s="16">
        <v>0</v>
      </c>
      <c r="H88" s="16">
        <v>0</v>
      </c>
      <c r="I88" s="16">
        <v>1.3047745033340001E-4</v>
      </c>
      <c r="J88" s="16" t="s">
        <v>362</v>
      </c>
      <c r="K88" s="16" t="s">
        <v>1878</v>
      </c>
    </row>
    <row r="89" spans="1:11">
      <c r="A89" s="16">
        <v>3</v>
      </c>
      <c r="B89" s="16" t="s">
        <v>41</v>
      </c>
      <c r="C89" s="16">
        <v>1.12130052195306E-2</v>
      </c>
      <c r="D89" s="16">
        <v>3.4893709999999998E-3</v>
      </c>
      <c r="E89" s="16">
        <v>3.4893709999999998E-3</v>
      </c>
      <c r="F89" s="16">
        <v>3.4893709999999998E-3</v>
      </c>
      <c r="G89" s="16">
        <v>0</v>
      </c>
      <c r="H89" s="16">
        <v>0</v>
      </c>
      <c r="I89" s="16">
        <v>1.04681129999999E-2</v>
      </c>
      <c r="J89" s="16" t="s">
        <v>362</v>
      </c>
      <c r="K89" s="16" t="s">
        <v>1878</v>
      </c>
    </row>
    <row r="90" spans="1:11">
      <c r="A90" s="16">
        <v>4</v>
      </c>
      <c r="B90" s="16" t="s">
        <v>42</v>
      </c>
      <c r="C90" s="16">
        <v>1.5559515669947E-2</v>
      </c>
      <c r="D90" s="16">
        <v>4.8419600000000002E-3</v>
      </c>
      <c r="E90" s="16">
        <v>4.8419600000000002E-3</v>
      </c>
      <c r="F90" s="16">
        <v>4.8419600000000002E-3</v>
      </c>
      <c r="G90" s="16">
        <v>0</v>
      </c>
      <c r="H90" s="16">
        <v>0</v>
      </c>
      <c r="I90" s="16">
        <v>1.4525879999999901E-2</v>
      </c>
      <c r="J90" s="16" t="s">
        <v>362</v>
      </c>
      <c r="K90" s="16" t="s">
        <v>1878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1878</v>
      </c>
    </row>
    <row r="92" spans="1:11">
      <c r="A92" s="16">
        <v>0</v>
      </c>
      <c r="B92" s="16" t="s">
        <v>38</v>
      </c>
      <c r="C92" s="16">
        <v>1.015068871454E-4</v>
      </c>
      <c r="D92" s="95">
        <v>6.6748780423538394E-5</v>
      </c>
      <c r="E92" s="95">
        <v>9.6215656200719996E-5</v>
      </c>
      <c r="F92" s="95">
        <v>6.8445241372973406E-5</v>
      </c>
      <c r="G92" s="16">
        <v>2.1334965945730001E-4</v>
      </c>
      <c r="H92" s="95">
        <v>4.0500619498536002E-5</v>
      </c>
      <c r="I92" s="16">
        <v>2.0802620001784998E-3</v>
      </c>
      <c r="J92" s="16" t="s">
        <v>363</v>
      </c>
      <c r="K92" s="16" t="s">
        <v>1878</v>
      </c>
    </row>
    <row r="93" spans="1:11">
      <c r="A93" s="16">
        <v>1</v>
      </c>
      <c r="B93" s="16" t="s">
        <v>39</v>
      </c>
      <c r="C93" s="16">
        <v>2.2282897276704001E-3</v>
      </c>
      <c r="D93" s="16">
        <v>4.9095868400550002E-4</v>
      </c>
      <c r="E93" s="16">
        <v>6.5279355603770003E-3</v>
      </c>
      <c r="F93" s="16">
        <v>6.9342066672610004E-4</v>
      </c>
      <c r="G93" s="16">
        <v>1.3400471387543E-3</v>
      </c>
      <c r="H93" s="16">
        <v>2.7723416471616999E-3</v>
      </c>
      <c r="I93" s="16">
        <v>2.5188574658521002E-3</v>
      </c>
      <c r="J93" s="16" t="s">
        <v>363</v>
      </c>
      <c r="K93" s="16" t="s">
        <v>1878</v>
      </c>
    </row>
    <row r="94" spans="1:11">
      <c r="A94" s="16">
        <v>2</v>
      </c>
      <c r="B94" s="16" t="s">
        <v>40</v>
      </c>
      <c r="C94" s="16">
        <v>1.397619925979E-4</v>
      </c>
      <c r="D94" s="95">
        <v>4.34924834444919E-5</v>
      </c>
      <c r="E94" s="95">
        <v>4.34924834444919E-5</v>
      </c>
      <c r="F94" s="95">
        <v>4.34924834444919E-5</v>
      </c>
      <c r="G94" s="16">
        <v>0</v>
      </c>
      <c r="H94" s="16">
        <v>0</v>
      </c>
      <c r="I94" s="16">
        <v>1.3047745033340001E-4</v>
      </c>
      <c r="J94" s="16" t="s">
        <v>363</v>
      </c>
      <c r="K94" s="16" t="s">
        <v>1878</v>
      </c>
    </row>
    <row r="95" spans="1:11">
      <c r="A95" s="16">
        <v>3</v>
      </c>
      <c r="B95" s="16" t="s">
        <v>41</v>
      </c>
      <c r="C95" s="16">
        <v>1.12130052195306E-2</v>
      </c>
      <c r="D95" s="16">
        <v>3.4893709999999998E-3</v>
      </c>
      <c r="E95" s="16">
        <v>3.4893709999999998E-3</v>
      </c>
      <c r="F95" s="16">
        <v>3.4893709999999998E-3</v>
      </c>
      <c r="G95" s="16">
        <v>0</v>
      </c>
      <c r="H95" s="16">
        <v>0</v>
      </c>
      <c r="I95" s="16">
        <v>1.04681129999999E-2</v>
      </c>
      <c r="J95" s="16" t="s">
        <v>363</v>
      </c>
      <c r="K95" s="16" t="s">
        <v>1878</v>
      </c>
    </row>
    <row r="96" spans="1:11">
      <c r="A96" s="16">
        <v>4</v>
      </c>
      <c r="B96" s="16" t="s">
        <v>42</v>
      </c>
      <c r="C96" s="16">
        <v>1.5559515669947E-2</v>
      </c>
      <c r="D96" s="16">
        <v>4.8419600000000002E-3</v>
      </c>
      <c r="E96" s="16">
        <v>4.8419600000000002E-3</v>
      </c>
      <c r="F96" s="16">
        <v>4.8419600000000002E-3</v>
      </c>
      <c r="G96" s="16">
        <v>0</v>
      </c>
      <c r="H96" s="16">
        <v>0</v>
      </c>
      <c r="I96" s="16">
        <v>1.4525879999999901E-2</v>
      </c>
      <c r="J96" s="16" t="s">
        <v>363</v>
      </c>
      <c r="K96" s="16" t="s">
        <v>1878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1878</v>
      </c>
    </row>
    <row r="98" spans="1:11">
      <c r="A98" s="16">
        <v>0</v>
      </c>
      <c r="B98" s="16" t="s">
        <v>38</v>
      </c>
      <c r="C98" s="16">
        <v>1.015068871454E-4</v>
      </c>
      <c r="D98" s="95">
        <v>6.6748780423538394E-5</v>
      </c>
      <c r="E98" s="95">
        <v>9.6215656200719996E-5</v>
      </c>
      <c r="F98" s="95">
        <v>6.8445241372973406E-5</v>
      </c>
      <c r="G98" s="16">
        <v>2.1334965945730001E-4</v>
      </c>
      <c r="H98" s="95">
        <v>4.0500619498536002E-5</v>
      </c>
      <c r="I98" s="16">
        <v>2.0802620001784998E-3</v>
      </c>
      <c r="J98" s="16" t="s">
        <v>364</v>
      </c>
      <c r="K98" s="16" t="s">
        <v>1878</v>
      </c>
    </row>
    <row r="99" spans="1:11">
      <c r="A99" s="16">
        <v>1</v>
      </c>
      <c r="B99" s="16" t="s">
        <v>39</v>
      </c>
      <c r="C99" s="16">
        <v>2.2282897276704001E-3</v>
      </c>
      <c r="D99" s="16">
        <v>4.9095868400550002E-4</v>
      </c>
      <c r="E99" s="16">
        <v>6.5279355603770003E-3</v>
      </c>
      <c r="F99" s="16">
        <v>6.9342066672610004E-4</v>
      </c>
      <c r="G99" s="16">
        <v>1.3400471387543E-3</v>
      </c>
      <c r="H99" s="16">
        <v>2.7723416471616999E-3</v>
      </c>
      <c r="I99" s="16">
        <v>2.5188574658521002E-3</v>
      </c>
      <c r="J99" s="16" t="s">
        <v>364</v>
      </c>
      <c r="K99" s="16" t="s">
        <v>1878</v>
      </c>
    </row>
    <row r="100" spans="1:11">
      <c r="A100" s="16">
        <v>2</v>
      </c>
      <c r="B100" s="16" t="s">
        <v>40</v>
      </c>
      <c r="C100" s="16">
        <v>1.397619925979E-4</v>
      </c>
      <c r="D100" s="95">
        <v>4.34924834444919E-5</v>
      </c>
      <c r="E100" s="95">
        <v>4.34924834444919E-5</v>
      </c>
      <c r="F100" s="95">
        <v>4.34924834444919E-5</v>
      </c>
      <c r="G100" s="16">
        <v>0</v>
      </c>
      <c r="H100" s="16">
        <v>0</v>
      </c>
      <c r="I100" s="16">
        <v>1.3047745033340001E-4</v>
      </c>
      <c r="J100" s="16" t="s">
        <v>364</v>
      </c>
      <c r="K100" s="16" t="s">
        <v>1878</v>
      </c>
    </row>
    <row r="101" spans="1:11">
      <c r="A101" s="16">
        <v>3</v>
      </c>
      <c r="B101" s="16" t="s">
        <v>41</v>
      </c>
      <c r="C101" s="16">
        <v>1.12130052195306E-2</v>
      </c>
      <c r="D101" s="16">
        <v>3.4893709999999998E-3</v>
      </c>
      <c r="E101" s="16">
        <v>3.4893709999999998E-3</v>
      </c>
      <c r="F101" s="16">
        <v>3.4893709999999998E-3</v>
      </c>
      <c r="G101" s="16">
        <v>0</v>
      </c>
      <c r="H101" s="16">
        <v>0</v>
      </c>
      <c r="I101" s="16">
        <v>1.04681129999999E-2</v>
      </c>
      <c r="J101" s="16" t="s">
        <v>364</v>
      </c>
      <c r="K101" s="16" t="s">
        <v>1878</v>
      </c>
    </row>
    <row r="102" spans="1:11">
      <c r="A102" s="16">
        <v>4</v>
      </c>
      <c r="B102" s="16" t="s">
        <v>42</v>
      </c>
      <c r="C102" s="16">
        <v>1.5559515669947E-2</v>
      </c>
      <c r="D102" s="16">
        <v>4.8419600000000002E-3</v>
      </c>
      <c r="E102" s="16">
        <v>4.8419600000000002E-3</v>
      </c>
      <c r="F102" s="16">
        <v>4.8419600000000002E-3</v>
      </c>
      <c r="G102" s="16">
        <v>0</v>
      </c>
      <c r="H102" s="16">
        <v>0</v>
      </c>
      <c r="I102" s="16">
        <v>1.4525879999999901E-2</v>
      </c>
      <c r="J102" s="16" t="s">
        <v>364</v>
      </c>
      <c r="K102" s="16" t="s">
        <v>1878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1878</v>
      </c>
    </row>
    <row r="104" spans="1:11">
      <c r="A104" s="16">
        <v>0</v>
      </c>
      <c r="B104" s="16" t="s">
        <v>38</v>
      </c>
      <c r="C104" s="16">
        <v>1.015068871454E-4</v>
      </c>
      <c r="D104" s="95">
        <v>6.6748780423538394E-5</v>
      </c>
      <c r="E104" s="95">
        <v>9.6215656200719996E-5</v>
      </c>
      <c r="F104" s="95">
        <v>6.8445241372973406E-5</v>
      </c>
      <c r="G104" s="16">
        <v>2.1334965945730001E-4</v>
      </c>
      <c r="H104" s="95">
        <v>4.0500619498536002E-5</v>
      </c>
      <c r="I104" s="16">
        <v>2.0802620001784998E-3</v>
      </c>
      <c r="J104" s="16" t="s">
        <v>365</v>
      </c>
      <c r="K104" s="16" t="s">
        <v>1878</v>
      </c>
    </row>
    <row r="105" spans="1:11">
      <c r="A105" s="16">
        <v>1</v>
      </c>
      <c r="B105" s="16" t="s">
        <v>39</v>
      </c>
      <c r="C105" s="16">
        <v>2.2282897276704001E-3</v>
      </c>
      <c r="D105" s="16">
        <v>4.9095868400550002E-4</v>
      </c>
      <c r="E105" s="16">
        <v>6.5279355603770003E-3</v>
      </c>
      <c r="F105" s="16">
        <v>6.9342066672610004E-4</v>
      </c>
      <c r="G105" s="16">
        <v>1.3400471387543E-3</v>
      </c>
      <c r="H105" s="16">
        <v>2.7723416471616999E-3</v>
      </c>
      <c r="I105" s="16">
        <v>2.5188574658521002E-3</v>
      </c>
      <c r="J105" s="16" t="s">
        <v>365</v>
      </c>
      <c r="K105" s="16" t="s">
        <v>1878</v>
      </c>
    </row>
    <row r="106" spans="1:11">
      <c r="A106" s="16">
        <v>2</v>
      </c>
      <c r="B106" s="16" t="s">
        <v>40</v>
      </c>
      <c r="C106" s="16">
        <v>1.397619925979E-4</v>
      </c>
      <c r="D106" s="95">
        <v>4.34924834444919E-5</v>
      </c>
      <c r="E106" s="95">
        <v>4.34924834444919E-5</v>
      </c>
      <c r="F106" s="95">
        <v>4.34924834444919E-5</v>
      </c>
      <c r="G106" s="16">
        <v>0</v>
      </c>
      <c r="H106" s="16">
        <v>0</v>
      </c>
      <c r="I106" s="16">
        <v>1.3047745033340001E-4</v>
      </c>
      <c r="J106" s="16" t="s">
        <v>365</v>
      </c>
      <c r="K106" s="16" t="s">
        <v>1878</v>
      </c>
    </row>
    <row r="107" spans="1:11">
      <c r="A107" s="16">
        <v>3</v>
      </c>
      <c r="B107" s="16" t="s">
        <v>41</v>
      </c>
      <c r="C107" s="16">
        <v>1.12130052195306E-2</v>
      </c>
      <c r="D107" s="16">
        <v>3.4893709999999998E-3</v>
      </c>
      <c r="E107" s="16">
        <v>3.4893709999999998E-3</v>
      </c>
      <c r="F107" s="16">
        <v>3.4893709999999998E-3</v>
      </c>
      <c r="G107" s="16">
        <v>0</v>
      </c>
      <c r="H107" s="16">
        <v>0</v>
      </c>
      <c r="I107" s="16">
        <v>1.04681129999999E-2</v>
      </c>
      <c r="J107" s="16" t="s">
        <v>365</v>
      </c>
      <c r="K107" s="16" t="s">
        <v>1878</v>
      </c>
    </row>
    <row r="108" spans="1:11">
      <c r="A108" s="16">
        <v>4</v>
      </c>
      <c r="B108" s="16" t="s">
        <v>42</v>
      </c>
      <c r="C108" s="16">
        <v>1.5559515669947E-2</v>
      </c>
      <c r="D108" s="16">
        <v>4.8419600000000002E-3</v>
      </c>
      <c r="E108" s="16">
        <v>4.8419600000000002E-3</v>
      </c>
      <c r="F108" s="16">
        <v>4.8419600000000002E-3</v>
      </c>
      <c r="G108" s="16">
        <v>0</v>
      </c>
      <c r="H108" s="16">
        <v>0</v>
      </c>
      <c r="I108" s="16">
        <v>1.4525879999999901E-2</v>
      </c>
      <c r="J108" s="16" t="s">
        <v>365</v>
      </c>
      <c r="K108" s="16" t="s">
        <v>1878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1878</v>
      </c>
    </row>
    <row r="110" spans="1:11">
      <c r="A110" s="16">
        <v>0</v>
      </c>
      <c r="B110" s="16" t="s">
        <v>38</v>
      </c>
      <c r="C110" s="16">
        <v>1.015068871454E-4</v>
      </c>
      <c r="D110" s="95">
        <v>6.6748780423538394E-5</v>
      </c>
      <c r="E110" s="95">
        <v>9.6215656200719996E-5</v>
      </c>
      <c r="F110" s="95">
        <v>6.8445241372973406E-5</v>
      </c>
      <c r="G110" s="16">
        <v>2.1334965945730001E-4</v>
      </c>
      <c r="H110" s="95">
        <v>4.0500619498536002E-5</v>
      </c>
      <c r="I110" s="16">
        <v>2.0802620001784998E-3</v>
      </c>
      <c r="J110" s="16" t="s">
        <v>366</v>
      </c>
      <c r="K110" s="16" t="s">
        <v>1878</v>
      </c>
    </row>
    <row r="111" spans="1:11">
      <c r="A111" s="16">
        <v>1</v>
      </c>
      <c r="B111" s="16" t="s">
        <v>39</v>
      </c>
      <c r="C111" s="16">
        <v>2.2282897276704001E-3</v>
      </c>
      <c r="D111" s="16">
        <v>4.9095868400550002E-4</v>
      </c>
      <c r="E111" s="16">
        <v>6.5279355603770003E-3</v>
      </c>
      <c r="F111" s="16">
        <v>6.9342066672610004E-4</v>
      </c>
      <c r="G111" s="16">
        <v>1.3400471387543E-3</v>
      </c>
      <c r="H111" s="16">
        <v>2.7723416471616999E-3</v>
      </c>
      <c r="I111" s="16">
        <v>2.5188574658521002E-3</v>
      </c>
      <c r="J111" s="16" t="s">
        <v>366</v>
      </c>
      <c r="K111" s="16" t="s">
        <v>1878</v>
      </c>
    </row>
    <row r="112" spans="1:11">
      <c r="A112" s="16">
        <v>2</v>
      </c>
      <c r="B112" s="16" t="s">
        <v>40</v>
      </c>
      <c r="C112" s="16">
        <v>1.397619925979E-4</v>
      </c>
      <c r="D112" s="95">
        <v>4.34924834444919E-5</v>
      </c>
      <c r="E112" s="95">
        <v>4.34924834444919E-5</v>
      </c>
      <c r="F112" s="95">
        <v>4.34924834444919E-5</v>
      </c>
      <c r="G112" s="16">
        <v>0</v>
      </c>
      <c r="H112" s="16">
        <v>0</v>
      </c>
      <c r="I112" s="16">
        <v>1.3047745033340001E-4</v>
      </c>
      <c r="J112" s="16" t="s">
        <v>366</v>
      </c>
      <c r="K112" s="16" t="s">
        <v>1878</v>
      </c>
    </row>
    <row r="113" spans="1:11">
      <c r="A113" s="16">
        <v>3</v>
      </c>
      <c r="B113" s="16" t="s">
        <v>41</v>
      </c>
      <c r="C113" s="16">
        <v>1.12130052195306E-2</v>
      </c>
      <c r="D113" s="16">
        <v>3.4893709999999998E-3</v>
      </c>
      <c r="E113" s="16">
        <v>3.4893709999999998E-3</v>
      </c>
      <c r="F113" s="16">
        <v>3.4893709999999998E-3</v>
      </c>
      <c r="G113" s="16">
        <v>0</v>
      </c>
      <c r="H113" s="16">
        <v>0</v>
      </c>
      <c r="I113" s="16">
        <v>1.04681129999999E-2</v>
      </c>
      <c r="J113" s="16" t="s">
        <v>366</v>
      </c>
      <c r="K113" s="16" t="s">
        <v>1878</v>
      </c>
    </row>
    <row r="114" spans="1:11">
      <c r="A114" s="16">
        <v>4</v>
      </c>
      <c r="B114" s="16" t="s">
        <v>42</v>
      </c>
      <c r="C114" s="16">
        <v>1.5559515669947E-2</v>
      </c>
      <c r="D114" s="16">
        <v>4.8419600000000002E-3</v>
      </c>
      <c r="E114" s="16">
        <v>4.8419600000000002E-3</v>
      </c>
      <c r="F114" s="16">
        <v>4.8419600000000002E-3</v>
      </c>
      <c r="G114" s="16">
        <v>0</v>
      </c>
      <c r="H114" s="16">
        <v>0</v>
      </c>
      <c r="I114" s="16">
        <v>1.4525879999999901E-2</v>
      </c>
      <c r="J114" s="16" t="s">
        <v>366</v>
      </c>
      <c r="K114" s="16" t="s">
        <v>1878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1878</v>
      </c>
    </row>
    <row r="116" spans="1:11">
      <c r="A116" s="16">
        <v>0</v>
      </c>
      <c r="B116" s="16" t="s">
        <v>38</v>
      </c>
      <c r="C116" s="16">
        <v>1.015068871454E-4</v>
      </c>
      <c r="D116" s="95">
        <v>6.6748780423538394E-5</v>
      </c>
      <c r="E116" s="95">
        <v>9.6215656200719996E-5</v>
      </c>
      <c r="F116" s="95">
        <v>6.8445241372973406E-5</v>
      </c>
      <c r="G116" s="16">
        <v>2.1334965945730001E-4</v>
      </c>
      <c r="H116" s="95">
        <v>4.0500619498536002E-5</v>
      </c>
      <c r="I116" s="16">
        <v>2.0802620001784998E-3</v>
      </c>
      <c r="J116" s="16" t="s">
        <v>367</v>
      </c>
      <c r="K116" s="16" t="s">
        <v>1878</v>
      </c>
    </row>
    <row r="117" spans="1:11">
      <c r="A117" s="16">
        <v>1</v>
      </c>
      <c r="B117" s="16" t="s">
        <v>39</v>
      </c>
      <c r="C117" s="16">
        <v>2.2282897276704001E-3</v>
      </c>
      <c r="D117" s="16">
        <v>4.9095868400550002E-4</v>
      </c>
      <c r="E117" s="16">
        <v>6.5279355603770003E-3</v>
      </c>
      <c r="F117" s="16">
        <v>6.9342066672610004E-4</v>
      </c>
      <c r="G117" s="16">
        <v>1.3400471387543E-3</v>
      </c>
      <c r="H117" s="16">
        <v>2.7723416471616999E-3</v>
      </c>
      <c r="I117" s="16">
        <v>2.5188574658521002E-3</v>
      </c>
      <c r="J117" s="16" t="s">
        <v>367</v>
      </c>
      <c r="K117" s="16" t="s">
        <v>1878</v>
      </c>
    </row>
    <row r="118" spans="1:11">
      <c r="A118" s="16">
        <v>2</v>
      </c>
      <c r="B118" s="16" t="s">
        <v>40</v>
      </c>
      <c r="C118" s="16">
        <v>1.397619925979E-4</v>
      </c>
      <c r="D118" s="95">
        <v>4.34924834444919E-5</v>
      </c>
      <c r="E118" s="95">
        <v>4.34924834444919E-5</v>
      </c>
      <c r="F118" s="95">
        <v>4.34924834444919E-5</v>
      </c>
      <c r="G118" s="16">
        <v>0</v>
      </c>
      <c r="H118" s="16">
        <v>0</v>
      </c>
      <c r="I118" s="16">
        <v>1.3047745033340001E-4</v>
      </c>
      <c r="J118" s="16" t="s">
        <v>367</v>
      </c>
      <c r="K118" s="16" t="s">
        <v>1878</v>
      </c>
    </row>
    <row r="119" spans="1:11">
      <c r="A119" s="16">
        <v>3</v>
      </c>
      <c r="B119" s="16" t="s">
        <v>41</v>
      </c>
      <c r="C119" s="16">
        <v>1.12130052195306E-2</v>
      </c>
      <c r="D119" s="16">
        <v>3.4893709999999998E-3</v>
      </c>
      <c r="E119" s="16">
        <v>3.4893709999999998E-3</v>
      </c>
      <c r="F119" s="16">
        <v>3.4893709999999998E-3</v>
      </c>
      <c r="G119" s="16">
        <v>0</v>
      </c>
      <c r="H119" s="16">
        <v>0</v>
      </c>
      <c r="I119" s="16">
        <v>1.04681129999999E-2</v>
      </c>
      <c r="J119" s="16" t="s">
        <v>367</v>
      </c>
      <c r="K119" s="16" t="s">
        <v>1878</v>
      </c>
    </row>
    <row r="120" spans="1:11">
      <c r="A120" s="16">
        <v>4</v>
      </c>
      <c r="B120" s="16" t="s">
        <v>42</v>
      </c>
      <c r="C120" s="16">
        <v>1.5559515669947E-2</v>
      </c>
      <c r="D120" s="16">
        <v>4.8419600000000002E-3</v>
      </c>
      <c r="E120" s="16">
        <v>4.8419600000000002E-3</v>
      </c>
      <c r="F120" s="16">
        <v>4.8419600000000002E-3</v>
      </c>
      <c r="G120" s="16">
        <v>0</v>
      </c>
      <c r="H120" s="16">
        <v>0</v>
      </c>
      <c r="I120" s="16">
        <v>1.4525879999999901E-2</v>
      </c>
      <c r="J120" s="16" t="s">
        <v>367</v>
      </c>
      <c r="K120" s="16" t="s">
        <v>1878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1878</v>
      </c>
    </row>
    <row r="122" spans="1:11">
      <c r="A122" s="16">
        <v>0</v>
      </c>
      <c r="B122" s="16" t="s">
        <v>38</v>
      </c>
      <c r="C122" s="16">
        <v>1.015068871454E-4</v>
      </c>
      <c r="D122" s="95">
        <v>6.6748780423538394E-5</v>
      </c>
      <c r="E122" s="95">
        <v>9.6215656200719996E-5</v>
      </c>
      <c r="F122" s="95">
        <v>6.8445241372973406E-5</v>
      </c>
      <c r="G122" s="16">
        <v>2.1334965945730001E-4</v>
      </c>
      <c r="H122" s="95">
        <v>4.0500619498536002E-5</v>
      </c>
      <c r="I122" s="16">
        <v>2.0802620001784998E-3</v>
      </c>
      <c r="J122" s="16" t="s">
        <v>368</v>
      </c>
      <c r="K122" s="16" t="s">
        <v>1878</v>
      </c>
    </row>
    <row r="123" spans="1:11">
      <c r="A123" s="16">
        <v>1</v>
      </c>
      <c r="B123" s="16" t="s">
        <v>39</v>
      </c>
      <c r="C123" s="16">
        <v>2.2282897276704001E-3</v>
      </c>
      <c r="D123" s="16">
        <v>4.9095868400550002E-4</v>
      </c>
      <c r="E123" s="16">
        <v>6.5279355603770003E-3</v>
      </c>
      <c r="F123" s="16">
        <v>6.9342066672610004E-4</v>
      </c>
      <c r="G123" s="16">
        <v>1.3400471387543E-3</v>
      </c>
      <c r="H123" s="16">
        <v>2.7723416471616999E-3</v>
      </c>
      <c r="I123" s="16">
        <v>2.5188574658521002E-3</v>
      </c>
      <c r="J123" s="16" t="s">
        <v>368</v>
      </c>
      <c r="K123" s="16" t="s">
        <v>1878</v>
      </c>
    </row>
    <row r="124" spans="1:11">
      <c r="A124" s="16">
        <v>2</v>
      </c>
      <c r="B124" s="16" t="s">
        <v>40</v>
      </c>
      <c r="C124" s="16">
        <v>1.397619925979E-4</v>
      </c>
      <c r="D124" s="95">
        <v>4.34924834444919E-5</v>
      </c>
      <c r="E124" s="95">
        <v>4.34924834444919E-5</v>
      </c>
      <c r="F124" s="95">
        <v>4.34924834444919E-5</v>
      </c>
      <c r="G124" s="16">
        <v>0</v>
      </c>
      <c r="H124" s="16">
        <v>0</v>
      </c>
      <c r="I124" s="16">
        <v>1.3047745033340001E-4</v>
      </c>
      <c r="J124" s="16" t="s">
        <v>368</v>
      </c>
      <c r="K124" s="16" t="s">
        <v>1878</v>
      </c>
    </row>
    <row r="125" spans="1:11">
      <c r="A125" s="16">
        <v>3</v>
      </c>
      <c r="B125" s="16" t="s">
        <v>41</v>
      </c>
      <c r="C125" s="16">
        <v>1.12130052195306E-2</v>
      </c>
      <c r="D125" s="16">
        <v>3.4893709999999998E-3</v>
      </c>
      <c r="E125" s="16">
        <v>3.4893709999999998E-3</v>
      </c>
      <c r="F125" s="16">
        <v>3.4893709999999998E-3</v>
      </c>
      <c r="G125" s="16">
        <v>0</v>
      </c>
      <c r="H125" s="16">
        <v>0</v>
      </c>
      <c r="I125" s="16">
        <v>1.04681129999999E-2</v>
      </c>
      <c r="J125" s="16" t="s">
        <v>368</v>
      </c>
      <c r="K125" s="16" t="s">
        <v>1878</v>
      </c>
    </row>
    <row r="126" spans="1:11">
      <c r="A126" s="16">
        <v>4</v>
      </c>
      <c r="B126" s="16" t="s">
        <v>42</v>
      </c>
      <c r="C126" s="16">
        <v>1.5559515669947E-2</v>
      </c>
      <c r="D126" s="16">
        <v>4.8419600000000002E-3</v>
      </c>
      <c r="E126" s="16">
        <v>4.8419600000000002E-3</v>
      </c>
      <c r="F126" s="16">
        <v>4.8419600000000002E-3</v>
      </c>
      <c r="G126" s="16">
        <v>0</v>
      </c>
      <c r="H126" s="16">
        <v>0</v>
      </c>
      <c r="I126" s="16">
        <v>1.4525879999999901E-2</v>
      </c>
      <c r="J126" s="16" t="s">
        <v>368</v>
      </c>
      <c r="K126" s="16" t="s">
        <v>1878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1878</v>
      </c>
    </row>
    <row r="128" spans="1:11">
      <c r="A128" s="16">
        <v>0</v>
      </c>
      <c r="B128" s="16" t="s">
        <v>38</v>
      </c>
      <c r="C128" s="16">
        <v>1.015068871454E-4</v>
      </c>
      <c r="D128" s="95">
        <v>6.6748780423538394E-5</v>
      </c>
      <c r="E128" s="95">
        <v>9.6215656200719996E-5</v>
      </c>
      <c r="F128" s="95">
        <v>6.8445241372973406E-5</v>
      </c>
      <c r="G128" s="16">
        <v>2.1334965945730001E-4</v>
      </c>
      <c r="H128" s="95">
        <v>4.0500619498536002E-5</v>
      </c>
      <c r="I128" s="16">
        <v>2.0802620001784998E-3</v>
      </c>
      <c r="J128" s="16" t="s">
        <v>369</v>
      </c>
      <c r="K128" s="16" t="s">
        <v>1878</v>
      </c>
    </row>
    <row r="129" spans="1:11">
      <c r="A129" s="16">
        <v>1</v>
      </c>
      <c r="B129" s="16" t="s">
        <v>39</v>
      </c>
      <c r="C129" s="16">
        <v>2.2282897276704001E-3</v>
      </c>
      <c r="D129" s="16">
        <v>4.9095868400550002E-4</v>
      </c>
      <c r="E129" s="16">
        <v>6.5279355603770003E-3</v>
      </c>
      <c r="F129" s="16">
        <v>6.9342066672610004E-4</v>
      </c>
      <c r="G129" s="16">
        <v>1.3400471387543E-3</v>
      </c>
      <c r="H129" s="16">
        <v>2.7723416471616999E-3</v>
      </c>
      <c r="I129" s="16">
        <v>2.5188574658521002E-3</v>
      </c>
      <c r="J129" s="16" t="s">
        <v>369</v>
      </c>
      <c r="K129" s="16" t="s">
        <v>1878</v>
      </c>
    </row>
    <row r="130" spans="1:11">
      <c r="A130" s="16">
        <v>2</v>
      </c>
      <c r="B130" s="16" t="s">
        <v>40</v>
      </c>
      <c r="C130" s="16">
        <v>1.397619925979E-4</v>
      </c>
      <c r="D130" s="95">
        <v>4.34924834444919E-5</v>
      </c>
      <c r="E130" s="95">
        <v>4.34924834444919E-5</v>
      </c>
      <c r="F130" s="95">
        <v>4.34924834444919E-5</v>
      </c>
      <c r="G130" s="16">
        <v>0</v>
      </c>
      <c r="H130" s="16">
        <v>0</v>
      </c>
      <c r="I130" s="16">
        <v>1.3047745033340001E-4</v>
      </c>
      <c r="J130" s="16" t="s">
        <v>369</v>
      </c>
      <c r="K130" s="16" t="s">
        <v>1878</v>
      </c>
    </row>
    <row r="131" spans="1:11">
      <c r="A131" s="16">
        <v>3</v>
      </c>
      <c r="B131" s="16" t="s">
        <v>41</v>
      </c>
      <c r="C131" s="16">
        <v>1.12130052195306E-2</v>
      </c>
      <c r="D131" s="16">
        <v>3.4893709999999998E-3</v>
      </c>
      <c r="E131" s="16">
        <v>3.4893709999999998E-3</v>
      </c>
      <c r="F131" s="16">
        <v>3.4893709999999998E-3</v>
      </c>
      <c r="G131" s="16">
        <v>0</v>
      </c>
      <c r="H131" s="16">
        <v>0</v>
      </c>
      <c r="I131" s="16">
        <v>1.04681129999999E-2</v>
      </c>
      <c r="J131" s="16" t="s">
        <v>369</v>
      </c>
      <c r="K131" s="16" t="s">
        <v>1878</v>
      </c>
    </row>
    <row r="132" spans="1:11">
      <c r="A132" s="16">
        <v>4</v>
      </c>
      <c r="B132" s="16" t="s">
        <v>42</v>
      </c>
      <c r="C132" s="16">
        <v>1.5559515669947E-2</v>
      </c>
      <c r="D132" s="16">
        <v>4.8419600000000002E-3</v>
      </c>
      <c r="E132" s="16">
        <v>4.8419600000000002E-3</v>
      </c>
      <c r="F132" s="16">
        <v>4.8419600000000002E-3</v>
      </c>
      <c r="G132" s="16">
        <v>0</v>
      </c>
      <c r="H132" s="16">
        <v>0</v>
      </c>
      <c r="I132" s="16">
        <v>1.4525879999999901E-2</v>
      </c>
      <c r="J132" s="16" t="s">
        <v>369</v>
      </c>
      <c r="K132" s="16" t="s">
        <v>1878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1878</v>
      </c>
    </row>
    <row r="134" spans="1:11">
      <c r="A134" s="16">
        <v>0</v>
      </c>
      <c r="B134" s="16" t="s">
        <v>38</v>
      </c>
      <c r="C134" s="16">
        <v>1.015068871454E-4</v>
      </c>
      <c r="D134" s="95">
        <v>6.6748780423538394E-5</v>
      </c>
      <c r="E134" s="95">
        <v>9.6215656200719996E-5</v>
      </c>
      <c r="F134" s="95">
        <v>6.8445241372973406E-5</v>
      </c>
      <c r="G134" s="16">
        <v>2.1334965945730001E-4</v>
      </c>
      <c r="H134" s="95">
        <v>4.0500619498536002E-5</v>
      </c>
      <c r="I134" s="16">
        <v>2.0802620001784998E-3</v>
      </c>
      <c r="J134" s="16" t="s">
        <v>370</v>
      </c>
      <c r="K134" s="16" t="s">
        <v>1878</v>
      </c>
    </row>
    <row r="135" spans="1:11">
      <c r="A135" s="16">
        <v>1</v>
      </c>
      <c r="B135" s="16" t="s">
        <v>39</v>
      </c>
      <c r="C135" s="16">
        <v>2.2282897276704001E-3</v>
      </c>
      <c r="D135" s="16">
        <v>4.9095868400550002E-4</v>
      </c>
      <c r="E135" s="16">
        <v>6.5279355603770003E-3</v>
      </c>
      <c r="F135" s="16">
        <v>6.9342066672610004E-4</v>
      </c>
      <c r="G135" s="16">
        <v>1.3400471387543E-3</v>
      </c>
      <c r="H135" s="16">
        <v>2.7723416471616999E-3</v>
      </c>
      <c r="I135" s="16">
        <v>2.5188574658521002E-3</v>
      </c>
      <c r="J135" s="16" t="s">
        <v>370</v>
      </c>
      <c r="K135" s="16" t="s">
        <v>1878</v>
      </c>
    </row>
    <row r="136" spans="1:11">
      <c r="A136" s="16">
        <v>2</v>
      </c>
      <c r="B136" s="16" t="s">
        <v>40</v>
      </c>
      <c r="C136" s="16">
        <v>1.397619925979E-4</v>
      </c>
      <c r="D136" s="95">
        <v>4.34924834444919E-5</v>
      </c>
      <c r="E136" s="95">
        <v>4.34924834444919E-5</v>
      </c>
      <c r="F136" s="95">
        <v>4.34924834444919E-5</v>
      </c>
      <c r="G136" s="16">
        <v>0</v>
      </c>
      <c r="H136" s="16">
        <v>0</v>
      </c>
      <c r="I136" s="16">
        <v>1.3047745033340001E-4</v>
      </c>
      <c r="J136" s="16" t="s">
        <v>370</v>
      </c>
      <c r="K136" s="16" t="s">
        <v>1878</v>
      </c>
    </row>
    <row r="137" spans="1:11">
      <c r="A137" s="16">
        <v>3</v>
      </c>
      <c r="B137" s="16" t="s">
        <v>41</v>
      </c>
      <c r="C137" s="16">
        <v>1.12130052195306E-2</v>
      </c>
      <c r="D137" s="16">
        <v>3.4893709999999998E-3</v>
      </c>
      <c r="E137" s="16">
        <v>3.4893709999999998E-3</v>
      </c>
      <c r="F137" s="16">
        <v>3.4893709999999998E-3</v>
      </c>
      <c r="G137" s="16">
        <v>0</v>
      </c>
      <c r="H137" s="16">
        <v>0</v>
      </c>
      <c r="I137" s="16">
        <v>1.04681129999999E-2</v>
      </c>
      <c r="J137" s="16" t="s">
        <v>370</v>
      </c>
      <c r="K137" s="16" t="s">
        <v>1878</v>
      </c>
    </row>
    <row r="138" spans="1:11">
      <c r="A138" s="16">
        <v>4</v>
      </c>
      <c r="B138" s="16" t="s">
        <v>42</v>
      </c>
      <c r="C138" s="16">
        <v>1.5559515669947E-2</v>
      </c>
      <c r="D138" s="16">
        <v>4.8419600000000002E-3</v>
      </c>
      <c r="E138" s="16">
        <v>4.8419600000000002E-3</v>
      </c>
      <c r="F138" s="16">
        <v>4.8419600000000002E-3</v>
      </c>
      <c r="G138" s="16">
        <v>0</v>
      </c>
      <c r="H138" s="16">
        <v>0</v>
      </c>
      <c r="I138" s="16">
        <v>1.4525879999999901E-2</v>
      </c>
      <c r="J138" s="16" t="s">
        <v>370</v>
      </c>
      <c r="K138" s="16" t="s">
        <v>1878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1878</v>
      </c>
    </row>
    <row r="140" spans="1:11">
      <c r="A140" s="16">
        <v>0</v>
      </c>
      <c r="B140" s="16" t="s">
        <v>38</v>
      </c>
      <c r="C140" s="16">
        <v>1.015068871454E-4</v>
      </c>
      <c r="D140" s="95">
        <v>6.6748780423538394E-5</v>
      </c>
      <c r="E140" s="95">
        <v>9.6215656200719996E-5</v>
      </c>
      <c r="F140" s="95">
        <v>6.8445241372973406E-5</v>
      </c>
      <c r="G140" s="16">
        <v>2.1334965945730001E-4</v>
      </c>
      <c r="H140" s="95">
        <v>4.0500619498536002E-5</v>
      </c>
      <c r="I140" s="16">
        <v>2.0802620001784998E-3</v>
      </c>
      <c r="J140" s="16" t="s">
        <v>371</v>
      </c>
      <c r="K140" s="16" t="s">
        <v>1878</v>
      </c>
    </row>
    <row r="141" spans="1:11">
      <c r="A141" s="16">
        <v>1</v>
      </c>
      <c r="B141" s="16" t="s">
        <v>39</v>
      </c>
      <c r="C141" s="16">
        <v>2.2282897276704001E-3</v>
      </c>
      <c r="D141" s="16">
        <v>4.9095868400550002E-4</v>
      </c>
      <c r="E141" s="16">
        <v>6.5279355603770003E-3</v>
      </c>
      <c r="F141" s="16">
        <v>6.9342066672610004E-4</v>
      </c>
      <c r="G141" s="16">
        <v>1.3400471387543E-3</v>
      </c>
      <c r="H141" s="16">
        <v>2.7723416471616999E-3</v>
      </c>
      <c r="I141" s="16">
        <v>2.5188574658521002E-3</v>
      </c>
      <c r="J141" s="16" t="s">
        <v>371</v>
      </c>
      <c r="K141" s="16" t="s">
        <v>1878</v>
      </c>
    </row>
    <row r="142" spans="1:11">
      <c r="A142" s="16">
        <v>2</v>
      </c>
      <c r="B142" s="16" t="s">
        <v>40</v>
      </c>
      <c r="C142" s="16">
        <v>1.397619925979E-4</v>
      </c>
      <c r="D142" s="95">
        <v>4.34924834444919E-5</v>
      </c>
      <c r="E142" s="95">
        <v>4.34924834444919E-5</v>
      </c>
      <c r="F142" s="95">
        <v>4.34924834444919E-5</v>
      </c>
      <c r="G142" s="16">
        <v>0</v>
      </c>
      <c r="H142" s="16">
        <v>0</v>
      </c>
      <c r="I142" s="16">
        <v>1.3047745033340001E-4</v>
      </c>
      <c r="J142" s="16" t="s">
        <v>371</v>
      </c>
      <c r="K142" s="16" t="s">
        <v>1878</v>
      </c>
    </row>
    <row r="143" spans="1:11">
      <c r="A143" s="16">
        <v>3</v>
      </c>
      <c r="B143" s="16" t="s">
        <v>41</v>
      </c>
      <c r="C143" s="16">
        <v>1.12130052195306E-2</v>
      </c>
      <c r="D143" s="16">
        <v>3.4893709999999998E-3</v>
      </c>
      <c r="E143" s="16">
        <v>3.4893709999999998E-3</v>
      </c>
      <c r="F143" s="16">
        <v>3.4893709999999998E-3</v>
      </c>
      <c r="G143" s="16">
        <v>0</v>
      </c>
      <c r="H143" s="16">
        <v>0</v>
      </c>
      <c r="I143" s="16">
        <v>1.04681129999999E-2</v>
      </c>
      <c r="J143" s="16" t="s">
        <v>371</v>
      </c>
      <c r="K143" s="16" t="s">
        <v>1878</v>
      </c>
    </row>
    <row r="144" spans="1:11">
      <c r="A144" s="16">
        <v>4</v>
      </c>
      <c r="B144" s="16" t="s">
        <v>42</v>
      </c>
      <c r="C144" s="16">
        <v>1.5559515669947E-2</v>
      </c>
      <c r="D144" s="16">
        <v>4.8419600000000002E-3</v>
      </c>
      <c r="E144" s="16">
        <v>4.8419600000000002E-3</v>
      </c>
      <c r="F144" s="16">
        <v>4.8419600000000002E-3</v>
      </c>
      <c r="G144" s="16">
        <v>0</v>
      </c>
      <c r="H144" s="16">
        <v>0</v>
      </c>
      <c r="I144" s="16">
        <v>1.4525879999999901E-2</v>
      </c>
      <c r="J144" s="16" t="s">
        <v>371</v>
      </c>
      <c r="K144" s="16" t="s">
        <v>1878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1878</v>
      </c>
    </row>
    <row r="146" spans="1:11">
      <c r="A146" s="16">
        <v>0</v>
      </c>
      <c r="B146" s="16" t="s">
        <v>38</v>
      </c>
      <c r="C146" s="16">
        <v>1.015068871454E-4</v>
      </c>
      <c r="D146" s="95">
        <v>6.6748780423538394E-5</v>
      </c>
      <c r="E146" s="95">
        <v>9.6215656200719996E-5</v>
      </c>
      <c r="F146" s="95">
        <v>6.8445241372973406E-5</v>
      </c>
      <c r="G146" s="16">
        <v>2.1334965945730001E-4</v>
      </c>
      <c r="H146" s="95">
        <v>4.0500619498536002E-5</v>
      </c>
      <c r="I146" s="16">
        <v>2.0802620001784998E-3</v>
      </c>
      <c r="J146" s="16" t="s">
        <v>372</v>
      </c>
      <c r="K146" s="16" t="s">
        <v>1878</v>
      </c>
    </row>
    <row r="147" spans="1:11">
      <c r="A147" s="16">
        <v>1</v>
      </c>
      <c r="B147" s="16" t="s">
        <v>39</v>
      </c>
      <c r="C147" s="16">
        <v>2.2282897276704001E-3</v>
      </c>
      <c r="D147" s="16">
        <v>4.9095868400550002E-4</v>
      </c>
      <c r="E147" s="16">
        <v>6.5279355603770003E-3</v>
      </c>
      <c r="F147" s="16">
        <v>6.9342066672610004E-4</v>
      </c>
      <c r="G147" s="16">
        <v>1.3400471387543E-3</v>
      </c>
      <c r="H147" s="16">
        <v>2.7723416471616999E-3</v>
      </c>
      <c r="I147" s="16">
        <v>2.5188574658521002E-3</v>
      </c>
      <c r="J147" s="16" t="s">
        <v>372</v>
      </c>
      <c r="K147" s="16" t="s">
        <v>1878</v>
      </c>
    </row>
    <row r="148" spans="1:11">
      <c r="A148" s="16">
        <v>2</v>
      </c>
      <c r="B148" s="16" t="s">
        <v>40</v>
      </c>
      <c r="C148" s="16">
        <v>1.397619925979E-4</v>
      </c>
      <c r="D148" s="95">
        <v>4.34924834444919E-5</v>
      </c>
      <c r="E148" s="95">
        <v>4.34924834444919E-5</v>
      </c>
      <c r="F148" s="95">
        <v>4.34924834444919E-5</v>
      </c>
      <c r="G148" s="16">
        <v>0</v>
      </c>
      <c r="H148" s="16">
        <v>0</v>
      </c>
      <c r="I148" s="16">
        <v>1.3047745033340001E-4</v>
      </c>
      <c r="J148" s="16" t="s">
        <v>372</v>
      </c>
      <c r="K148" s="16" t="s">
        <v>1878</v>
      </c>
    </row>
    <row r="149" spans="1:11">
      <c r="A149" s="16">
        <v>3</v>
      </c>
      <c r="B149" s="16" t="s">
        <v>41</v>
      </c>
      <c r="C149" s="16">
        <v>1.12130052195306E-2</v>
      </c>
      <c r="D149" s="16">
        <v>3.4893709999999998E-3</v>
      </c>
      <c r="E149" s="16">
        <v>3.4893709999999998E-3</v>
      </c>
      <c r="F149" s="16">
        <v>3.4893709999999998E-3</v>
      </c>
      <c r="G149" s="16">
        <v>0</v>
      </c>
      <c r="H149" s="16">
        <v>0</v>
      </c>
      <c r="I149" s="16">
        <v>1.04681129999999E-2</v>
      </c>
      <c r="J149" s="16" t="s">
        <v>372</v>
      </c>
      <c r="K149" s="16" t="s">
        <v>1878</v>
      </c>
    </row>
    <row r="150" spans="1:11">
      <c r="A150" s="16">
        <v>4</v>
      </c>
      <c r="B150" s="16" t="s">
        <v>42</v>
      </c>
      <c r="C150" s="16">
        <v>1.5559515669947E-2</v>
      </c>
      <c r="D150" s="16">
        <v>4.8419600000000002E-3</v>
      </c>
      <c r="E150" s="16">
        <v>4.8419600000000002E-3</v>
      </c>
      <c r="F150" s="16">
        <v>4.8419600000000002E-3</v>
      </c>
      <c r="G150" s="16">
        <v>0</v>
      </c>
      <c r="H150" s="16">
        <v>0</v>
      </c>
      <c r="I150" s="16">
        <v>1.4525879999999901E-2</v>
      </c>
      <c r="J150" s="16" t="s">
        <v>372</v>
      </c>
      <c r="K150" s="16" t="s">
        <v>1878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1878</v>
      </c>
    </row>
    <row r="152" spans="1:11">
      <c r="A152" s="16">
        <v>0</v>
      </c>
      <c r="B152" s="16" t="s">
        <v>38</v>
      </c>
      <c r="C152" s="16">
        <v>1.015068871454E-4</v>
      </c>
      <c r="D152" s="95">
        <v>6.6748780423538394E-5</v>
      </c>
      <c r="E152" s="95">
        <v>9.6215656200719996E-5</v>
      </c>
      <c r="F152" s="95">
        <v>6.8445241372973406E-5</v>
      </c>
      <c r="G152" s="16">
        <v>2.1334965945730001E-4</v>
      </c>
      <c r="H152" s="95">
        <v>4.0500619498536002E-5</v>
      </c>
      <c r="I152" s="16">
        <v>2.0802620001784998E-3</v>
      </c>
      <c r="J152" s="16" t="s">
        <v>373</v>
      </c>
      <c r="K152" s="16" t="s">
        <v>1878</v>
      </c>
    </row>
    <row r="153" spans="1:11">
      <c r="A153" s="16">
        <v>1</v>
      </c>
      <c r="B153" s="16" t="s">
        <v>39</v>
      </c>
      <c r="C153" s="16">
        <v>2.2282897276704001E-3</v>
      </c>
      <c r="D153" s="16">
        <v>4.9095868400550002E-4</v>
      </c>
      <c r="E153" s="16">
        <v>6.5279355603770003E-3</v>
      </c>
      <c r="F153" s="16">
        <v>6.9342066672610004E-4</v>
      </c>
      <c r="G153" s="16">
        <v>1.3400471387543E-3</v>
      </c>
      <c r="H153" s="16">
        <v>2.7723416471616999E-3</v>
      </c>
      <c r="I153" s="16">
        <v>2.5188574658521002E-3</v>
      </c>
      <c r="J153" s="16" t="s">
        <v>373</v>
      </c>
      <c r="K153" s="16" t="s">
        <v>1878</v>
      </c>
    </row>
    <row r="154" spans="1:11">
      <c r="A154" s="16">
        <v>2</v>
      </c>
      <c r="B154" s="16" t="s">
        <v>40</v>
      </c>
      <c r="C154" s="16">
        <v>1.397619925979E-4</v>
      </c>
      <c r="D154" s="95">
        <v>4.34924834444919E-5</v>
      </c>
      <c r="E154" s="95">
        <v>4.34924834444919E-5</v>
      </c>
      <c r="F154" s="95">
        <v>4.34924834444919E-5</v>
      </c>
      <c r="G154" s="16">
        <v>0</v>
      </c>
      <c r="H154" s="16">
        <v>0</v>
      </c>
      <c r="I154" s="16">
        <v>1.3047745033340001E-4</v>
      </c>
      <c r="J154" s="16" t="s">
        <v>373</v>
      </c>
      <c r="K154" s="16" t="s">
        <v>1878</v>
      </c>
    </row>
    <row r="155" spans="1:11">
      <c r="A155" s="16">
        <v>3</v>
      </c>
      <c r="B155" s="16" t="s">
        <v>41</v>
      </c>
      <c r="C155" s="16">
        <v>1.12130052195306E-2</v>
      </c>
      <c r="D155" s="16">
        <v>3.4893709999999998E-3</v>
      </c>
      <c r="E155" s="16">
        <v>3.4893709999999998E-3</v>
      </c>
      <c r="F155" s="16">
        <v>3.4893709999999998E-3</v>
      </c>
      <c r="G155" s="16">
        <v>0</v>
      </c>
      <c r="H155" s="16">
        <v>0</v>
      </c>
      <c r="I155" s="16">
        <v>1.04681129999999E-2</v>
      </c>
      <c r="J155" s="16" t="s">
        <v>373</v>
      </c>
      <c r="K155" s="16" t="s">
        <v>1878</v>
      </c>
    </row>
    <row r="156" spans="1:11">
      <c r="A156" s="16">
        <v>4</v>
      </c>
      <c r="B156" s="16" t="s">
        <v>42</v>
      </c>
      <c r="C156" s="16">
        <v>1.5559515669947E-2</v>
      </c>
      <c r="D156" s="16">
        <v>4.8419600000000002E-3</v>
      </c>
      <c r="E156" s="16">
        <v>4.8419600000000002E-3</v>
      </c>
      <c r="F156" s="16">
        <v>4.8419600000000002E-3</v>
      </c>
      <c r="G156" s="16">
        <v>0</v>
      </c>
      <c r="H156" s="16">
        <v>0</v>
      </c>
      <c r="I156" s="16">
        <v>1.4525879999999901E-2</v>
      </c>
      <c r="J156" s="16" t="s">
        <v>373</v>
      </c>
      <c r="K156" s="16" t="s">
        <v>1878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1878</v>
      </c>
    </row>
    <row r="158" spans="1:11">
      <c r="A158" s="16">
        <v>0</v>
      </c>
      <c r="B158" s="16" t="s">
        <v>38</v>
      </c>
      <c r="C158" s="16">
        <v>1.015068871454E-4</v>
      </c>
      <c r="D158" s="95">
        <v>6.6748780423538394E-5</v>
      </c>
      <c r="E158" s="95">
        <v>9.6215656200719996E-5</v>
      </c>
      <c r="F158" s="95">
        <v>6.8445241372973406E-5</v>
      </c>
      <c r="G158" s="16">
        <v>2.1334965945730001E-4</v>
      </c>
      <c r="H158" s="95">
        <v>4.0500619498536002E-5</v>
      </c>
      <c r="I158" s="16">
        <v>2.0802620001784998E-3</v>
      </c>
      <c r="J158" s="16" t="s">
        <v>374</v>
      </c>
      <c r="K158" s="16" t="s">
        <v>1878</v>
      </c>
    </row>
    <row r="159" spans="1:11">
      <c r="A159" s="16">
        <v>1</v>
      </c>
      <c r="B159" s="16" t="s">
        <v>39</v>
      </c>
      <c r="C159" s="16">
        <v>2.2282897276704001E-3</v>
      </c>
      <c r="D159" s="16">
        <v>4.9095868400550002E-4</v>
      </c>
      <c r="E159" s="16">
        <v>6.5279355603770003E-3</v>
      </c>
      <c r="F159" s="16">
        <v>6.9342066672610004E-4</v>
      </c>
      <c r="G159" s="16">
        <v>1.3400471387543E-3</v>
      </c>
      <c r="H159" s="16">
        <v>2.7723416471616999E-3</v>
      </c>
      <c r="I159" s="16">
        <v>2.5188574658521002E-3</v>
      </c>
      <c r="J159" s="16" t="s">
        <v>374</v>
      </c>
      <c r="K159" s="16" t="s">
        <v>1878</v>
      </c>
    </row>
    <row r="160" spans="1:11">
      <c r="A160" s="16">
        <v>2</v>
      </c>
      <c r="B160" s="16" t="s">
        <v>40</v>
      </c>
      <c r="C160" s="16">
        <v>1.397619925979E-4</v>
      </c>
      <c r="D160" s="95">
        <v>4.34924834444919E-5</v>
      </c>
      <c r="E160" s="95">
        <v>4.34924834444919E-5</v>
      </c>
      <c r="F160" s="95">
        <v>4.34924834444919E-5</v>
      </c>
      <c r="G160" s="16">
        <v>0</v>
      </c>
      <c r="H160" s="16">
        <v>0</v>
      </c>
      <c r="I160" s="16">
        <v>1.3047745033340001E-4</v>
      </c>
      <c r="J160" s="16" t="s">
        <v>374</v>
      </c>
      <c r="K160" s="16" t="s">
        <v>1878</v>
      </c>
    </row>
    <row r="161" spans="1:11">
      <c r="A161" s="16">
        <v>3</v>
      </c>
      <c r="B161" s="16" t="s">
        <v>41</v>
      </c>
      <c r="C161" s="16">
        <v>1.12130052195306E-2</v>
      </c>
      <c r="D161" s="16">
        <v>3.4893709999999998E-3</v>
      </c>
      <c r="E161" s="16">
        <v>3.4893709999999998E-3</v>
      </c>
      <c r="F161" s="16">
        <v>3.4893709999999998E-3</v>
      </c>
      <c r="G161" s="16">
        <v>0</v>
      </c>
      <c r="H161" s="16">
        <v>0</v>
      </c>
      <c r="I161" s="16">
        <v>1.04681129999999E-2</v>
      </c>
      <c r="J161" s="16" t="s">
        <v>374</v>
      </c>
      <c r="K161" s="16" t="s">
        <v>1878</v>
      </c>
    </row>
    <row r="162" spans="1:11">
      <c r="A162" s="16">
        <v>4</v>
      </c>
      <c r="B162" s="16" t="s">
        <v>42</v>
      </c>
      <c r="C162" s="16">
        <v>1.5559515669947E-2</v>
      </c>
      <c r="D162" s="16">
        <v>4.8419600000000002E-3</v>
      </c>
      <c r="E162" s="16">
        <v>4.8419600000000002E-3</v>
      </c>
      <c r="F162" s="16">
        <v>4.8419600000000002E-3</v>
      </c>
      <c r="G162" s="16">
        <v>0</v>
      </c>
      <c r="H162" s="16">
        <v>0</v>
      </c>
      <c r="I162" s="16">
        <v>1.4525879999999901E-2</v>
      </c>
      <c r="J162" s="16" t="s">
        <v>374</v>
      </c>
      <c r="K162" s="16" t="s">
        <v>1878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1878</v>
      </c>
    </row>
    <row r="164" spans="1:11">
      <c r="A164" s="16">
        <v>0</v>
      </c>
      <c r="B164" s="16" t="s">
        <v>38</v>
      </c>
      <c r="C164" s="16">
        <v>1.015068871454E-4</v>
      </c>
      <c r="D164" s="95">
        <v>6.6748780423538394E-5</v>
      </c>
      <c r="E164" s="95">
        <v>9.6215656200719996E-5</v>
      </c>
      <c r="F164" s="95">
        <v>6.8445241372973406E-5</v>
      </c>
      <c r="G164" s="16">
        <v>2.1334965945730001E-4</v>
      </c>
      <c r="H164" s="95">
        <v>4.0500619498536002E-5</v>
      </c>
      <c r="I164" s="16">
        <v>2.0802620001784998E-3</v>
      </c>
      <c r="J164" s="16" t="s">
        <v>375</v>
      </c>
      <c r="K164" s="16" t="s">
        <v>1878</v>
      </c>
    </row>
    <row r="165" spans="1:11">
      <c r="A165" s="16">
        <v>1</v>
      </c>
      <c r="B165" s="16" t="s">
        <v>39</v>
      </c>
      <c r="C165" s="16">
        <v>2.2282897276704001E-3</v>
      </c>
      <c r="D165" s="16">
        <v>4.9095868400550002E-4</v>
      </c>
      <c r="E165" s="16">
        <v>6.5279355603770003E-3</v>
      </c>
      <c r="F165" s="16">
        <v>6.9342066672610004E-4</v>
      </c>
      <c r="G165" s="16">
        <v>1.3400471387543E-3</v>
      </c>
      <c r="H165" s="16">
        <v>2.7723416471616999E-3</v>
      </c>
      <c r="I165" s="16">
        <v>2.5188574658521002E-3</v>
      </c>
      <c r="J165" s="16" t="s">
        <v>375</v>
      </c>
      <c r="K165" s="16" t="s">
        <v>1878</v>
      </c>
    </row>
    <row r="166" spans="1:11">
      <c r="A166" s="16">
        <v>2</v>
      </c>
      <c r="B166" s="16" t="s">
        <v>40</v>
      </c>
      <c r="C166" s="16">
        <v>1.397619925979E-4</v>
      </c>
      <c r="D166" s="95">
        <v>4.34924834444919E-5</v>
      </c>
      <c r="E166" s="95">
        <v>4.34924834444919E-5</v>
      </c>
      <c r="F166" s="95">
        <v>4.34924834444919E-5</v>
      </c>
      <c r="G166" s="16">
        <v>0</v>
      </c>
      <c r="H166" s="16">
        <v>0</v>
      </c>
      <c r="I166" s="16">
        <v>1.3047745033340001E-4</v>
      </c>
      <c r="J166" s="16" t="s">
        <v>375</v>
      </c>
      <c r="K166" s="16" t="s">
        <v>1878</v>
      </c>
    </row>
    <row r="167" spans="1:11">
      <c r="A167" s="16">
        <v>3</v>
      </c>
      <c r="B167" s="16" t="s">
        <v>41</v>
      </c>
      <c r="C167" s="16">
        <v>1.12130052195306E-2</v>
      </c>
      <c r="D167" s="16">
        <v>3.4893709999999998E-3</v>
      </c>
      <c r="E167" s="16">
        <v>3.4893709999999998E-3</v>
      </c>
      <c r="F167" s="16">
        <v>3.4893709999999998E-3</v>
      </c>
      <c r="G167" s="16">
        <v>0</v>
      </c>
      <c r="H167" s="16">
        <v>0</v>
      </c>
      <c r="I167" s="16">
        <v>1.04681129999999E-2</v>
      </c>
      <c r="J167" s="16" t="s">
        <v>375</v>
      </c>
      <c r="K167" s="16" t="s">
        <v>1878</v>
      </c>
    </row>
    <row r="168" spans="1:11">
      <c r="A168" s="16">
        <v>4</v>
      </c>
      <c r="B168" s="16" t="s">
        <v>42</v>
      </c>
      <c r="C168" s="16">
        <v>1.5559515669947E-2</v>
      </c>
      <c r="D168" s="16">
        <v>4.8419600000000002E-3</v>
      </c>
      <c r="E168" s="16">
        <v>4.8419600000000002E-3</v>
      </c>
      <c r="F168" s="16">
        <v>4.8419600000000002E-3</v>
      </c>
      <c r="G168" s="16">
        <v>0</v>
      </c>
      <c r="H168" s="16">
        <v>0</v>
      </c>
      <c r="I168" s="16">
        <v>1.4525879999999901E-2</v>
      </c>
      <c r="J168" s="16" t="s">
        <v>375</v>
      </c>
      <c r="K168" s="16" t="s">
        <v>1878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1878</v>
      </c>
    </row>
    <row r="170" spans="1:11">
      <c r="A170" s="16">
        <v>0</v>
      </c>
      <c r="B170" s="16" t="s">
        <v>38</v>
      </c>
      <c r="C170" s="16">
        <v>1.015068871454E-4</v>
      </c>
      <c r="D170" s="95">
        <v>6.6748780423538394E-5</v>
      </c>
      <c r="E170" s="95">
        <v>9.6215656200719996E-5</v>
      </c>
      <c r="F170" s="95">
        <v>6.8445241372973406E-5</v>
      </c>
      <c r="G170" s="16">
        <v>2.1334965945730001E-4</v>
      </c>
      <c r="H170" s="95">
        <v>4.0500619498536002E-5</v>
      </c>
      <c r="I170" s="16">
        <v>2.0802620001784998E-3</v>
      </c>
      <c r="J170" s="16" t="s">
        <v>376</v>
      </c>
      <c r="K170" s="16" t="s">
        <v>1878</v>
      </c>
    </row>
    <row r="171" spans="1:11">
      <c r="A171" s="16">
        <v>1</v>
      </c>
      <c r="B171" s="16" t="s">
        <v>39</v>
      </c>
      <c r="C171" s="16">
        <v>2.2282897276704001E-3</v>
      </c>
      <c r="D171" s="16">
        <v>4.9095868400550002E-4</v>
      </c>
      <c r="E171" s="16">
        <v>6.5279355603770003E-3</v>
      </c>
      <c r="F171" s="16">
        <v>6.9342066672610004E-4</v>
      </c>
      <c r="G171" s="16">
        <v>1.3400471387543E-3</v>
      </c>
      <c r="H171" s="16">
        <v>2.7723416471616999E-3</v>
      </c>
      <c r="I171" s="16">
        <v>2.5188574658521002E-3</v>
      </c>
      <c r="J171" s="16" t="s">
        <v>376</v>
      </c>
      <c r="K171" s="16" t="s">
        <v>1878</v>
      </c>
    </row>
    <row r="172" spans="1:11">
      <c r="A172" s="16">
        <v>2</v>
      </c>
      <c r="B172" s="16" t="s">
        <v>40</v>
      </c>
      <c r="C172" s="16">
        <v>1.397619925979E-4</v>
      </c>
      <c r="D172" s="95">
        <v>4.34924834444919E-5</v>
      </c>
      <c r="E172" s="95">
        <v>4.34924834444919E-5</v>
      </c>
      <c r="F172" s="95">
        <v>4.34924834444919E-5</v>
      </c>
      <c r="G172" s="16">
        <v>0</v>
      </c>
      <c r="H172" s="16">
        <v>0</v>
      </c>
      <c r="I172" s="16">
        <v>1.3047745033340001E-4</v>
      </c>
      <c r="J172" s="16" t="s">
        <v>376</v>
      </c>
      <c r="K172" s="16" t="s">
        <v>1878</v>
      </c>
    </row>
    <row r="173" spans="1:11">
      <c r="A173" s="16">
        <v>3</v>
      </c>
      <c r="B173" s="16" t="s">
        <v>41</v>
      </c>
      <c r="C173" s="16">
        <v>1.12130052195306E-2</v>
      </c>
      <c r="D173" s="16">
        <v>3.4893709999999998E-3</v>
      </c>
      <c r="E173" s="16">
        <v>3.4893709999999998E-3</v>
      </c>
      <c r="F173" s="16">
        <v>3.4893709999999998E-3</v>
      </c>
      <c r="G173" s="16">
        <v>0</v>
      </c>
      <c r="H173" s="16">
        <v>0</v>
      </c>
      <c r="I173" s="16">
        <v>1.04681129999999E-2</v>
      </c>
      <c r="J173" s="16" t="s">
        <v>376</v>
      </c>
      <c r="K173" s="16" t="s">
        <v>1878</v>
      </c>
    </row>
    <row r="174" spans="1:11">
      <c r="A174" s="16">
        <v>4</v>
      </c>
      <c r="B174" s="16" t="s">
        <v>42</v>
      </c>
      <c r="C174" s="16">
        <v>1.5559515669947E-2</v>
      </c>
      <c r="D174" s="16">
        <v>4.8419600000000002E-3</v>
      </c>
      <c r="E174" s="16">
        <v>4.8419600000000002E-3</v>
      </c>
      <c r="F174" s="16">
        <v>4.8419600000000002E-3</v>
      </c>
      <c r="G174" s="16">
        <v>0</v>
      </c>
      <c r="H174" s="16">
        <v>0</v>
      </c>
      <c r="I174" s="16">
        <v>1.4525879999999901E-2</v>
      </c>
      <c r="J174" s="16" t="s">
        <v>376</v>
      </c>
      <c r="K174" s="16" t="s">
        <v>1878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1878</v>
      </c>
    </row>
    <row r="176" spans="1:11">
      <c r="A176" s="16">
        <v>0</v>
      </c>
      <c r="B176" s="16" t="s">
        <v>38</v>
      </c>
      <c r="C176" s="16">
        <v>1.015068871454E-4</v>
      </c>
      <c r="D176" s="95">
        <v>6.6748780423538394E-5</v>
      </c>
      <c r="E176" s="95">
        <v>9.6215656200719996E-5</v>
      </c>
      <c r="F176" s="95">
        <v>6.8445241372973406E-5</v>
      </c>
      <c r="G176" s="16">
        <v>2.1334965945730001E-4</v>
      </c>
      <c r="H176" s="95">
        <v>4.0500619498536002E-5</v>
      </c>
      <c r="I176" s="16">
        <v>2.0802620001784998E-3</v>
      </c>
      <c r="J176" s="16" t="s">
        <v>377</v>
      </c>
      <c r="K176" s="16" t="s">
        <v>1878</v>
      </c>
    </row>
    <row r="177" spans="1:11">
      <c r="A177" s="16">
        <v>1</v>
      </c>
      <c r="B177" s="16" t="s">
        <v>39</v>
      </c>
      <c r="C177" s="16">
        <v>2.2282897276704001E-3</v>
      </c>
      <c r="D177" s="16">
        <v>4.9095868400550002E-4</v>
      </c>
      <c r="E177" s="16">
        <v>6.5279355603770003E-3</v>
      </c>
      <c r="F177" s="16">
        <v>6.9342066672610004E-4</v>
      </c>
      <c r="G177" s="16">
        <v>1.3400471387543E-3</v>
      </c>
      <c r="H177" s="16">
        <v>2.7723416471616999E-3</v>
      </c>
      <c r="I177" s="16">
        <v>2.5188574658521002E-3</v>
      </c>
      <c r="J177" s="16" t="s">
        <v>377</v>
      </c>
      <c r="K177" s="16" t="s">
        <v>1878</v>
      </c>
    </row>
    <row r="178" spans="1:11">
      <c r="A178" s="16">
        <v>2</v>
      </c>
      <c r="B178" s="16" t="s">
        <v>40</v>
      </c>
      <c r="C178" s="16">
        <v>1.397619925979E-4</v>
      </c>
      <c r="D178" s="95">
        <v>4.34924834444919E-5</v>
      </c>
      <c r="E178" s="95">
        <v>4.34924834444919E-5</v>
      </c>
      <c r="F178" s="95">
        <v>4.34924834444919E-5</v>
      </c>
      <c r="G178" s="16">
        <v>0</v>
      </c>
      <c r="H178" s="16">
        <v>0</v>
      </c>
      <c r="I178" s="16">
        <v>1.3047745033340001E-4</v>
      </c>
      <c r="J178" s="16" t="s">
        <v>377</v>
      </c>
      <c r="K178" s="16" t="s">
        <v>1878</v>
      </c>
    </row>
    <row r="179" spans="1:11">
      <c r="A179" s="16">
        <v>3</v>
      </c>
      <c r="B179" s="16" t="s">
        <v>41</v>
      </c>
      <c r="C179" s="16">
        <v>1.12130052195306E-2</v>
      </c>
      <c r="D179" s="16">
        <v>3.4893709999999998E-3</v>
      </c>
      <c r="E179" s="16">
        <v>3.4893709999999998E-3</v>
      </c>
      <c r="F179" s="16">
        <v>3.4893709999999998E-3</v>
      </c>
      <c r="G179" s="16">
        <v>0</v>
      </c>
      <c r="H179" s="16">
        <v>0</v>
      </c>
      <c r="I179" s="16">
        <v>1.04681129999999E-2</v>
      </c>
      <c r="J179" s="16" t="s">
        <v>377</v>
      </c>
      <c r="K179" s="16" t="s">
        <v>1878</v>
      </c>
    </row>
    <row r="180" spans="1:11">
      <c r="A180" s="16">
        <v>4</v>
      </c>
      <c r="B180" s="16" t="s">
        <v>42</v>
      </c>
      <c r="C180" s="16">
        <v>1.5559515669947E-2</v>
      </c>
      <c r="D180" s="16">
        <v>4.8419600000000002E-3</v>
      </c>
      <c r="E180" s="16">
        <v>4.8419600000000002E-3</v>
      </c>
      <c r="F180" s="16">
        <v>4.8419600000000002E-3</v>
      </c>
      <c r="G180" s="16">
        <v>0</v>
      </c>
      <c r="H180" s="16">
        <v>0</v>
      </c>
      <c r="I180" s="16">
        <v>1.4525879999999901E-2</v>
      </c>
      <c r="J180" s="16" t="s">
        <v>377</v>
      </c>
      <c r="K180" s="16" t="s">
        <v>1878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1878</v>
      </c>
    </row>
    <row r="182" spans="1:11">
      <c r="A182" s="16">
        <v>0</v>
      </c>
      <c r="B182" s="16" t="s">
        <v>38</v>
      </c>
      <c r="C182" s="16">
        <v>1.015068871454E-4</v>
      </c>
      <c r="D182" s="95">
        <v>6.6748780423538394E-5</v>
      </c>
      <c r="E182" s="95">
        <v>9.6215656200719996E-5</v>
      </c>
      <c r="F182" s="95">
        <v>6.8445241372973406E-5</v>
      </c>
      <c r="G182" s="16">
        <v>2.1334965945730001E-4</v>
      </c>
      <c r="H182" s="95">
        <v>4.0500619498536002E-5</v>
      </c>
      <c r="I182" s="16">
        <v>2.0802620001784998E-3</v>
      </c>
      <c r="J182" s="16" t="s">
        <v>378</v>
      </c>
      <c r="K182" s="16" t="s">
        <v>1878</v>
      </c>
    </row>
    <row r="183" spans="1:11">
      <c r="A183" s="16">
        <v>1</v>
      </c>
      <c r="B183" s="16" t="s">
        <v>39</v>
      </c>
      <c r="C183" s="16">
        <v>2.2282897276704001E-3</v>
      </c>
      <c r="D183" s="16">
        <v>4.9095868400550002E-4</v>
      </c>
      <c r="E183" s="16">
        <v>6.5279355603770003E-3</v>
      </c>
      <c r="F183" s="16">
        <v>6.9342066672610004E-4</v>
      </c>
      <c r="G183" s="16">
        <v>1.3400471387543E-3</v>
      </c>
      <c r="H183" s="16">
        <v>2.7723416471616999E-3</v>
      </c>
      <c r="I183" s="16">
        <v>2.5188574658521002E-3</v>
      </c>
      <c r="J183" s="16" t="s">
        <v>378</v>
      </c>
      <c r="K183" s="16" t="s">
        <v>1878</v>
      </c>
    </row>
    <row r="184" spans="1:11">
      <c r="A184" s="16">
        <v>2</v>
      </c>
      <c r="B184" s="16" t="s">
        <v>40</v>
      </c>
      <c r="C184" s="16">
        <v>1.397619925979E-4</v>
      </c>
      <c r="D184" s="95">
        <v>4.34924834444919E-5</v>
      </c>
      <c r="E184" s="95">
        <v>4.34924834444919E-5</v>
      </c>
      <c r="F184" s="95">
        <v>4.34924834444919E-5</v>
      </c>
      <c r="G184" s="16">
        <v>0</v>
      </c>
      <c r="H184" s="16">
        <v>0</v>
      </c>
      <c r="I184" s="16">
        <v>1.3047745033340001E-4</v>
      </c>
      <c r="J184" s="16" t="s">
        <v>378</v>
      </c>
      <c r="K184" s="16" t="s">
        <v>1878</v>
      </c>
    </row>
    <row r="185" spans="1:11">
      <c r="A185" s="16">
        <v>3</v>
      </c>
      <c r="B185" s="16" t="s">
        <v>41</v>
      </c>
      <c r="C185" s="16">
        <v>1.12130052195306E-2</v>
      </c>
      <c r="D185" s="16">
        <v>3.4893709999999998E-3</v>
      </c>
      <c r="E185" s="16">
        <v>3.4893709999999998E-3</v>
      </c>
      <c r="F185" s="16">
        <v>3.4893709999999998E-3</v>
      </c>
      <c r="G185" s="16">
        <v>0</v>
      </c>
      <c r="H185" s="16">
        <v>0</v>
      </c>
      <c r="I185" s="16">
        <v>1.04681129999999E-2</v>
      </c>
      <c r="J185" s="16" t="s">
        <v>378</v>
      </c>
      <c r="K185" s="16" t="s">
        <v>1878</v>
      </c>
    </row>
    <row r="186" spans="1:11">
      <c r="A186" s="16">
        <v>4</v>
      </c>
      <c r="B186" s="16" t="s">
        <v>42</v>
      </c>
      <c r="C186" s="16">
        <v>1.5559515669947E-2</v>
      </c>
      <c r="D186" s="16">
        <v>4.8419600000000002E-3</v>
      </c>
      <c r="E186" s="16">
        <v>4.8419600000000002E-3</v>
      </c>
      <c r="F186" s="16">
        <v>4.8419600000000002E-3</v>
      </c>
      <c r="G186" s="16">
        <v>0</v>
      </c>
      <c r="H186" s="16">
        <v>0</v>
      </c>
      <c r="I186" s="16">
        <v>1.4525879999999901E-2</v>
      </c>
      <c r="J186" s="16" t="s">
        <v>378</v>
      </c>
      <c r="K186" s="16" t="s">
        <v>1878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1878</v>
      </c>
    </row>
    <row r="188" spans="1:11">
      <c r="A188" s="16">
        <v>0</v>
      </c>
      <c r="B188" s="16" t="s">
        <v>38</v>
      </c>
      <c r="C188" s="16">
        <v>1.015068871454E-4</v>
      </c>
      <c r="D188" s="95">
        <v>6.6748780423538394E-5</v>
      </c>
      <c r="E188" s="95">
        <v>9.6215656200719996E-5</v>
      </c>
      <c r="F188" s="95">
        <v>6.8445241372973406E-5</v>
      </c>
      <c r="G188" s="16">
        <v>2.1334965945730001E-4</v>
      </c>
      <c r="H188" s="95">
        <v>4.0500619498536002E-5</v>
      </c>
      <c r="I188" s="16">
        <v>2.0802620001784998E-3</v>
      </c>
      <c r="J188" s="16" t="s">
        <v>379</v>
      </c>
      <c r="K188" s="16" t="s">
        <v>1878</v>
      </c>
    </row>
    <row r="189" spans="1:11">
      <c r="A189" s="16">
        <v>1</v>
      </c>
      <c r="B189" s="16" t="s">
        <v>39</v>
      </c>
      <c r="C189" s="16">
        <v>2.2282897276704001E-3</v>
      </c>
      <c r="D189" s="16">
        <v>4.9095868400550002E-4</v>
      </c>
      <c r="E189" s="16">
        <v>6.5279355603770003E-3</v>
      </c>
      <c r="F189" s="16">
        <v>6.9342066672610004E-4</v>
      </c>
      <c r="G189" s="16">
        <v>1.3400471387543E-3</v>
      </c>
      <c r="H189" s="16">
        <v>2.7723416471616999E-3</v>
      </c>
      <c r="I189" s="16">
        <v>2.5188574658521002E-3</v>
      </c>
      <c r="J189" s="16" t="s">
        <v>379</v>
      </c>
      <c r="K189" s="16" t="s">
        <v>1878</v>
      </c>
    </row>
    <row r="190" spans="1:11">
      <c r="A190" s="16">
        <v>2</v>
      </c>
      <c r="B190" s="16" t="s">
        <v>40</v>
      </c>
      <c r="C190" s="16">
        <v>1.397619925979E-4</v>
      </c>
      <c r="D190" s="95">
        <v>4.34924834444919E-5</v>
      </c>
      <c r="E190" s="95">
        <v>4.34924834444919E-5</v>
      </c>
      <c r="F190" s="95">
        <v>4.34924834444919E-5</v>
      </c>
      <c r="G190" s="16">
        <v>0</v>
      </c>
      <c r="H190" s="16">
        <v>0</v>
      </c>
      <c r="I190" s="16">
        <v>1.3047745033340001E-4</v>
      </c>
      <c r="J190" s="16" t="s">
        <v>379</v>
      </c>
      <c r="K190" s="16" t="s">
        <v>1878</v>
      </c>
    </row>
    <row r="191" spans="1:11">
      <c r="A191" s="16">
        <v>3</v>
      </c>
      <c r="B191" s="16" t="s">
        <v>41</v>
      </c>
      <c r="C191" s="16">
        <v>1.12130052195306E-2</v>
      </c>
      <c r="D191" s="16">
        <v>3.4893709999999998E-3</v>
      </c>
      <c r="E191" s="16">
        <v>3.4893709999999998E-3</v>
      </c>
      <c r="F191" s="16">
        <v>3.4893709999999998E-3</v>
      </c>
      <c r="G191" s="16">
        <v>0</v>
      </c>
      <c r="H191" s="16">
        <v>0</v>
      </c>
      <c r="I191" s="16">
        <v>1.04681129999999E-2</v>
      </c>
      <c r="J191" s="16" t="s">
        <v>379</v>
      </c>
      <c r="K191" s="16" t="s">
        <v>1878</v>
      </c>
    </row>
    <row r="192" spans="1:11">
      <c r="A192" s="16">
        <v>4</v>
      </c>
      <c r="B192" s="16" t="s">
        <v>42</v>
      </c>
      <c r="C192" s="16">
        <v>1.5559515669947E-2</v>
      </c>
      <c r="D192" s="16">
        <v>4.8419600000000002E-3</v>
      </c>
      <c r="E192" s="16">
        <v>4.8419600000000002E-3</v>
      </c>
      <c r="F192" s="16">
        <v>4.8419600000000002E-3</v>
      </c>
      <c r="G192" s="16">
        <v>0</v>
      </c>
      <c r="H192" s="16">
        <v>0</v>
      </c>
      <c r="I192" s="16">
        <v>1.4525879999999901E-2</v>
      </c>
      <c r="J192" s="16" t="s">
        <v>379</v>
      </c>
      <c r="K192" s="16" t="s">
        <v>1878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1878</v>
      </c>
    </row>
    <row r="194" spans="1:11">
      <c r="A194" s="16">
        <v>0</v>
      </c>
      <c r="B194" s="16" t="s">
        <v>38</v>
      </c>
      <c r="C194" s="16">
        <v>1.015068871454E-4</v>
      </c>
      <c r="D194" s="95">
        <v>6.6748780423538394E-5</v>
      </c>
      <c r="E194" s="95">
        <v>9.6215656200719996E-5</v>
      </c>
      <c r="F194" s="95">
        <v>6.8445241372973406E-5</v>
      </c>
      <c r="G194" s="16">
        <v>2.1334965945730001E-4</v>
      </c>
      <c r="H194" s="95">
        <v>4.0500619498536002E-5</v>
      </c>
      <c r="I194" s="16">
        <v>2.0802620001784998E-3</v>
      </c>
      <c r="J194" s="16" t="s">
        <v>380</v>
      </c>
      <c r="K194" s="16" t="s">
        <v>1878</v>
      </c>
    </row>
    <row r="195" spans="1:11">
      <c r="A195" s="16">
        <v>1</v>
      </c>
      <c r="B195" s="16" t="s">
        <v>39</v>
      </c>
      <c r="C195" s="16">
        <v>2.2282897276704001E-3</v>
      </c>
      <c r="D195" s="16">
        <v>4.9095868400550002E-4</v>
      </c>
      <c r="E195" s="16">
        <v>6.5279355603770003E-3</v>
      </c>
      <c r="F195" s="16">
        <v>6.9342066672610004E-4</v>
      </c>
      <c r="G195" s="16">
        <v>1.3400471387543E-3</v>
      </c>
      <c r="H195" s="16">
        <v>2.7723416471616999E-3</v>
      </c>
      <c r="I195" s="16">
        <v>2.5188574658521002E-3</v>
      </c>
      <c r="J195" s="16" t="s">
        <v>380</v>
      </c>
      <c r="K195" s="16" t="s">
        <v>1878</v>
      </c>
    </row>
    <row r="196" spans="1:11">
      <c r="A196" s="16">
        <v>2</v>
      </c>
      <c r="B196" s="16" t="s">
        <v>40</v>
      </c>
      <c r="C196" s="16">
        <v>1.397619925979E-4</v>
      </c>
      <c r="D196" s="95">
        <v>4.34924834444919E-5</v>
      </c>
      <c r="E196" s="95">
        <v>4.34924834444919E-5</v>
      </c>
      <c r="F196" s="95">
        <v>4.34924834444919E-5</v>
      </c>
      <c r="G196" s="16">
        <v>0</v>
      </c>
      <c r="H196" s="16">
        <v>0</v>
      </c>
      <c r="I196" s="16">
        <v>1.3047745033340001E-4</v>
      </c>
      <c r="J196" s="16" t="s">
        <v>380</v>
      </c>
      <c r="K196" s="16" t="s">
        <v>1878</v>
      </c>
    </row>
    <row r="197" spans="1:11">
      <c r="A197" s="16">
        <v>3</v>
      </c>
      <c r="B197" s="16" t="s">
        <v>41</v>
      </c>
      <c r="C197" s="16">
        <v>1.12130052195306E-2</v>
      </c>
      <c r="D197" s="16">
        <v>3.4893709999999998E-3</v>
      </c>
      <c r="E197" s="16">
        <v>3.4893709999999998E-3</v>
      </c>
      <c r="F197" s="16">
        <v>3.4893709999999998E-3</v>
      </c>
      <c r="G197" s="16">
        <v>0</v>
      </c>
      <c r="H197" s="16">
        <v>0</v>
      </c>
      <c r="I197" s="16">
        <v>1.04681129999999E-2</v>
      </c>
      <c r="J197" s="16" t="s">
        <v>380</v>
      </c>
      <c r="K197" s="16" t="s">
        <v>1878</v>
      </c>
    </row>
    <row r="198" spans="1:11">
      <c r="A198" s="16">
        <v>4</v>
      </c>
      <c r="B198" s="16" t="s">
        <v>42</v>
      </c>
      <c r="C198" s="16">
        <v>1.5559515669947E-2</v>
      </c>
      <c r="D198" s="16">
        <v>4.8419600000000002E-3</v>
      </c>
      <c r="E198" s="16">
        <v>4.8419600000000002E-3</v>
      </c>
      <c r="F198" s="16">
        <v>4.8419600000000002E-3</v>
      </c>
      <c r="G198" s="16">
        <v>0</v>
      </c>
      <c r="H198" s="16">
        <v>0</v>
      </c>
      <c r="I198" s="16">
        <v>1.4525879999999901E-2</v>
      </c>
      <c r="J198" s="16" t="s">
        <v>380</v>
      </c>
      <c r="K198" s="16" t="s">
        <v>1878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1878</v>
      </c>
    </row>
    <row r="200" spans="1:11">
      <c r="A200" s="16">
        <v>0</v>
      </c>
      <c r="B200" s="16" t="s">
        <v>38</v>
      </c>
      <c r="C200" s="16">
        <v>1.015068871454E-4</v>
      </c>
      <c r="D200" s="95">
        <v>6.6748780423538394E-5</v>
      </c>
      <c r="E200" s="95">
        <v>9.6215656200719996E-5</v>
      </c>
      <c r="F200" s="95">
        <v>6.8445241372973406E-5</v>
      </c>
      <c r="G200" s="16">
        <v>2.1334965945730001E-4</v>
      </c>
      <c r="H200" s="95">
        <v>4.0500619498536002E-5</v>
      </c>
      <c r="I200" s="16">
        <v>2.0802620001784998E-3</v>
      </c>
      <c r="J200" s="16" t="s">
        <v>381</v>
      </c>
      <c r="K200" s="16" t="s">
        <v>1878</v>
      </c>
    </row>
    <row r="201" spans="1:11">
      <c r="A201" s="16">
        <v>1</v>
      </c>
      <c r="B201" s="16" t="s">
        <v>39</v>
      </c>
      <c r="C201" s="16">
        <v>2.2282897276704001E-3</v>
      </c>
      <c r="D201" s="16">
        <v>4.9095868400550002E-4</v>
      </c>
      <c r="E201" s="16">
        <v>6.5279355603770003E-3</v>
      </c>
      <c r="F201" s="16">
        <v>6.9342066672610004E-4</v>
      </c>
      <c r="G201" s="16">
        <v>1.3400471387543E-3</v>
      </c>
      <c r="H201" s="16">
        <v>2.7723416471616999E-3</v>
      </c>
      <c r="I201" s="16">
        <v>2.5188574658521002E-3</v>
      </c>
      <c r="J201" s="16" t="s">
        <v>381</v>
      </c>
      <c r="K201" s="16" t="s">
        <v>1878</v>
      </c>
    </row>
    <row r="202" spans="1:11">
      <c r="A202" s="16">
        <v>2</v>
      </c>
      <c r="B202" s="16" t="s">
        <v>40</v>
      </c>
      <c r="C202" s="16">
        <v>1.397619925979E-4</v>
      </c>
      <c r="D202" s="95">
        <v>4.34924834444919E-5</v>
      </c>
      <c r="E202" s="95">
        <v>4.34924834444919E-5</v>
      </c>
      <c r="F202" s="95">
        <v>4.34924834444919E-5</v>
      </c>
      <c r="G202" s="16">
        <v>0</v>
      </c>
      <c r="H202" s="16">
        <v>0</v>
      </c>
      <c r="I202" s="16">
        <v>1.3047745033340001E-4</v>
      </c>
      <c r="J202" s="16" t="s">
        <v>381</v>
      </c>
      <c r="K202" s="16" t="s">
        <v>1878</v>
      </c>
    </row>
    <row r="203" spans="1:11">
      <c r="A203" s="16">
        <v>3</v>
      </c>
      <c r="B203" s="16" t="s">
        <v>41</v>
      </c>
      <c r="C203" s="16">
        <v>1.12130052195306E-2</v>
      </c>
      <c r="D203" s="16">
        <v>3.4893709999999998E-3</v>
      </c>
      <c r="E203" s="16">
        <v>3.4893709999999998E-3</v>
      </c>
      <c r="F203" s="16">
        <v>3.4893709999999998E-3</v>
      </c>
      <c r="G203" s="16">
        <v>0</v>
      </c>
      <c r="H203" s="16">
        <v>0</v>
      </c>
      <c r="I203" s="16">
        <v>1.04681129999999E-2</v>
      </c>
      <c r="J203" s="16" t="s">
        <v>381</v>
      </c>
      <c r="K203" s="16" t="s">
        <v>1878</v>
      </c>
    </row>
    <row r="204" spans="1:11">
      <c r="A204" s="16">
        <v>4</v>
      </c>
      <c r="B204" s="16" t="s">
        <v>42</v>
      </c>
      <c r="C204" s="16">
        <v>1.5559515669947E-2</v>
      </c>
      <c r="D204" s="16">
        <v>4.8419600000000002E-3</v>
      </c>
      <c r="E204" s="16">
        <v>4.8419600000000002E-3</v>
      </c>
      <c r="F204" s="16">
        <v>4.8419600000000002E-3</v>
      </c>
      <c r="G204" s="16">
        <v>0</v>
      </c>
      <c r="H204" s="16">
        <v>0</v>
      </c>
      <c r="I204" s="16">
        <v>1.4525879999999901E-2</v>
      </c>
      <c r="J204" s="16" t="s">
        <v>381</v>
      </c>
      <c r="K204" s="16" t="s">
        <v>1878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1878</v>
      </c>
    </row>
    <row r="206" spans="1:11">
      <c r="A206" s="16">
        <v>0</v>
      </c>
      <c r="B206" s="16" t="s">
        <v>38</v>
      </c>
      <c r="C206" s="16">
        <v>1.015068871454E-4</v>
      </c>
      <c r="D206" s="95">
        <v>6.6748780423538394E-5</v>
      </c>
      <c r="E206" s="95">
        <v>9.6215656200719996E-5</v>
      </c>
      <c r="F206" s="95">
        <v>6.8445241372973406E-5</v>
      </c>
      <c r="G206" s="16">
        <v>2.1334965945730001E-4</v>
      </c>
      <c r="H206" s="95">
        <v>4.0500619498536002E-5</v>
      </c>
      <c r="I206" s="16">
        <v>2.0802620001784998E-3</v>
      </c>
      <c r="J206" s="16" t="s">
        <v>382</v>
      </c>
      <c r="K206" s="16" t="s">
        <v>1878</v>
      </c>
    </row>
    <row r="207" spans="1:11">
      <c r="A207" s="16">
        <v>1</v>
      </c>
      <c r="B207" s="16" t="s">
        <v>39</v>
      </c>
      <c r="C207" s="16">
        <v>2.2282897276704001E-3</v>
      </c>
      <c r="D207" s="16">
        <v>4.9095868400550002E-4</v>
      </c>
      <c r="E207" s="16">
        <v>6.5279355603770003E-3</v>
      </c>
      <c r="F207" s="16">
        <v>6.9342066672610004E-4</v>
      </c>
      <c r="G207" s="16">
        <v>1.3400471387543E-3</v>
      </c>
      <c r="H207" s="16">
        <v>2.7723416471616999E-3</v>
      </c>
      <c r="I207" s="16">
        <v>2.5188574658521002E-3</v>
      </c>
      <c r="J207" s="16" t="s">
        <v>382</v>
      </c>
      <c r="K207" s="16" t="s">
        <v>1878</v>
      </c>
    </row>
    <row r="208" spans="1:11">
      <c r="A208" s="16">
        <v>2</v>
      </c>
      <c r="B208" s="16" t="s">
        <v>40</v>
      </c>
      <c r="C208" s="16">
        <v>1.397619925979E-4</v>
      </c>
      <c r="D208" s="95">
        <v>4.34924834444919E-5</v>
      </c>
      <c r="E208" s="95">
        <v>4.34924834444919E-5</v>
      </c>
      <c r="F208" s="95">
        <v>4.34924834444919E-5</v>
      </c>
      <c r="G208" s="16">
        <v>0</v>
      </c>
      <c r="H208" s="16">
        <v>0</v>
      </c>
      <c r="I208" s="16">
        <v>1.3047745033340001E-4</v>
      </c>
      <c r="J208" s="16" t="s">
        <v>382</v>
      </c>
      <c r="K208" s="16" t="s">
        <v>1878</v>
      </c>
    </row>
    <row r="209" spans="1:11">
      <c r="A209" s="16">
        <v>3</v>
      </c>
      <c r="B209" s="16" t="s">
        <v>41</v>
      </c>
      <c r="C209" s="16">
        <v>1.12130052195306E-2</v>
      </c>
      <c r="D209" s="16">
        <v>3.4893709999999998E-3</v>
      </c>
      <c r="E209" s="16">
        <v>3.4893709999999998E-3</v>
      </c>
      <c r="F209" s="16">
        <v>3.4893709999999998E-3</v>
      </c>
      <c r="G209" s="16">
        <v>0</v>
      </c>
      <c r="H209" s="16">
        <v>0</v>
      </c>
      <c r="I209" s="16">
        <v>1.04681129999999E-2</v>
      </c>
      <c r="J209" s="16" t="s">
        <v>382</v>
      </c>
      <c r="K209" s="16" t="s">
        <v>1878</v>
      </c>
    </row>
    <row r="210" spans="1:11">
      <c r="A210" s="16">
        <v>4</v>
      </c>
      <c r="B210" s="16" t="s">
        <v>42</v>
      </c>
      <c r="C210" s="16">
        <v>1.5559515669947E-2</v>
      </c>
      <c r="D210" s="16">
        <v>4.8419600000000002E-3</v>
      </c>
      <c r="E210" s="16">
        <v>4.8419600000000002E-3</v>
      </c>
      <c r="F210" s="16">
        <v>4.8419600000000002E-3</v>
      </c>
      <c r="G210" s="16">
        <v>0</v>
      </c>
      <c r="H210" s="16">
        <v>0</v>
      </c>
      <c r="I210" s="16">
        <v>1.4525879999999901E-2</v>
      </c>
      <c r="J210" s="16" t="s">
        <v>382</v>
      </c>
      <c r="K210" s="16" t="s">
        <v>1878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1878</v>
      </c>
    </row>
    <row r="212" spans="1:11">
      <c r="A212" s="16">
        <v>0</v>
      </c>
      <c r="B212" s="16" t="s">
        <v>38</v>
      </c>
      <c r="C212" s="16">
        <v>1.015068871454E-4</v>
      </c>
      <c r="D212" s="95">
        <v>6.6748780423538394E-5</v>
      </c>
      <c r="E212" s="95">
        <v>9.6215656200719996E-5</v>
      </c>
      <c r="F212" s="95">
        <v>6.8445241372973406E-5</v>
      </c>
      <c r="G212" s="16">
        <v>2.1334965945730001E-4</v>
      </c>
      <c r="H212" s="95">
        <v>4.0500619498536002E-5</v>
      </c>
      <c r="I212" s="16">
        <v>2.0802620001784998E-3</v>
      </c>
      <c r="J212" s="16" t="s">
        <v>383</v>
      </c>
      <c r="K212" s="16" t="s">
        <v>1878</v>
      </c>
    </row>
    <row r="213" spans="1:11">
      <c r="A213" s="16">
        <v>1</v>
      </c>
      <c r="B213" s="16" t="s">
        <v>39</v>
      </c>
      <c r="C213" s="16">
        <v>2.2282897276704001E-3</v>
      </c>
      <c r="D213" s="16">
        <v>4.9095868400550002E-4</v>
      </c>
      <c r="E213" s="16">
        <v>6.5279355603770003E-3</v>
      </c>
      <c r="F213" s="16">
        <v>6.9342066672610004E-4</v>
      </c>
      <c r="G213" s="16">
        <v>1.3400471387543E-3</v>
      </c>
      <c r="H213" s="16">
        <v>2.7723416471616999E-3</v>
      </c>
      <c r="I213" s="16">
        <v>2.5188574658521002E-3</v>
      </c>
      <c r="J213" s="16" t="s">
        <v>383</v>
      </c>
      <c r="K213" s="16" t="s">
        <v>1878</v>
      </c>
    </row>
    <row r="214" spans="1:11">
      <c r="A214" s="16">
        <v>2</v>
      </c>
      <c r="B214" s="16" t="s">
        <v>40</v>
      </c>
      <c r="C214" s="16">
        <v>1.397619925979E-4</v>
      </c>
      <c r="D214" s="95">
        <v>4.34924834444919E-5</v>
      </c>
      <c r="E214" s="95">
        <v>4.34924834444919E-5</v>
      </c>
      <c r="F214" s="95">
        <v>4.34924834444919E-5</v>
      </c>
      <c r="G214" s="16">
        <v>0</v>
      </c>
      <c r="H214" s="16">
        <v>0</v>
      </c>
      <c r="I214" s="16">
        <v>1.3047745033340001E-4</v>
      </c>
      <c r="J214" s="16" t="s">
        <v>383</v>
      </c>
      <c r="K214" s="16" t="s">
        <v>1878</v>
      </c>
    </row>
    <row r="215" spans="1:11">
      <c r="A215" s="16">
        <v>3</v>
      </c>
      <c r="B215" s="16" t="s">
        <v>41</v>
      </c>
      <c r="C215" s="16">
        <v>1.12130052195306E-2</v>
      </c>
      <c r="D215" s="16">
        <v>3.4893709999999998E-3</v>
      </c>
      <c r="E215" s="16">
        <v>3.4893709999999998E-3</v>
      </c>
      <c r="F215" s="16">
        <v>3.4893709999999998E-3</v>
      </c>
      <c r="G215" s="16">
        <v>0</v>
      </c>
      <c r="H215" s="16">
        <v>0</v>
      </c>
      <c r="I215" s="16">
        <v>1.04681129999999E-2</v>
      </c>
      <c r="J215" s="16" t="s">
        <v>383</v>
      </c>
      <c r="K215" s="16" t="s">
        <v>1878</v>
      </c>
    </row>
    <row r="216" spans="1:11">
      <c r="A216" s="16">
        <v>4</v>
      </c>
      <c r="B216" s="16" t="s">
        <v>42</v>
      </c>
      <c r="C216" s="16">
        <v>1.5559515669947E-2</v>
      </c>
      <c r="D216" s="16">
        <v>4.8419600000000002E-3</v>
      </c>
      <c r="E216" s="16">
        <v>4.8419600000000002E-3</v>
      </c>
      <c r="F216" s="16">
        <v>4.8419600000000002E-3</v>
      </c>
      <c r="G216" s="16">
        <v>0</v>
      </c>
      <c r="H216" s="16">
        <v>0</v>
      </c>
      <c r="I216" s="16">
        <v>1.4525879999999901E-2</v>
      </c>
      <c r="J216" s="16" t="s">
        <v>383</v>
      </c>
      <c r="K216" s="16" t="s">
        <v>1878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1878</v>
      </c>
    </row>
    <row r="218" spans="1:11">
      <c r="A218" s="16">
        <v>0</v>
      </c>
      <c r="B218" s="16" t="s">
        <v>38</v>
      </c>
      <c r="C218" s="16">
        <v>1.015068871454E-4</v>
      </c>
      <c r="D218" s="95">
        <v>6.6748780423538394E-5</v>
      </c>
      <c r="E218" s="95">
        <v>9.6215656200719996E-5</v>
      </c>
      <c r="F218" s="95">
        <v>6.8445241372973406E-5</v>
      </c>
      <c r="G218" s="16">
        <v>2.1334965945730001E-4</v>
      </c>
      <c r="H218" s="95">
        <v>4.0500619498536002E-5</v>
      </c>
      <c r="I218" s="16">
        <v>2.0802620001784998E-3</v>
      </c>
      <c r="J218" s="16" t="s">
        <v>384</v>
      </c>
      <c r="K218" s="16" t="s">
        <v>1878</v>
      </c>
    </row>
    <row r="219" spans="1:11">
      <c r="A219" s="16">
        <v>1</v>
      </c>
      <c r="B219" s="16" t="s">
        <v>39</v>
      </c>
      <c r="C219" s="16">
        <v>2.2282897276704001E-3</v>
      </c>
      <c r="D219" s="16">
        <v>4.9095868400550002E-4</v>
      </c>
      <c r="E219" s="16">
        <v>6.5279355603770003E-3</v>
      </c>
      <c r="F219" s="16">
        <v>6.9342066672610004E-4</v>
      </c>
      <c r="G219" s="16">
        <v>1.3400471387543E-3</v>
      </c>
      <c r="H219" s="16">
        <v>2.7723416471616999E-3</v>
      </c>
      <c r="I219" s="16">
        <v>2.5188574658521002E-3</v>
      </c>
      <c r="J219" s="16" t="s">
        <v>384</v>
      </c>
      <c r="K219" s="16" t="s">
        <v>1878</v>
      </c>
    </row>
    <row r="220" spans="1:11">
      <c r="A220" s="16">
        <v>2</v>
      </c>
      <c r="B220" s="16" t="s">
        <v>40</v>
      </c>
      <c r="C220" s="16">
        <v>1.397619925979E-4</v>
      </c>
      <c r="D220" s="95">
        <v>4.34924834444919E-5</v>
      </c>
      <c r="E220" s="95">
        <v>4.34924834444919E-5</v>
      </c>
      <c r="F220" s="95">
        <v>4.34924834444919E-5</v>
      </c>
      <c r="G220" s="16">
        <v>0</v>
      </c>
      <c r="H220" s="16">
        <v>0</v>
      </c>
      <c r="I220" s="16">
        <v>1.3047745033340001E-4</v>
      </c>
      <c r="J220" s="16" t="s">
        <v>384</v>
      </c>
      <c r="K220" s="16" t="s">
        <v>1878</v>
      </c>
    </row>
    <row r="221" spans="1:11">
      <c r="A221" s="16">
        <v>3</v>
      </c>
      <c r="B221" s="16" t="s">
        <v>41</v>
      </c>
      <c r="C221" s="16">
        <v>1.12130052195306E-2</v>
      </c>
      <c r="D221" s="16">
        <v>3.4893709999999998E-3</v>
      </c>
      <c r="E221" s="16">
        <v>3.4893709999999998E-3</v>
      </c>
      <c r="F221" s="16">
        <v>3.4893709999999998E-3</v>
      </c>
      <c r="G221" s="16">
        <v>0</v>
      </c>
      <c r="H221" s="16">
        <v>0</v>
      </c>
      <c r="I221" s="16">
        <v>1.04681129999999E-2</v>
      </c>
      <c r="J221" s="16" t="s">
        <v>384</v>
      </c>
      <c r="K221" s="16" t="s">
        <v>1878</v>
      </c>
    </row>
    <row r="222" spans="1:11">
      <c r="A222" s="16">
        <v>4</v>
      </c>
      <c r="B222" s="16" t="s">
        <v>42</v>
      </c>
      <c r="C222" s="16">
        <v>1.5559515669947E-2</v>
      </c>
      <c r="D222" s="16">
        <v>4.8419600000000002E-3</v>
      </c>
      <c r="E222" s="16">
        <v>4.8419600000000002E-3</v>
      </c>
      <c r="F222" s="16">
        <v>4.8419600000000002E-3</v>
      </c>
      <c r="G222" s="16">
        <v>0</v>
      </c>
      <c r="H222" s="16">
        <v>0</v>
      </c>
      <c r="I222" s="16">
        <v>1.4525879999999901E-2</v>
      </c>
      <c r="J222" s="16" t="s">
        <v>384</v>
      </c>
      <c r="K222" s="16" t="s">
        <v>1878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1878</v>
      </c>
    </row>
    <row r="224" spans="1:11">
      <c r="A224" s="16">
        <v>0</v>
      </c>
      <c r="B224" s="16" t="s">
        <v>38</v>
      </c>
      <c r="C224" s="16">
        <v>1.015068871454E-4</v>
      </c>
      <c r="D224" s="95">
        <v>6.6748780423538394E-5</v>
      </c>
      <c r="E224" s="95">
        <v>9.6215656200719996E-5</v>
      </c>
      <c r="F224" s="95">
        <v>6.8445241372973406E-5</v>
      </c>
      <c r="G224" s="16">
        <v>2.1334965945730001E-4</v>
      </c>
      <c r="H224" s="95">
        <v>4.0500619498536002E-5</v>
      </c>
      <c r="I224" s="16">
        <v>2.0802620001784998E-3</v>
      </c>
      <c r="J224" s="16" t="s">
        <v>385</v>
      </c>
      <c r="K224" s="16" t="s">
        <v>1878</v>
      </c>
    </row>
    <row r="225" spans="1:11">
      <c r="A225" s="16">
        <v>1</v>
      </c>
      <c r="B225" s="16" t="s">
        <v>39</v>
      </c>
      <c r="C225" s="16">
        <v>2.2282897276704001E-3</v>
      </c>
      <c r="D225" s="16">
        <v>4.9095868400550002E-4</v>
      </c>
      <c r="E225" s="16">
        <v>6.5279355603770003E-3</v>
      </c>
      <c r="F225" s="16">
        <v>6.9342066672610004E-4</v>
      </c>
      <c r="G225" s="16">
        <v>1.3400471387543E-3</v>
      </c>
      <c r="H225" s="16">
        <v>2.7723416471616999E-3</v>
      </c>
      <c r="I225" s="16">
        <v>2.5188574658521002E-3</v>
      </c>
      <c r="J225" s="16" t="s">
        <v>385</v>
      </c>
      <c r="K225" s="16" t="s">
        <v>1878</v>
      </c>
    </row>
    <row r="226" spans="1:11">
      <c r="A226" s="16">
        <v>2</v>
      </c>
      <c r="B226" s="16" t="s">
        <v>40</v>
      </c>
      <c r="C226" s="16">
        <v>1.397619925979E-4</v>
      </c>
      <c r="D226" s="95">
        <v>4.34924834444919E-5</v>
      </c>
      <c r="E226" s="95">
        <v>4.34924834444919E-5</v>
      </c>
      <c r="F226" s="95">
        <v>4.34924834444919E-5</v>
      </c>
      <c r="G226" s="16">
        <v>0</v>
      </c>
      <c r="H226" s="16">
        <v>0</v>
      </c>
      <c r="I226" s="16">
        <v>1.3047745033340001E-4</v>
      </c>
      <c r="J226" s="16" t="s">
        <v>385</v>
      </c>
      <c r="K226" s="16" t="s">
        <v>1878</v>
      </c>
    </row>
    <row r="227" spans="1:11">
      <c r="A227" s="16">
        <v>3</v>
      </c>
      <c r="B227" s="16" t="s">
        <v>41</v>
      </c>
      <c r="C227" s="16">
        <v>1.12130052195306E-2</v>
      </c>
      <c r="D227" s="16">
        <v>3.4893709999999998E-3</v>
      </c>
      <c r="E227" s="16">
        <v>3.4893709999999998E-3</v>
      </c>
      <c r="F227" s="16">
        <v>3.4893709999999998E-3</v>
      </c>
      <c r="G227" s="16">
        <v>0</v>
      </c>
      <c r="H227" s="16">
        <v>0</v>
      </c>
      <c r="I227" s="16">
        <v>1.04681129999999E-2</v>
      </c>
      <c r="J227" s="16" t="s">
        <v>385</v>
      </c>
      <c r="K227" s="16" t="s">
        <v>1878</v>
      </c>
    </row>
    <row r="228" spans="1:11">
      <c r="A228" s="16">
        <v>4</v>
      </c>
      <c r="B228" s="16" t="s">
        <v>42</v>
      </c>
      <c r="C228" s="16">
        <v>1.5559515669947E-2</v>
      </c>
      <c r="D228" s="16">
        <v>4.8419600000000002E-3</v>
      </c>
      <c r="E228" s="16">
        <v>4.8419600000000002E-3</v>
      </c>
      <c r="F228" s="16">
        <v>4.8419600000000002E-3</v>
      </c>
      <c r="G228" s="16">
        <v>0</v>
      </c>
      <c r="H228" s="16">
        <v>0</v>
      </c>
      <c r="I228" s="16">
        <v>1.4525879999999901E-2</v>
      </c>
      <c r="J228" s="16" t="s">
        <v>385</v>
      </c>
      <c r="K228" s="16" t="s">
        <v>1878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1878</v>
      </c>
    </row>
    <row r="230" spans="1:11">
      <c r="A230" s="16">
        <v>0</v>
      </c>
      <c r="B230" s="16" t="s">
        <v>38</v>
      </c>
      <c r="C230" s="16">
        <v>1.015068871454E-4</v>
      </c>
      <c r="D230" s="95">
        <v>6.6748780423538394E-5</v>
      </c>
      <c r="E230" s="95">
        <v>9.6215656200719996E-5</v>
      </c>
      <c r="F230" s="95">
        <v>6.8445241372973406E-5</v>
      </c>
      <c r="G230" s="16">
        <v>2.1334965945730001E-4</v>
      </c>
      <c r="H230" s="95">
        <v>4.0500619498536002E-5</v>
      </c>
      <c r="I230" s="16">
        <v>2.0802620001784998E-3</v>
      </c>
      <c r="J230" s="16" t="s">
        <v>386</v>
      </c>
      <c r="K230" s="16" t="s">
        <v>1878</v>
      </c>
    </row>
    <row r="231" spans="1:11">
      <c r="A231" s="16">
        <v>1</v>
      </c>
      <c r="B231" s="16" t="s">
        <v>39</v>
      </c>
      <c r="C231" s="16">
        <v>2.2282897276704001E-3</v>
      </c>
      <c r="D231" s="16">
        <v>4.9095868400550002E-4</v>
      </c>
      <c r="E231" s="16">
        <v>6.5279355603770003E-3</v>
      </c>
      <c r="F231" s="16">
        <v>6.9342066672610004E-4</v>
      </c>
      <c r="G231" s="16">
        <v>1.3400471387543E-3</v>
      </c>
      <c r="H231" s="16">
        <v>2.7723416471616999E-3</v>
      </c>
      <c r="I231" s="16">
        <v>2.5188574658521002E-3</v>
      </c>
      <c r="J231" s="16" t="s">
        <v>386</v>
      </c>
      <c r="K231" s="16" t="s">
        <v>1878</v>
      </c>
    </row>
    <row r="232" spans="1:11">
      <c r="A232" s="16">
        <v>2</v>
      </c>
      <c r="B232" s="16" t="s">
        <v>40</v>
      </c>
      <c r="C232" s="16">
        <v>1.397619925979E-4</v>
      </c>
      <c r="D232" s="95">
        <v>4.34924834444919E-5</v>
      </c>
      <c r="E232" s="95">
        <v>4.34924834444919E-5</v>
      </c>
      <c r="F232" s="95">
        <v>4.34924834444919E-5</v>
      </c>
      <c r="G232" s="16">
        <v>0</v>
      </c>
      <c r="H232" s="16">
        <v>0</v>
      </c>
      <c r="I232" s="16">
        <v>1.3047745033340001E-4</v>
      </c>
      <c r="J232" s="16" t="s">
        <v>386</v>
      </c>
      <c r="K232" s="16" t="s">
        <v>1878</v>
      </c>
    </row>
    <row r="233" spans="1:11">
      <c r="A233" s="16">
        <v>3</v>
      </c>
      <c r="B233" s="16" t="s">
        <v>41</v>
      </c>
      <c r="C233" s="16">
        <v>1.12130052195306E-2</v>
      </c>
      <c r="D233" s="16">
        <v>3.4893709999999998E-3</v>
      </c>
      <c r="E233" s="16">
        <v>3.4893709999999998E-3</v>
      </c>
      <c r="F233" s="16">
        <v>3.4893709999999998E-3</v>
      </c>
      <c r="G233" s="16">
        <v>0</v>
      </c>
      <c r="H233" s="16">
        <v>0</v>
      </c>
      <c r="I233" s="16">
        <v>1.04681129999999E-2</v>
      </c>
      <c r="J233" s="16" t="s">
        <v>386</v>
      </c>
      <c r="K233" s="16" t="s">
        <v>1878</v>
      </c>
    </row>
    <row r="234" spans="1:11">
      <c r="A234" s="16">
        <v>4</v>
      </c>
      <c r="B234" s="16" t="s">
        <v>42</v>
      </c>
      <c r="C234" s="16">
        <v>1.5559515669947E-2</v>
      </c>
      <c r="D234" s="16">
        <v>4.8419600000000002E-3</v>
      </c>
      <c r="E234" s="16">
        <v>4.8419600000000002E-3</v>
      </c>
      <c r="F234" s="16">
        <v>4.8419600000000002E-3</v>
      </c>
      <c r="G234" s="16">
        <v>0</v>
      </c>
      <c r="H234" s="16">
        <v>0</v>
      </c>
      <c r="I234" s="16">
        <v>1.4525879999999901E-2</v>
      </c>
      <c r="J234" s="16" t="s">
        <v>386</v>
      </c>
      <c r="K234" s="16" t="s">
        <v>1878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1878</v>
      </c>
    </row>
    <row r="236" spans="1:11">
      <c r="A236" s="16">
        <v>0</v>
      </c>
      <c r="B236" s="16" t="s">
        <v>38</v>
      </c>
      <c r="C236" s="16">
        <v>1.015068871454E-4</v>
      </c>
      <c r="D236" s="95">
        <v>6.6748780423538394E-5</v>
      </c>
      <c r="E236" s="95">
        <v>9.6215656200719996E-5</v>
      </c>
      <c r="F236" s="95">
        <v>6.8445241372973406E-5</v>
      </c>
      <c r="G236" s="16">
        <v>2.1334965945730001E-4</v>
      </c>
      <c r="H236" s="95">
        <v>4.0500619498536002E-5</v>
      </c>
      <c r="I236" s="16">
        <v>2.0802620001784998E-3</v>
      </c>
      <c r="J236" s="16" t="s">
        <v>387</v>
      </c>
      <c r="K236" s="16" t="s">
        <v>1878</v>
      </c>
    </row>
    <row r="237" spans="1:11">
      <c r="A237" s="16">
        <v>1</v>
      </c>
      <c r="B237" s="16" t="s">
        <v>39</v>
      </c>
      <c r="C237" s="16">
        <v>2.2282897276704001E-3</v>
      </c>
      <c r="D237" s="16">
        <v>4.9095868400550002E-4</v>
      </c>
      <c r="E237" s="16">
        <v>6.5279355603770003E-3</v>
      </c>
      <c r="F237" s="16">
        <v>6.9342066672610004E-4</v>
      </c>
      <c r="G237" s="16">
        <v>1.3400471387543E-3</v>
      </c>
      <c r="H237" s="16">
        <v>2.7723416471616999E-3</v>
      </c>
      <c r="I237" s="16">
        <v>2.5188574658521002E-3</v>
      </c>
      <c r="J237" s="16" t="s">
        <v>387</v>
      </c>
      <c r="K237" s="16" t="s">
        <v>1878</v>
      </c>
    </row>
    <row r="238" spans="1:11">
      <c r="A238" s="16">
        <v>2</v>
      </c>
      <c r="B238" s="16" t="s">
        <v>40</v>
      </c>
      <c r="C238" s="16">
        <v>1.397619925979E-4</v>
      </c>
      <c r="D238" s="95">
        <v>4.34924834444919E-5</v>
      </c>
      <c r="E238" s="95">
        <v>4.34924834444919E-5</v>
      </c>
      <c r="F238" s="95">
        <v>4.34924834444919E-5</v>
      </c>
      <c r="G238" s="16">
        <v>0</v>
      </c>
      <c r="H238" s="16">
        <v>0</v>
      </c>
      <c r="I238" s="16">
        <v>1.3047745033340001E-4</v>
      </c>
      <c r="J238" s="16" t="s">
        <v>387</v>
      </c>
      <c r="K238" s="16" t="s">
        <v>1878</v>
      </c>
    </row>
    <row r="239" spans="1:11">
      <c r="A239" s="16">
        <v>3</v>
      </c>
      <c r="B239" s="16" t="s">
        <v>41</v>
      </c>
      <c r="C239" s="16">
        <v>1.12130052195306E-2</v>
      </c>
      <c r="D239" s="16">
        <v>3.4893709999999998E-3</v>
      </c>
      <c r="E239" s="16">
        <v>3.4893709999999998E-3</v>
      </c>
      <c r="F239" s="16">
        <v>3.4893709999999998E-3</v>
      </c>
      <c r="G239" s="16">
        <v>0</v>
      </c>
      <c r="H239" s="16">
        <v>0</v>
      </c>
      <c r="I239" s="16">
        <v>1.04681129999999E-2</v>
      </c>
      <c r="J239" s="16" t="s">
        <v>387</v>
      </c>
      <c r="K239" s="16" t="s">
        <v>1878</v>
      </c>
    </row>
    <row r="240" spans="1:11">
      <c r="A240" s="16">
        <v>4</v>
      </c>
      <c r="B240" s="16" t="s">
        <v>42</v>
      </c>
      <c r="C240" s="16">
        <v>1.5559515669947E-2</v>
      </c>
      <c r="D240" s="16">
        <v>4.8419600000000002E-3</v>
      </c>
      <c r="E240" s="16">
        <v>4.8419600000000002E-3</v>
      </c>
      <c r="F240" s="16">
        <v>4.8419600000000002E-3</v>
      </c>
      <c r="G240" s="16">
        <v>0</v>
      </c>
      <c r="H240" s="16">
        <v>0</v>
      </c>
      <c r="I240" s="16">
        <v>1.4525879999999901E-2</v>
      </c>
      <c r="J240" s="16" t="s">
        <v>387</v>
      </c>
      <c r="K240" s="16" t="s">
        <v>1878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1878</v>
      </c>
    </row>
    <row r="242" spans="1:11">
      <c r="A242" s="16">
        <v>0</v>
      </c>
      <c r="B242" s="16" t="s">
        <v>38</v>
      </c>
      <c r="C242" s="16">
        <v>1.015068871454E-4</v>
      </c>
      <c r="D242" s="95">
        <v>6.6748780423538394E-5</v>
      </c>
      <c r="E242" s="95">
        <v>9.6215656200719996E-5</v>
      </c>
      <c r="F242" s="95">
        <v>6.8445241372973406E-5</v>
      </c>
      <c r="G242" s="16">
        <v>2.1334965945730001E-4</v>
      </c>
      <c r="H242" s="95">
        <v>4.0500619498536002E-5</v>
      </c>
      <c r="I242" s="16">
        <v>2.0802620001784998E-3</v>
      </c>
      <c r="J242" s="16" t="s">
        <v>388</v>
      </c>
      <c r="K242" s="16" t="s">
        <v>1878</v>
      </c>
    </row>
    <row r="243" spans="1:11">
      <c r="A243" s="16">
        <v>1</v>
      </c>
      <c r="B243" s="16" t="s">
        <v>39</v>
      </c>
      <c r="C243" s="16">
        <v>2.2282897276704001E-3</v>
      </c>
      <c r="D243" s="16">
        <v>4.9095868400550002E-4</v>
      </c>
      <c r="E243" s="16">
        <v>6.5279355603770003E-3</v>
      </c>
      <c r="F243" s="16">
        <v>6.9342066672610004E-4</v>
      </c>
      <c r="G243" s="16">
        <v>1.3400471387543E-3</v>
      </c>
      <c r="H243" s="16">
        <v>2.7723416471616999E-3</v>
      </c>
      <c r="I243" s="16">
        <v>2.5188574658521002E-3</v>
      </c>
      <c r="J243" s="16" t="s">
        <v>388</v>
      </c>
      <c r="K243" s="16" t="s">
        <v>1878</v>
      </c>
    </row>
    <row r="244" spans="1:11">
      <c r="A244" s="16">
        <v>2</v>
      </c>
      <c r="B244" s="16" t="s">
        <v>40</v>
      </c>
      <c r="C244" s="16">
        <v>1.397619925979E-4</v>
      </c>
      <c r="D244" s="95">
        <v>4.34924834444919E-5</v>
      </c>
      <c r="E244" s="95">
        <v>4.34924834444919E-5</v>
      </c>
      <c r="F244" s="95">
        <v>4.34924834444919E-5</v>
      </c>
      <c r="G244" s="16">
        <v>0</v>
      </c>
      <c r="H244" s="16">
        <v>0</v>
      </c>
      <c r="I244" s="16">
        <v>1.3047745033340001E-4</v>
      </c>
      <c r="J244" s="16" t="s">
        <v>388</v>
      </c>
      <c r="K244" s="16" t="s">
        <v>1878</v>
      </c>
    </row>
    <row r="245" spans="1:11">
      <c r="A245" s="16">
        <v>3</v>
      </c>
      <c r="B245" s="16" t="s">
        <v>41</v>
      </c>
      <c r="C245" s="16">
        <v>1.12130052195306E-2</v>
      </c>
      <c r="D245" s="16">
        <v>3.4893709999999998E-3</v>
      </c>
      <c r="E245" s="16">
        <v>3.4893709999999998E-3</v>
      </c>
      <c r="F245" s="16">
        <v>3.4893709999999998E-3</v>
      </c>
      <c r="G245" s="16">
        <v>0</v>
      </c>
      <c r="H245" s="16">
        <v>0</v>
      </c>
      <c r="I245" s="16">
        <v>1.04681129999999E-2</v>
      </c>
      <c r="J245" s="16" t="s">
        <v>388</v>
      </c>
      <c r="K245" s="16" t="s">
        <v>1878</v>
      </c>
    </row>
    <row r="246" spans="1:11">
      <c r="A246" s="16">
        <v>4</v>
      </c>
      <c r="B246" s="16" t="s">
        <v>42</v>
      </c>
      <c r="C246" s="16">
        <v>1.5559515669947E-2</v>
      </c>
      <c r="D246" s="16">
        <v>4.8419600000000002E-3</v>
      </c>
      <c r="E246" s="16">
        <v>4.8419600000000002E-3</v>
      </c>
      <c r="F246" s="16">
        <v>4.8419600000000002E-3</v>
      </c>
      <c r="G246" s="16">
        <v>0</v>
      </c>
      <c r="H246" s="16">
        <v>0</v>
      </c>
      <c r="I246" s="16">
        <v>1.4525879999999901E-2</v>
      </c>
      <c r="J246" s="16" t="s">
        <v>388</v>
      </c>
      <c r="K246" s="16" t="s">
        <v>1878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1878</v>
      </c>
    </row>
    <row r="248" spans="1:11">
      <c r="A248" s="16">
        <v>0</v>
      </c>
      <c r="B248" s="16" t="s">
        <v>38</v>
      </c>
      <c r="C248" s="16">
        <v>1.015068871454E-4</v>
      </c>
      <c r="D248" s="95">
        <v>6.6748780423538394E-5</v>
      </c>
      <c r="E248" s="95">
        <v>9.6215656200719996E-5</v>
      </c>
      <c r="F248" s="95">
        <v>6.8445241372973406E-5</v>
      </c>
      <c r="G248" s="16">
        <v>2.1334965945730001E-4</v>
      </c>
      <c r="H248" s="95">
        <v>4.0500619498536002E-5</v>
      </c>
      <c r="I248" s="16">
        <v>2.0802620001784998E-3</v>
      </c>
      <c r="J248" s="16" t="s">
        <v>389</v>
      </c>
      <c r="K248" s="16" t="s">
        <v>1878</v>
      </c>
    </row>
    <row r="249" spans="1:11">
      <c r="A249" s="16">
        <v>1</v>
      </c>
      <c r="B249" s="16" t="s">
        <v>39</v>
      </c>
      <c r="C249" s="16">
        <v>2.2282897276704001E-3</v>
      </c>
      <c r="D249" s="16">
        <v>4.9095868400550002E-4</v>
      </c>
      <c r="E249" s="16">
        <v>6.5279355603770003E-3</v>
      </c>
      <c r="F249" s="16">
        <v>6.9342066672610004E-4</v>
      </c>
      <c r="G249" s="16">
        <v>1.3400471387543E-3</v>
      </c>
      <c r="H249" s="16">
        <v>2.7723416471616999E-3</v>
      </c>
      <c r="I249" s="16">
        <v>2.5188574658521002E-3</v>
      </c>
      <c r="J249" s="16" t="s">
        <v>389</v>
      </c>
      <c r="K249" s="16" t="s">
        <v>1878</v>
      </c>
    </row>
    <row r="250" spans="1:11">
      <c r="A250" s="16">
        <v>2</v>
      </c>
      <c r="B250" s="16" t="s">
        <v>40</v>
      </c>
      <c r="C250" s="16">
        <v>1.397619925979E-4</v>
      </c>
      <c r="D250" s="95">
        <v>4.34924834444919E-5</v>
      </c>
      <c r="E250" s="95">
        <v>4.34924834444919E-5</v>
      </c>
      <c r="F250" s="95">
        <v>4.34924834444919E-5</v>
      </c>
      <c r="G250" s="16">
        <v>0</v>
      </c>
      <c r="H250" s="16">
        <v>0</v>
      </c>
      <c r="I250" s="16">
        <v>1.3047745033340001E-4</v>
      </c>
      <c r="J250" s="16" t="s">
        <v>389</v>
      </c>
      <c r="K250" s="16" t="s">
        <v>1878</v>
      </c>
    </row>
    <row r="251" spans="1:11">
      <c r="A251" s="16">
        <v>3</v>
      </c>
      <c r="B251" s="16" t="s">
        <v>41</v>
      </c>
      <c r="C251" s="16">
        <v>1.12130052195306E-2</v>
      </c>
      <c r="D251" s="16">
        <v>3.4893709999999998E-3</v>
      </c>
      <c r="E251" s="16">
        <v>3.4893709999999998E-3</v>
      </c>
      <c r="F251" s="16">
        <v>3.4893709999999998E-3</v>
      </c>
      <c r="G251" s="16">
        <v>0</v>
      </c>
      <c r="H251" s="16">
        <v>0</v>
      </c>
      <c r="I251" s="16">
        <v>1.04681129999999E-2</v>
      </c>
      <c r="J251" s="16" t="s">
        <v>389</v>
      </c>
      <c r="K251" s="16" t="s">
        <v>1878</v>
      </c>
    </row>
    <row r="252" spans="1:11">
      <c r="A252" s="16">
        <v>4</v>
      </c>
      <c r="B252" s="16" t="s">
        <v>42</v>
      </c>
      <c r="C252" s="16">
        <v>1.5559515669947E-2</v>
      </c>
      <c r="D252" s="16">
        <v>4.8419600000000002E-3</v>
      </c>
      <c r="E252" s="16">
        <v>4.8419600000000002E-3</v>
      </c>
      <c r="F252" s="16">
        <v>4.8419600000000002E-3</v>
      </c>
      <c r="G252" s="16">
        <v>0</v>
      </c>
      <c r="H252" s="16">
        <v>0</v>
      </c>
      <c r="I252" s="16">
        <v>1.4525879999999901E-2</v>
      </c>
      <c r="J252" s="16" t="s">
        <v>389</v>
      </c>
      <c r="K252" s="16" t="s">
        <v>1878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1878</v>
      </c>
    </row>
    <row r="254" spans="1:11">
      <c r="A254" s="16">
        <v>0</v>
      </c>
      <c r="B254" s="16" t="s">
        <v>38</v>
      </c>
      <c r="C254" s="16">
        <v>1.015068871454E-4</v>
      </c>
      <c r="D254" s="95">
        <v>6.6748780423538394E-5</v>
      </c>
      <c r="E254" s="95">
        <v>9.6215656200719996E-5</v>
      </c>
      <c r="F254" s="95">
        <v>6.8445241372973406E-5</v>
      </c>
      <c r="G254" s="16">
        <v>2.1334965945730001E-4</v>
      </c>
      <c r="H254" s="95">
        <v>4.0500619498536002E-5</v>
      </c>
      <c r="I254" s="16">
        <v>2.0802620001784998E-3</v>
      </c>
      <c r="J254" s="16" t="s">
        <v>390</v>
      </c>
      <c r="K254" s="16" t="s">
        <v>1878</v>
      </c>
    </row>
    <row r="255" spans="1:11">
      <c r="A255" s="16">
        <v>1</v>
      </c>
      <c r="B255" s="16" t="s">
        <v>39</v>
      </c>
      <c r="C255" s="16">
        <v>2.2282897276704001E-3</v>
      </c>
      <c r="D255" s="16">
        <v>4.9095868400550002E-4</v>
      </c>
      <c r="E255" s="16">
        <v>6.5279355603770003E-3</v>
      </c>
      <c r="F255" s="16">
        <v>6.9342066672610004E-4</v>
      </c>
      <c r="G255" s="16">
        <v>1.3400471387543E-3</v>
      </c>
      <c r="H255" s="16">
        <v>2.7723416471616999E-3</v>
      </c>
      <c r="I255" s="16">
        <v>2.5188574658521002E-3</v>
      </c>
      <c r="J255" s="16" t="s">
        <v>390</v>
      </c>
      <c r="K255" s="16" t="s">
        <v>1878</v>
      </c>
    </row>
    <row r="256" spans="1:11">
      <c r="A256" s="16">
        <v>2</v>
      </c>
      <c r="B256" s="16" t="s">
        <v>40</v>
      </c>
      <c r="C256" s="16">
        <v>1.397619925979E-4</v>
      </c>
      <c r="D256" s="95">
        <v>4.34924834444919E-5</v>
      </c>
      <c r="E256" s="95">
        <v>4.34924834444919E-5</v>
      </c>
      <c r="F256" s="95">
        <v>4.34924834444919E-5</v>
      </c>
      <c r="G256" s="16">
        <v>0</v>
      </c>
      <c r="H256" s="16">
        <v>0</v>
      </c>
      <c r="I256" s="16">
        <v>1.3047745033340001E-4</v>
      </c>
      <c r="J256" s="16" t="s">
        <v>390</v>
      </c>
      <c r="K256" s="16" t="s">
        <v>1878</v>
      </c>
    </row>
    <row r="257" spans="1:11">
      <c r="A257" s="16">
        <v>3</v>
      </c>
      <c r="B257" s="16" t="s">
        <v>41</v>
      </c>
      <c r="C257" s="16">
        <v>1.12130052195306E-2</v>
      </c>
      <c r="D257" s="16">
        <v>3.4893709999999998E-3</v>
      </c>
      <c r="E257" s="16">
        <v>3.4893709999999998E-3</v>
      </c>
      <c r="F257" s="16">
        <v>3.4893709999999998E-3</v>
      </c>
      <c r="G257" s="16">
        <v>0</v>
      </c>
      <c r="H257" s="16">
        <v>0</v>
      </c>
      <c r="I257" s="16">
        <v>1.04681129999999E-2</v>
      </c>
      <c r="J257" s="16" t="s">
        <v>390</v>
      </c>
      <c r="K257" s="16" t="s">
        <v>1878</v>
      </c>
    </row>
    <row r="258" spans="1:11">
      <c r="A258" s="16">
        <v>4</v>
      </c>
      <c r="B258" s="16" t="s">
        <v>42</v>
      </c>
      <c r="C258" s="16">
        <v>1.5559515669947E-2</v>
      </c>
      <c r="D258" s="16">
        <v>4.8419600000000002E-3</v>
      </c>
      <c r="E258" s="16">
        <v>4.8419600000000002E-3</v>
      </c>
      <c r="F258" s="16">
        <v>4.8419600000000002E-3</v>
      </c>
      <c r="G258" s="16">
        <v>0</v>
      </c>
      <c r="H258" s="16">
        <v>0</v>
      </c>
      <c r="I258" s="16">
        <v>1.4525879999999901E-2</v>
      </c>
      <c r="J258" s="16" t="s">
        <v>390</v>
      </c>
      <c r="K258" s="16" t="s">
        <v>1878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1878</v>
      </c>
    </row>
    <row r="260" spans="1:11">
      <c r="A260" s="16">
        <v>0</v>
      </c>
      <c r="B260" s="16" t="s">
        <v>38</v>
      </c>
      <c r="C260" s="16">
        <v>1.015068871454E-4</v>
      </c>
      <c r="D260" s="95">
        <v>6.6748780423538394E-5</v>
      </c>
      <c r="E260" s="95">
        <v>9.6215656200719996E-5</v>
      </c>
      <c r="F260" s="95">
        <v>6.8445241372973406E-5</v>
      </c>
      <c r="G260" s="16">
        <v>2.1334965945730001E-4</v>
      </c>
      <c r="H260" s="95">
        <v>4.0500619498536002E-5</v>
      </c>
      <c r="I260" s="16">
        <v>2.0802620001784998E-3</v>
      </c>
      <c r="J260" s="16" t="s">
        <v>395</v>
      </c>
      <c r="K260" s="16" t="s">
        <v>1878</v>
      </c>
    </row>
    <row r="261" spans="1:11">
      <c r="A261" s="16">
        <v>1</v>
      </c>
      <c r="B261" s="16" t="s">
        <v>39</v>
      </c>
      <c r="C261" s="16">
        <v>2.2282897276704001E-3</v>
      </c>
      <c r="D261" s="16">
        <v>4.9095868400550002E-4</v>
      </c>
      <c r="E261" s="16">
        <v>6.5279355603770003E-3</v>
      </c>
      <c r="F261" s="16">
        <v>6.9342066672610004E-4</v>
      </c>
      <c r="G261" s="16">
        <v>1.3400471387543E-3</v>
      </c>
      <c r="H261" s="16">
        <v>2.7723416471616999E-3</v>
      </c>
      <c r="I261" s="16">
        <v>2.5188574658521002E-3</v>
      </c>
      <c r="J261" s="16" t="s">
        <v>395</v>
      </c>
      <c r="K261" s="16" t="s">
        <v>1878</v>
      </c>
    </row>
    <row r="262" spans="1:11">
      <c r="A262" s="16">
        <v>2</v>
      </c>
      <c r="B262" s="16" t="s">
        <v>40</v>
      </c>
      <c r="C262" s="16">
        <v>1.397619925979E-4</v>
      </c>
      <c r="D262" s="95">
        <v>4.34924834444919E-5</v>
      </c>
      <c r="E262" s="95">
        <v>4.34924834444919E-5</v>
      </c>
      <c r="F262" s="95">
        <v>4.34924834444919E-5</v>
      </c>
      <c r="G262" s="16">
        <v>0</v>
      </c>
      <c r="H262" s="16">
        <v>0</v>
      </c>
      <c r="I262" s="16">
        <v>1.3047745033340001E-4</v>
      </c>
      <c r="J262" s="16" t="s">
        <v>395</v>
      </c>
      <c r="K262" s="16" t="s">
        <v>1878</v>
      </c>
    </row>
    <row r="263" spans="1:11">
      <c r="A263" s="16">
        <v>3</v>
      </c>
      <c r="B263" s="16" t="s">
        <v>41</v>
      </c>
      <c r="C263" s="16">
        <v>1.12130052195306E-2</v>
      </c>
      <c r="D263" s="16">
        <v>3.4893709999999998E-3</v>
      </c>
      <c r="E263" s="16">
        <v>3.4893709999999998E-3</v>
      </c>
      <c r="F263" s="16">
        <v>3.4893709999999998E-3</v>
      </c>
      <c r="G263" s="16">
        <v>0</v>
      </c>
      <c r="H263" s="16">
        <v>0</v>
      </c>
      <c r="I263" s="16">
        <v>1.04681129999999E-2</v>
      </c>
      <c r="J263" s="16" t="s">
        <v>395</v>
      </c>
      <c r="K263" s="16" t="s">
        <v>1878</v>
      </c>
    </row>
    <row r="264" spans="1:11">
      <c r="A264" s="16">
        <v>4</v>
      </c>
      <c r="B264" s="16" t="s">
        <v>42</v>
      </c>
      <c r="C264" s="16">
        <v>1.5559515669947E-2</v>
      </c>
      <c r="D264" s="16">
        <v>4.8419600000000002E-3</v>
      </c>
      <c r="E264" s="16">
        <v>4.8419600000000002E-3</v>
      </c>
      <c r="F264" s="16">
        <v>4.8419600000000002E-3</v>
      </c>
      <c r="G264" s="16">
        <v>0</v>
      </c>
      <c r="H264" s="16">
        <v>0</v>
      </c>
      <c r="I264" s="16">
        <v>1.4525879999999901E-2</v>
      </c>
      <c r="J264" s="16" t="s">
        <v>395</v>
      </c>
      <c r="K264" s="16" t="s">
        <v>1878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1878</v>
      </c>
    </row>
    <row r="266" spans="1:11">
      <c r="A266" s="16">
        <v>0</v>
      </c>
      <c r="B266" s="16" t="s">
        <v>38</v>
      </c>
      <c r="C266" s="16">
        <v>1.015068871454E-4</v>
      </c>
      <c r="D266" s="95">
        <v>6.6748780423538394E-5</v>
      </c>
      <c r="E266" s="95">
        <v>9.6215656200719996E-5</v>
      </c>
      <c r="F266" s="95">
        <v>6.8445241372973406E-5</v>
      </c>
      <c r="G266" s="16">
        <v>2.1334965945730001E-4</v>
      </c>
      <c r="H266" s="95">
        <v>4.0500619498536002E-5</v>
      </c>
      <c r="I266" s="16">
        <v>2.0802620001784998E-3</v>
      </c>
      <c r="J266" s="16" t="s">
        <v>396</v>
      </c>
      <c r="K266" s="16" t="s">
        <v>1878</v>
      </c>
    </row>
    <row r="267" spans="1:11">
      <c r="A267" s="16">
        <v>1</v>
      </c>
      <c r="B267" s="16" t="s">
        <v>39</v>
      </c>
      <c r="C267" s="16">
        <v>2.2282897276704001E-3</v>
      </c>
      <c r="D267" s="16">
        <v>4.9095868400550002E-4</v>
      </c>
      <c r="E267" s="16">
        <v>6.5279355603770003E-3</v>
      </c>
      <c r="F267" s="16">
        <v>6.9342066672610004E-4</v>
      </c>
      <c r="G267" s="16">
        <v>1.3400471387543E-3</v>
      </c>
      <c r="H267" s="16">
        <v>2.7723416471616999E-3</v>
      </c>
      <c r="I267" s="16">
        <v>2.5188574658521002E-3</v>
      </c>
      <c r="J267" s="16" t="s">
        <v>396</v>
      </c>
      <c r="K267" s="16" t="s">
        <v>1878</v>
      </c>
    </row>
    <row r="268" spans="1:11">
      <c r="A268" s="16">
        <v>2</v>
      </c>
      <c r="B268" s="16" t="s">
        <v>40</v>
      </c>
      <c r="C268" s="16">
        <v>1.397619925979E-4</v>
      </c>
      <c r="D268" s="95">
        <v>4.34924834444919E-5</v>
      </c>
      <c r="E268" s="95">
        <v>4.34924834444919E-5</v>
      </c>
      <c r="F268" s="95">
        <v>4.34924834444919E-5</v>
      </c>
      <c r="G268" s="16">
        <v>0</v>
      </c>
      <c r="H268" s="16">
        <v>0</v>
      </c>
      <c r="I268" s="16">
        <v>1.3047745033340001E-4</v>
      </c>
      <c r="J268" s="16" t="s">
        <v>396</v>
      </c>
      <c r="K268" s="16" t="s">
        <v>1878</v>
      </c>
    </row>
    <row r="269" spans="1:11">
      <c r="A269" s="16">
        <v>3</v>
      </c>
      <c r="B269" s="16" t="s">
        <v>41</v>
      </c>
      <c r="C269" s="16">
        <v>1.12130052195306E-2</v>
      </c>
      <c r="D269" s="16">
        <v>3.4893709999999998E-3</v>
      </c>
      <c r="E269" s="16">
        <v>3.4893709999999998E-3</v>
      </c>
      <c r="F269" s="16">
        <v>3.4893709999999998E-3</v>
      </c>
      <c r="G269" s="16">
        <v>0</v>
      </c>
      <c r="H269" s="16">
        <v>0</v>
      </c>
      <c r="I269" s="16">
        <v>1.04681129999999E-2</v>
      </c>
      <c r="J269" s="16" t="s">
        <v>396</v>
      </c>
      <c r="K269" s="16" t="s">
        <v>1878</v>
      </c>
    </row>
    <row r="270" spans="1:11">
      <c r="A270" s="16">
        <v>4</v>
      </c>
      <c r="B270" s="16" t="s">
        <v>42</v>
      </c>
      <c r="C270" s="16">
        <v>1.5559515669947E-2</v>
      </c>
      <c r="D270" s="16">
        <v>4.8419600000000002E-3</v>
      </c>
      <c r="E270" s="16">
        <v>4.8419600000000002E-3</v>
      </c>
      <c r="F270" s="16">
        <v>4.8419600000000002E-3</v>
      </c>
      <c r="G270" s="16">
        <v>0</v>
      </c>
      <c r="H270" s="16">
        <v>0</v>
      </c>
      <c r="I270" s="16">
        <v>1.4525879999999901E-2</v>
      </c>
      <c r="J270" s="16" t="s">
        <v>396</v>
      </c>
      <c r="K270" s="16" t="s">
        <v>1878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1878</v>
      </c>
    </row>
    <row r="272" spans="1:11">
      <c r="A272" s="16">
        <v>0</v>
      </c>
      <c r="B272" s="16" t="s">
        <v>38</v>
      </c>
      <c r="C272" s="16">
        <v>1.015068871454E-4</v>
      </c>
      <c r="D272" s="95">
        <v>6.6748780423538394E-5</v>
      </c>
      <c r="E272" s="95">
        <v>9.6215656200719996E-5</v>
      </c>
      <c r="F272" s="95">
        <v>6.8445241372973406E-5</v>
      </c>
      <c r="G272" s="16">
        <v>2.1334965945730001E-4</v>
      </c>
      <c r="H272" s="95">
        <v>4.0500619498536002E-5</v>
      </c>
      <c r="I272" s="16">
        <v>2.0802620001784998E-3</v>
      </c>
      <c r="J272" s="16" t="s">
        <v>397</v>
      </c>
      <c r="K272" s="16" t="s">
        <v>1878</v>
      </c>
    </row>
    <row r="273" spans="1:11">
      <c r="A273" s="16">
        <v>1</v>
      </c>
      <c r="B273" s="16" t="s">
        <v>39</v>
      </c>
      <c r="C273" s="16">
        <v>2.2282897276704001E-3</v>
      </c>
      <c r="D273" s="16">
        <v>4.9095868400550002E-4</v>
      </c>
      <c r="E273" s="16">
        <v>6.5279355603770003E-3</v>
      </c>
      <c r="F273" s="16">
        <v>6.9342066672610004E-4</v>
      </c>
      <c r="G273" s="16">
        <v>1.3400471387543E-3</v>
      </c>
      <c r="H273" s="16">
        <v>2.7723416471616999E-3</v>
      </c>
      <c r="I273" s="16">
        <v>2.5188574658521002E-3</v>
      </c>
      <c r="J273" s="16" t="s">
        <v>397</v>
      </c>
      <c r="K273" s="16" t="s">
        <v>1878</v>
      </c>
    </row>
    <row r="274" spans="1:11">
      <c r="A274" s="16">
        <v>2</v>
      </c>
      <c r="B274" s="16" t="s">
        <v>40</v>
      </c>
      <c r="C274" s="16">
        <v>1.397619925979E-4</v>
      </c>
      <c r="D274" s="95">
        <v>4.34924834444919E-5</v>
      </c>
      <c r="E274" s="95">
        <v>4.34924834444919E-5</v>
      </c>
      <c r="F274" s="95">
        <v>4.34924834444919E-5</v>
      </c>
      <c r="G274" s="16">
        <v>0</v>
      </c>
      <c r="H274" s="16">
        <v>0</v>
      </c>
      <c r="I274" s="16">
        <v>1.3047745033340001E-4</v>
      </c>
      <c r="J274" s="16" t="s">
        <v>397</v>
      </c>
      <c r="K274" s="16" t="s">
        <v>1878</v>
      </c>
    </row>
    <row r="275" spans="1:11">
      <c r="A275" s="16">
        <v>3</v>
      </c>
      <c r="B275" s="16" t="s">
        <v>41</v>
      </c>
      <c r="C275" s="16">
        <v>1.12130052195306E-2</v>
      </c>
      <c r="D275" s="16">
        <v>3.4893709999999998E-3</v>
      </c>
      <c r="E275" s="16">
        <v>3.4893709999999998E-3</v>
      </c>
      <c r="F275" s="16">
        <v>3.4893709999999998E-3</v>
      </c>
      <c r="G275" s="16">
        <v>0</v>
      </c>
      <c r="H275" s="16">
        <v>0</v>
      </c>
      <c r="I275" s="16">
        <v>1.04681129999999E-2</v>
      </c>
      <c r="J275" s="16" t="s">
        <v>397</v>
      </c>
      <c r="K275" s="16" t="s">
        <v>1878</v>
      </c>
    </row>
    <row r="276" spans="1:11">
      <c r="A276" s="16">
        <v>4</v>
      </c>
      <c r="B276" s="16" t="s">
        <v>42</v>
      </c>
      <c r="C276" s="16">
        <v>1.5559515669947E-2</v>
      </c>
      <c r="D276" s="16">
        <v>4.8419600000000002E-3</v>
      </c>
      <c r="E276" s="16">
        <v>4.8419600000000002E-3</v>
      </c>
      <c r="F276" s="16">
        <v>4.8419600000000002E-3</v>
      </c>
      <c r="G276" s="16">
        <v>0</v>
      </c>
      <c r="H276" s="16">
        <v>0</v>
      </c>
      <c r="I276" s="16">
        <v>1.4525879999999901E-2</v>
      </c>
      <c r="J276" s="16" t="s">
        <v>397</v>
      </c>
      <c r="K276" s="16" t="s">
        <v>1878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1878</v>
      </c>
    </row>
    <row r="278" spans="1:11">
      <c r="A278" s="16">
        <v>0</v>
      </c>
      <c r="B278" s="16" t="s">
        <v>38</v>
      </c>
      <c r="C278" s="16">
        <v>1.015068871454E-4</v>
      </c>
      <c r="D278" s="95">
        <v>6.6748780423538394E-5</v>
      </c>
      <c r="E278" s="95">
        <v>9.6215656200719996E-5</v>
      </c>
      <c r="F278" s="95">
        <v>6.8445241372973406E-5</v>
      </c>
      <c r="G278" s="16">
        <v>2.1334965945730001E-4</v>
      </c>
      <c r="H278" s="95">
        <v>4.0500619498536002E-5</v>
      </c>
      <c r="I278" s="16">
        <v>2.0802620001784998E-3</v>
      </c>
      <c r="J278" s="16" t="s">
        <v>398</v>
      </c>
      <c r="K278" s="16" t="s">
        <v>1878</v>
      </c>
    </row>
    <row r="279" spans="1:11">
      <c r="A279" s="16">
        <v>1</v>
      </c>
      <c r="B279" s="16" t="s">
        <v>39</v>
      </c>
      <c r="C279" s="16">
        <v>2.2282897276704001E-3</v>
      </c>
      <c r="D279" s="16">
        <v>4.9095868400550002E-4</v>
      </c>
      <c r="E279" s="16">
        <v>6.5279355603770003E-3</v>
      </c>
      <c r="F279" s="16">
        <v>6.9342066672610004E-4</v>
      </c>
      <c r="G279" s="16">
        <v>1.3400471387543E-3</v>
      </c>
      <c r="H279" s="16">
        <v>2.7723416471616999E-3</v>
      </c>
      <c r="I279" s="16">
        <v>2.5188574658521002E-3</v>
      </c>
      <c r="J279" s="16" t="s">
        <v>398</v>
      </c>
      <c r="K279" s="16" t="s">
        <v>1878</v>
      </c>
    </row>
    <row r="280" spans="1:11">
      <c r="A280" s="16">
        <v>2</v>
      </c>
      <c r="B280" s="16" t="s">
        <v>40</v>
      </c>
      <c r="C280" s="16">
        <v>1.397619925979E-4</v>
      </c>
      <c r="D280" s="95">
        <v>4.34924834444919E-5</v>
      </c>
      <c r="E280" s="95">
        <v>4.34924834444919E-5</v>
      </c>
      <c r="F280" s="95">
        <v>4.34924834444919E-5</v>
      </c>
      <c r="G280" s="16">
        <v>0</v>
      </c>
      <c r="H280" s="16">
        <v>0</v>
      </c>
      <c r="I280" s="16">
        <v>1.3047745033340001E-4</v>
      </c>
      <c r="J280" s="16" t="s">
        <v>398</v>
      </c>
      <c r="K280" s="16" t="s">
        <v>1878</v>
      </c>
    </row>
    <row r="281" spans="1:11">
      <c r="A281" s="16">
        <v>3</v>
      </c>
      <c r="B281" s="16" t="s">
        <v>41</v>
      </c>
      <c r="C281" s="16">
        <v>1.12130052195306E-2</v>
      </c>
      <c r="D281" s="16">
        <v>3.4893709999999998E-3</v>
      </c>
      <c r="E281" s="16">
        <v>3.4893709999999998E-3</v>
      </c>
      <c r="F281" s="16">
        <v>3.4893709999999998E-3</v>
      </c>
      <c r="G281" s="16">
        <v>0</v>
      </c>
      <c r="H281" s="16">
        <v>0</v>
      </c>
      <c r="I281" s="16">
        <v>1.04681129999999E-2</v>
      </c>
      <c r="J281" s="16" t="s">
        <v>398</v>
      </c>
      <c r="K281" s="16" t="s">
        <v>1878</v>
      </c>
    </row>
    <row r="282" spans="1:11">
      <c r="A282" s="16">
        <v>4</v>
      </c>
      <c r="B282" s="16" t="s">
        <v>42</v>
      </c>
      <c r="C282" s="16">
        <v>1.5559515669947E-2</v>
      </c>
      <c r="D282" s="16">
        <v>4.8419600000000002E-3</v>
      </c>
      <c r="E282" s="16">
        <v>4.8419600000000002E-3</v>
      </c>
      <c r="F282" s="16">
        <v>4.8419600000000002E-3</v>
      </c>
      <c r="G282" s="16">
        <v>0</v>
      </c>
      <c r="H282" s="16">
        <v>0</v>
      </c>
      <c r="I282" s="16">
        <v>1.4525879999999901E-2</v>
      </c>
      <c r="J282" s="16" t="s">
        <v>398</v>
      </c>
      <c r="K282" s="16" t="s">
        <v>1878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1878</v>
      </c>
    </row>
    <row r="284" spans="1:11">
      <c r="A284" s="16">
        <v>0</v>
      </c>
      <c r="B284" s="16" t="s">
        <v>38</v>
      </c>
      <c r="C284" s="16">
        <v>1.015068871454E-4</v>
      </c>
      <c r="D284" s="95">
        <v>6.6748780423538394E-5</v>
      </c>
      <c r="E284" s="95">
        <v>9.6215656200719996E-5</v>
      </c>
      <c r="F284" s="95">
        <v>6.8445241372973406E-5</v>
      </c>
      <c r="G284" s="16">
        <v>2.1334965945730001E-4</v>
      </c>
      <c r="H284" s="95">
        <v>4.0500619498536002E-5</v>
      </c>
      <c r="I284" s="16">
        <v>2.0802620001784998E-3</v>
      </c>
      <c r="J284" s="16" t="s">
        <v>399</v>
      </c>
      <c r="K284" s="16" t="s">
        <v>1878</v>
      </c>
    </row>
    <row r="285" spans="1:11">
      <c r="A285" s="16">
        <v>1</v>
      </c>
      <c r="B285" s="16" t="s">
        <v>39</v>
      </c>
      <c r="C285" s="16">
        <v>2.2282897276704001E-3</v>
      </c>
      <c r="D285" s="16">
        <v>4.9095868400550002E-4</v>
      </c>
      <c r="E285" s="16">
        <v>6.5279355603770003E-3</v>
      </c>
      <c r="F285" s="16">
        <v>6.9342066672610004E-4</v>
      </c>
      <c r="G285" s="16">
        <v>1.3400471387543E-3</v>
      </c>
      <c r="H285" s="16">
        <v>2.7723416471616999E-3</v>
      </c>
      <c r="I285" s="16">
        <v>2.5188574658521002E-3</v>
      </c>
      <c r="J285" s="16" t="s">
        <v>399</v>
      </c>
      <c r="K285" s="16" t="s">
        <v>1878</v>
      </c>
    </row>
    <row r="286" spans="1:11">
      <c r="A286" s="16">
        <v>2</v>
      </c>
      <c r="B286" s="16" t="s">
        <v>40</v>
      </c>
      <c r="C286" s="16">
        <v>1.397619925979E-4</v>
      </c>
      <c r="D286" s="95">
        <v>4.34924834444919E-5</v>
      </c>
      <c r="E286" s="95">
        <v>4.34924834444919E-5</v>
      </c>
      <c r="F286" s="95">
        <v>4.34924834444919E-5</v>
      </c>
      <c r="G286" s="16">
        <v>0</v>
      </c>
      <c r="H286" s="16">
        <v>0</v>
      </c>
      <c r="I286" s="16">
        <v>1.3047745033340001E-4</v>
      </c>
      <c r="J286" s="16" t="s">
        <v>399</v>
      </c>
      <c r="K286" s="16" t="s">
        <v>1878</v>
      </c>
    </row>
    <row r="287" spans="1:11">
      <c r="A287" s="16">
        <v>3</v>
      </c>
      <c r="B287" s="16" t="s">
        <v>41</v>
      </c>
      <c r="C287" s="16">
        <v>1.12130052195306E-2</v>
      </c>
      <c r="D287" s="16">
        <v>3.4893709999999998E-3</v>
      </c>
      <c r="E287" s="16">
        <v>3.4893709999999998E-3</v>
      </c>
      <c r="F287" s="16">
        <v>3.4893709999999998E-3</v>
      </c>
      <c r="G287" s="16">
        <v>0</v>
      </c>
      <c r="H287" s="16">
        <v>0</v>
      </c>
      <c r="I287" s="16">
        <v>1.04681129999999E-2</v>
      </c>
      <c r="J287" s="16" t="s">
        <v>399</v>
      </c>
      <c r="K287" s="16" t="s">
        <v>1878</v>
      </c>
    </row>
    <row r="288" spans="1:11">
      <c r="A288" s="16">
        <v>4</v>
      </c>
      <c r="B288" s="16" t="s">
        <v>42</v>
      </c>
      <c r="C288" s="16">
        <v>1.5559515669947E-2</v>
      </c>
      <c r="D288" s="16">
        <v>4.8419600000000002E-3</v>
      </c>
      <c r="E288" s="16">
        <v>4.8419600000000002E-3</v>
      </c>
      <c r="F288" s="16">
        <v>4.8419600000000002E-3</v>
      </c>
      <c r="G288" s="16">
        <v>0</v>
      </c>
      <c r="H288" s="16">
        <v>0</v>
      </c>
      <c r="I288" s="16">
        <v>1.4525879999999901E-2</v>
      </c>
      <c r="J288" s="16" t="s">
        <v>399</v>
      </c>
      <c r="K288" s="16" t="s">
        <v>1878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1878</v>
      </c>
    </row>
    <row r="290" spans="1:11">
      <c r="A290" s="16">
        <v>0</v>
      </c>
      <c r="B290" s="16" t="s">
        <v>38</v>
      </c>
      <c r="C290" s="16">
        <v>1.015068871454E-4</v>
      </c>
      <c r="D290" s="95">
        <v>6.6748780423538394E-5</v>
      </c>
      <c r="E290" s="95">
        <v>9.6215656200719996E-5</v>
      </c>
      <c r="F290" s="95">
        <v>6.8445241372973406E-5</v>
      </c>
      <c r="G290" s="16">
        <v>2.1334965945730001E-4</v>
      </c>
      <c r="H290" s="95">
        <v>4.0500619498536002E-5</v>
      </c>
      <c r="I290" s="16">
        <v>2.0802620001784998E-3</v>
      </c>
      <c r="J290" s="16" t="s">
        <v>400</v>
      </c>
      <c r="K290" s="16" t="s">
        <v>1878</v>
      </c>
    </row>
    <row r="291" spans="1:11">
      <c r="A291" s="16">
        <v>1</v>
      </c>
      <c r="B291" s="16" t="s">
        <v>39</v>
      </c>
      <c r="C291" s="16">
        <v>2.2282897276704001E-3</v>
      </c>
      <c r="D291" s="16">
        <v>4.9095868400550002E-4</v>
      </c>
      <c r="E291" s="16">
        <v>6.5279355603770003E-3</v>
      </c>
      <c r="F291" s="16">
        <v>6.9342066672610004E-4</v>
      </c>
      <c r="G291" s="16">
        <v>1.3400471387543E-3</v>
      </c>
      <c r="H291" s="16">
        <v>2.7723416471616999E-3</v>
      </c>
      <c r="I291" s="16">
        <v>2.5188574658521002E-3</v>
      </c>
      <c r="J291" s="16" t="s">
        <v>400</v>
      </c>
      <c r="K291" s="16" t="s">
        <v>1878</v>
      </c>
    </row>
    <row r="292" spans="1:11">
      <c r="A292" s="16">
        <v>2</v>
      </c>
      <c r="B292" s="16" t="s">
        <v>40</v>
      </c>
      <c r="C292" s="16">
        <v>1.397619925979E-4</v>
      </c>
      <c r="D292" s="95">
        <v>4.34924834444919E-5</v>
      </c>
      <c r="E292" s="95">
        <v>4.34924834444919E-5</v>
      </c>
      <c r="F292" s="95">
        <v>4.34924834444919E-5</v>
      </c>
      <c r="G292" s="16">
        <v>0</v>
      </c>
      <c r="H292" s="16">
        <v>0</v>
      </c>
      <c r="I292" s="16">
        <v>1.3047745033340001E-4</v>
      </c>
      <c r="J292" s="16" t="s">
        <v>400</v>
      </c>
      <c r="K292" s="16" t="s">
        <v>1878</v>
      </c>
    </row>
    <row r="293" spans="1:11">
      <c r="A293" s="16">
        <v>3</v>
      </c>
      <c r="B293" s="16" t="s">
        <v>41</v>
      </c>
      <c r="C293" s="16">
        <v>1.12130052195306E-2</v>
      </c>
      <c r="D293" s="16">
        <v>3.4893709999999998E-3</v>
      </c>
      <c r="E293" s="16">
        <v>3.4893709999999998E-3</v>
      </c>
      <c r="F293" s="16">
        <v>3.4893709999999998E-3</v>
      </c>
      <c r="G293" s="16">
        <v>0</v>
      </c>
      <c r="H293" s="16">
        <v>0</v>
      </c>
      <c r="I293" s="16">
        <v>1.04681129999999E-2</v>
      </c>
      <c r="J293" s="16" t="s">
        <v>400</v>
      </c>
      <c r="K293" s="16" t="s">
        <v>1878</v>
      </c>
    </row>
    <row r="294" spans="1:11">
      <c r="A294" s="16">
        <v>4</v>
      </c>
      <c r="B294" s="16" t="s">
        <v>42</v>
      </c>
      <c r="C294" s="16">
        <v>1.5559515669947E-2</v>
      </c>
      <c r="D294" s="16">
        <v>4.8419600000000002E-3</v>
      </c>
      <c r="E294" s="16">
        <v>4.8419600000000002E-3</v>
      </c>
      <c r="F294" s="16">
        <v>4.8419600000000002E-3</v>
      </c>
      <c r="G294" s="16">
        <v>0</v>
      </c>
      <c r="H294" s="16">
        <v>0</v>
      </c>
      <c r="I294" s="16">
        <v>1.4525879999999901E-2</v>
      </c>
      <c r="J294" s="16" t="s">
        <v>400</v>
      </c>
      <c r="K294" s="16" t="s">
        <v>1878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1878</v>
      </c>
    </row>
    <row r="296" spans="1:11">
      <c r="A296" s="16">
        <v>0</v>
      </c>
      <c r="B296" s="16" t="s">
        <v>38</v>
      </c>
      <c r="C296" s="16">
        <v>1.015068871454E-4</v>
      </c>
      <c r="D296" s="95">
        <v>6.6748780423538394E-5</v>
      </c>
      <c r="E296" s="95">
        <v>9.6215656200719996E-5</v>
      </c>
      <c r="F296" s="95">
        <v>6.8445241372973406E-5</v>
      </c>
      <c r="G296" s="16">
        <v>2.1334965945730001E-4</v>
      </c>
      <c r="H296" s="95">
        <v>4.0500619498536002E-5</v>
      </c>
      <c r="I296" s="16">
        <v>2.0802620001784998E-3</v>
      </c>
      <c r="J296" s="16" t="s">
        <v>401</v>
      </c>
      <c r="K296" s="16" t="s">
        <v>1878</v>
      </c>
    </row>
    <row r="297" spans="1:11">
      <c r="A297" s="16">
        <v>1</v>
      </c>
      <c r="B297" s="16" t="s">
        <v>39</v>
      </c>
      <c r="C297" s="16">
        <v>2.2282897276704001E-3</v>
      </c>
      <c r="D297" s="16">
        <v>4.9095868400550002E-4</v>
      </c>
      <c r="E297" s="16">
        <v>6.5279355603770003E-3</v>
      </c>
      <c r="F297" s="16">
        <v>6.9342066672610004E-4</v>
      </c>
      <c r="G297" s="16">
        <v>1.3400471387543E-3</v>
      </c>
      <c r="H297" s="16">
        <v>2.7723416471616999E-3</v>
      </c>
      <c r="I297" s="16">
        <v>2.5188574658521002E-3</v>
      </c>
      <c r="J297" s="16" t="s">
        <v>401</v>
      </c>
      <c r="K297" s="16" t="s">
        <v>1878</v>
      </c>
    </row>
    <row r="298" spans="1:11">
      <c r="A298" s="16">
        <v>2</v>
      </c>
      <c r="B298" s="16" t="s">
        <v>40</v>
      </c>
      <c r="C298" s="16">
        <v>1.397619925979E-4</v>
      </c>
      <c r="D298" s="95">
        <v>4.34924834444919E-5</v>
      </c>
      <c r="E298" s="95">
        <v>4.34924834444919E-5</v>
      </c>
      <c r="F298" s="95">
        <v>4.34924834444919E-5</v>
      </c>
      <c r="G298" s="16">
        <v>0</v>
      </c>
      <c r="H298" s="16">
        <v>0</v>
      </c>
      <c r="I298" s="16">
        <v>1.3047745033340001E-4</v>
      </c>
      <c r="J298" s="16" t="s">
        <v>401</v>
      </c>
      <c r="K298" s="16" t="s">
        <v>1878</v>
      </c>
    </row>
    <row r="299" spans="1:11">
      <c r="A299" s="16">
        <v>3</v>
      </c>
      <c r="B299" s="16" t="s">
        <v>41</v>
      </c>
      <c r="C299" s="16">
        <v>1.12130052195306E-2</v>
      </c>
      <c r="D299" s="16">
        <v>3.4893709999999998E-3</v>
      </c>
      <c r="E299" s="16">
        <v>3.4893709999999998E-3</v>
      </c>
      <c r="F299" s="16">
        <v>3.4893709999999998E-3</v>
      </c>
      <c r="G299" s="16">
        <v>0</v>
      </c>
      <c r="H299" s="16">
        <v>0</v>
      </c>
      <c r="I299" s="16">
        <v>1.04681129999999E-2</v>
      </c>
      <c r="J299" s="16" t="s">
        <v>401</v>
      </c>
      <c r="K299" s="16" t="s">
        <v>1878</v>
      </c>
    </row>
    <row r="300" spans="1:11">
      <c r="A300" s="16">
        <v>4</v>
      </c>
      <c r="B300" s="16" t="s">
        <v>42</v>
      </c>
      <c r="C300" s="16">
        <v>1.5559515669947E-2</v>
      </c>
      <c r="D300" s="16">
        <v>4.8419600000000002E-3</v>
      </c>
      <c r="E300" s="16">
        <v>4.8419600000000002E-3</v>
      </c>
      <c r="F300" s="16">
        <v>4.8419600000000002E-3</v>
      </c>
      <c r="G300" s="16">
        <v>0</v>
      </c>
      <c r="H300" s="16">
        <v>0</v>
      </c>
      <c r="I300" s="16">
        <v>1.4525879999999901E-2</v>
      </c>
      <c r="J300" s="16" t="s">
        <v>401</v>
      </c>
      <c r="K300" s="16" t="s">
        <v>1878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328125" defaultRowHeight="13"/>
  <cols>
    <col min="1" max="1" width="78.7265625" style="42" customWidth="1"/>
    <col min="2" max="2" width="9.1328125" style="44"/>
    <col min="3" max="3" width="72.7265625" style="44" customWidth="1"/>
    <col min="4" max="4" width="39.1328125" style="44" customWidth="1"/>
    <col min="5" max="5" width="12.40625" style="42" bestFit="1" customWidth="1"/>
    <col min="6" max="6" width="9.1328125" style="42"/>
    <col min="7" max="7" width="5.7265625" style="42" customWidth="1"/>
    <col min="8" max="16384" width="9.1328125" style="42"/>
  </cols>
  <sheetData>
    <row r="2" spans="1:4" ht="23">
      <c r="B2" s="43" t="s">
        <v>402</v>
      </c>
    </row>
    <row r="3" spans="1:4" ht="20.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75" thickBot="1">
      <c r="A10" s="44"/>
    </row>
    <row r="11" spans="1:4" ht="17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6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6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6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6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6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6">
      <c r="B152" s="50" t="s">
        <v>167</v>
      </c>
      <c r="C152" s="53" t="s">
        <v>627</v>
      </c>
      <c r="D152" s="52" t="s">
        <v>411</v>
      </c>
    </row>
    <row r="153" spans="2:4" ht="26">
      <c r="B153" s="50" t="s">
        <v>628</v>
      </c>
      <c r="C153" s="53" t="s">
        <v>629</v>
      </c>
      <c r="D153" s="52" t="s">
        <v>417</v>
      </c>
    </row>
    <row r="154" spans="2:4" ht="26">
      <c r="B154" s="50" t="s">
        <v>630</v>
      </c>
      <c r="C154" s="53" t="s">
        <v>627</v>
      </c>
      <c r="D154" s="52" t="s">
        <v>413</v>
      </c>
    </row>
    <row r="155" spans="2:4" ht="26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6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6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6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>
      <c r="B226" s="50" t="s">
        <v>741</v>
      </c>
      <c r="C226" s="53" t="s">
        <v>742</v>
      </c>
      <c r="D226" s="52" t="s">
        <v>413</v>
      </c>
    </row>
    <row r="227" spans="2:4">
      <c r="B227" s="50" t="s">
        <v>743</v>
      </c>
      <c r="C227" s="53" t="s">
        <v>744</v>
      </c>
      <c r="D227" s="52" t="s">
        <v>421</v>
      </c>
    </row>
    <row r="228" spans="2:4" ht="26">
      <c r="B228" s="50" t="s">
        <v>190</v>
      </c>
      <c r="C228" s="53" t="s">
        <v>745</v>
      </c>
      <c r="D228" s="52" t="s">
        <v>411</v>
      </c>
    </row>
    <row r="229" spans="2:4" ht="26">
      <c r="B229" s="50" t="s">
        <v>746</v>
      </c>
      <c r="C229" s="53" t="s">
        <v>747</v>
      </c>
      <c r="D229" s="52" t="s">
        <v>417</v>
      </c>
    </row>
    <row r="230" spans="2:4" ht="26">
      <c r="B230" s="50" t="s">
        <v>748</v>
      </c>
      <c r="C230" s="53" t="s">
        <v>745</v>
      </c>
      <c r="D230" s="52" t="s">
        <v>413</v>
      </c>
    </row>
    <row r="231" spans="2:4" ht="26">
      <c r="B231" s="50" t="s">
        <v>749</v>
      </c>
      <c r="C231" s="53" t="s">
        <v>750</v>
      </c>
      <c r="D231" s="52" t="s">
        <v>421</v>
      </c>
    </row>
    <row r="232" spans="2:4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6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6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6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6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6">
      <c r="B438" s="50" t="s">
        <v>1069</v>
      </c>
      <c r="C438" s="53" t="s">
        <v>1070</v>
      </c>
      <c r="D438" s="52" t="s">
        <v>411</v>
      </c>
    </row>
    <row r="439" spans="1:9" ht="26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6">
      <c r="B453" s="50" t="s">
        <v>1093</v>
      </c>
      <c r="C453" s="53" t="s">
        <v>1094</v>
      </c>
      <c r="D453" s="52" t="s">
        <v>411</v>
      </c>
    </row>
    <row r="454" spans="2:4" ht="26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6">
      <c r="B456" s="50" t="s">
        <v>1098</v>
      </c>
      <c r="C456" s="53" t="s">
        <v>1095</v>
      </c>
      <c r="D456" s="52" t="s">
        <v>413</v>
      </c>
    </row>
    <row r="457" spans="2:4" ht="26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6">
      <c r="B459" s="50" t="s">
        <v>1102</v>
      </c>
      <c r="C459" s="53" t="s">
        <v>1103</v>
      </c>
      <c r="D459" s="52" t="s">
        <v>417</v>
      </c>
    </row>
    <row r="460" spans="2:4" ht="26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6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6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6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6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6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6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6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6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6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6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6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6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6">
      <c r="B541" s="50" t="s">
        <v>1239</v>
      </c>
      <c r="C541" s="53" t="s">
        <v>1240</v>
      </c>
      <c r="D541" s="52" t="s">
        <v>411</v>
      </c>
    </row>
    <row r="542" spans="2:4" ht="26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6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6">
      <c r="B667" s="50" t="s">
        <v>1428</v>
      </c>
      <c r="C667" s="53" t="s">
        <v>1429</v>
      </c>
      <c r="D667" s="52" t="s">
        <v>411</v>
      </c>
    </row>
    <row r="668" spans="2:4" ht="26">
      <c r="B668" s="50" t="s">
        <v>319</v>
      </c>
      <c r="C668" s="53" t="s">
        <v>1430</v>
      </c>
      <c r="D668" s="52" t="s">
        <v>411</v>
      </c>
    </row>
    <row r="669" spans="2:4" ht="26">
      <c r="B669" s="50" t="s">
        <v>1431</v>
      </c>
      <c r="C669" s="53" t="s">
        <v>1432</v>
      </c>
      <c r="D669" s="52" t="s">
        <v>411</v>
      </c>
    </row>
    <row r="670" spans="2:4" ht="26">
      <c r="B670" s="68" t="s">
        <v>320</v>
      </c>
      <c r="C670" s="69" t="s">
        <v>1433</v>
      </c>
      <c r="D670" s="70" t="s">
        <v>411</v>
      </c>
    </row>
    <row r="671" spans="2:4" ht="26">
      <c r="B671" s="50" t="s">
        <v>1434</v>
      </c>
      <c r="C671" s="53" t="s">
        <v>1435</v>
      </c>
      <c r="D671" s="52" t="s">
        <v>411</v>
      </c>
    </row>
    <row r="672" spans="2:4" ht="26">
      <c r="B672" s="50" t="s">
        <v>321</v>
      </c>
      <c r="C672" s="53" t="s">
        <v>1436</v>
      </c>
      <c r="D672" s="52" t="s">
        <v>411</v>
      </c>
    </row>
    <row r="673" spans="2:4" ht="26">
      <c r="B673" s="50" t="s">
        <v>1437</v>
      </c>
      <c r="C673" s="53" t="s">
        <v>1438</v>
      </c>
      <c r="D673" s="52" t="s">
        <v>411</v>
      </c>
    </row>
    <row r="674" spans="2:4" ht="26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75" thickBot="1">
      <c r="B732" s="71" t="s">
        <v>347</v>
      </c>
      <c r="C732" s="72" t="s">
        <v>1529</v>
      </c>
      <c r="D732" s="73" t="s">
        <v>1528</v>
      </c>
    </row>
    <row r="733" spans="2:4" ht="13.7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4.75"/>
  <cols>
    <col min="9" max="9" width="31.406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1700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1700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1700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1700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1700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1700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1700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1700</v>
      </c>
      <c r="B9" t="s">
        <v>132</v>
      </c>
      <c r="C9" t="s">
        <v>1701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1700</v>
      </c>
      <c r="B10" t="s">
        <v>132</v>
      </c>
      <c r="C10" t="s">
        <v>1702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1700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1700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1700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1700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1700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1700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1700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1700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1700</v>
      </c>
      <c r="B19" t="s">
        <v>132</v>
      </c>
      <c r="C19" t="s">
        <v>1703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1700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1700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1700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1700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1700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1700</v>
      </c>
      <c r="B25" t="s">
        <v>132</v>
      </c>
      <c r="C25" t="s">
        <v>1704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1700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1700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1700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1700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1700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1700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1700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1700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1700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1700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1700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1700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1700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1700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1700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1700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1700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1700</v>
      </c>
      <c r="B43" t="s">
        <v>132</v>
      </c>
      <c r="C43" t="s">
        <v>1705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1700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1700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1700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1700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1700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1700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1700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1700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1700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1700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1700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1700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1700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1700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1700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1700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1700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1700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1700</v>
      </c>
      <c r="B62" t="s">
        <v>132</v>
      </c>
      <c r="C62" t="s">
        <v>1706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1700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1700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1700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1700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1700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1700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1700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1700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1700</v>
      </c>
      <c r="B71" t="s">
        <v>132</v>
      </c>
      <c r="C71" t="s">
        <v>1707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1700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1700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1700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1700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1700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1700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1700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1700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1700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1700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1700</v>
      </c>
      <c r="B82" t="s">
        <v>132</v>
      </c>
      <c r="C82" t="s">
        <v>1708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1700</v>
      </c>
      <c r="B83" t="s">
        <v>132</v>
      </c>
      <c r="C83" t="s">
        <v>1709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1700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1700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1700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1700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1700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1700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1700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1700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1700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1700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1700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1700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1700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1700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1700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1700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1700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1700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1700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1700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1700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1700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1700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1700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1700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1700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1700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1700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1700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1700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1700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1700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1700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1700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1700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1700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1700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1700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1700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1700</v>
      </c>
      <c r="B123" t="s">
        <v>132</v>
      </c>
      <c r="C123" t="s">
        <v>1710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1700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1700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1700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1700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1700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1700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1700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1700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1700</v>
      </c>
      <c r="B132" t="s">
        <v>132</v>
      </c>
      <c r="C132" t="s">
        <v>1711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1700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1700</v>
      </c>
      <c r="B134" t="s">
        <v>132</v>
      </c>
      <c r="C134" t="s">
        <v>1712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1700</v>
      </c>
      <c r="B135" t="s">
        <v>132</v>
      </c>
      <c r="C135" t="s">
        <v>1713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1700</v>
      </c>
      <c r="B136" t="s">
        <v>132</v>
      </c>
      <c r="C136" t="s">
        <v>1714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1700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1700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1700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1700</v>
      </c>
      <c r="B140" t="s">
        <v>132</v>
      </c>
      <c r="C140" t="s">
        <v>1715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1700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1700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1700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1700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1700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1700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1700</v>
      </c>
      <c r="B147" t="s">
        <v>132</v>
      </c>
      <c r="C147" t="s">
        <v>1716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1700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1700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1700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1700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1700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1700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1700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1700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1700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1700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1700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1700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1700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1700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1700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1700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1700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1700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1700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1700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1700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1700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1700</v>
      </c>
      <c r="B170" t="s">
        <v>132</v>
      </c>
      <c r="C170" t="s">
        <v>1717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1700</v>
      </c>
      <c r="B171" t="s">
        <v>132</v>
      </c>
      <c r="C171" t="s">
        <v>1718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1700</v>
      </c>
      <c r="B172" t="s">
        <v>132</v>
      </c>
      <c r="C172" t="s">
        <v>1719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1700</v>
      </c>
      <c r="B173" t="s">
        <v>132</v>
      </c>
      <c r="C173" t="s">
        <v>1720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1700</v>
      </c>
      <c r="B174" t="s">
        <v>132</v>
      </c>
      <c r="C174" t="s">
        <v>1721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1700</v>
      </c>
      <c r="B175" t="s">
        <v>132</v>
      </c>
      <c r="C175" t="s">
        <v>1722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1700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1700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1700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1700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1700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1700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1700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1700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1700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1700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1700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1700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1700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1700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1700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1700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1700</v>
      </c>
      <c r="B192" t="s">
        <v>132</v>
      </c>
      <c r="C192" t="s">
        <v>1723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1700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1700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1700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1700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1700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1700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1700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1700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1700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1700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1700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1700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1700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1700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1700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1700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1700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1700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1700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1700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1700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1700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1700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1700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1700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1700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1700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1700</v>
      </c>
      <c r="B220" t="s">
        <v>132</v>
      </c>
      <c r="C220" t="s">
        <v>1724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1700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1700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1700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1700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1700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1700</v>
      </c>
      <c r="B226" t="s">
        <v>132</v>
      </c>
      <c r="C226" t="s">
        <v>1725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1700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1700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1700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1700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1700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1700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1700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1700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1700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1700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1700</v>
      </c>
      <c r="B237" t="s">
        <v>132</v>
      </c>
      <c r="C237" t="s">
        <v>1726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1700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1700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1700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1700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1700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1700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1700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1700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1700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1700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1700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1700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1700</v>
      </c>
      <c r="B250" t="s">
        <v>348</v>
      </c>
      <c r="C250" t="s">
        <v>1701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1700</v>
      </c>
      <c r="B251" t="s">
        <v>348</v>
      </c>
      <c r="C251" t="s">
        <v>1702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1700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1700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1700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1700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1700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1700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1700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1700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1700</v>
      </c>
      <c r="B260" t="s">
        <v>348</v>
      </c>
      <c r="C260" t="s">
        <v>1703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1700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1700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1700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1700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1700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1700</v>
      </c>
      <c r="B266" t="s">
        <v>348</v>
      </c>
      <c r="C266" t="s">
        <v>1704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1700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1700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1700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1700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1700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1700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1700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1700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1700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1700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1700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1700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1700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1700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1700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1700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1700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1700</v>
      </c>
      <c r="B284" t="s">
        <v>348</v>
      </c>
      <c r="C284" t="s">
        <v>1705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1700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1700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1700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1700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1700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1700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1700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1700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1700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1700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1700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1700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1700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1700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1700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1700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1700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1700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1700</v>
      </c>
      <c r="B303" t="s">
        <v>348</v>
      </c>
      <c r="C303" t="s">
        <v>1706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1700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1700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1700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1700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1700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1700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1700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1700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1700</v>
      </c>
      <c r="B312" t="s">
        <v>348</v>
      </c>
      <c r="C312" t="s">
        <v>1707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1700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1700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1700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1700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1700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1700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1700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1700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1700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1700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1700</v>
      </c>
      <c r="B323" t="s">
        <v>348</v>
      </c>
      <c r="C323" t="s">
        <v>1708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1700</v>
      </c>
      <c r="B324" t="s">
        <v>348</v>
      </c>
      <c r="C324" t="s">
        <v>1709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1700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1700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1700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1700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1700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1700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1700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1700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1700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1700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1700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1700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1700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1700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1700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1700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1700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1700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1700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1700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1700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1700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1700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1700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1700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1700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1700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1700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1700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1700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1700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1700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1700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1700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1700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1700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1700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1700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1700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1700</v>
      </c>
      <c r="B364" t="s">
        <v>348</v>
      </c>
      <c r="C364" t="s">
        <v>1710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1700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1700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1700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1700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1700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1700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1700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1700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1700</v>
      </c>
      <c r="B373" t="s">
        <v>348</v>
      </c>
      <c r="C373" t="s">
        <v>1711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1700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1700</v>
      </c>
      <c r="B375" t="s">
        <v>348</v>
      </c>
      <c r="C375" t="s">
        <v>1712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1700</v>
      </c>
      <c r="B376" t="s">
        <v>348</v>
      </c>
      <c r="C376" t="s">
        <v>1713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1700</v>
      </c>
      <c r="B377" t="s">
        <v>348</v>
      </c>
      <c r="C377" t="s">
        <v>1714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1700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1700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1700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1700</v>
      </c>
      <c r="B381" t="s">
        <v>348</v>
      </c>
      <c r="C381" t="s">
        <v>1715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1700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1700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1700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1700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1700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1700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1700</v>
      </c>
      <c r="B388" t="s">
        <v>348</v>
      </c>
      <c r="C388" t="s">
        <v>1716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1700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1700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1700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1700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1700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1700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1700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1700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1700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1700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1700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1700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1700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1700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1700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1700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1700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1700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1700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1700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1700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1700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1700</v>
      </c>
      <c r="B411" t="s">
        <v>348</v>
      </c>
      <c r="C411" t="s">
        <v>1717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1700</v>
      </c>
      <c r="B412" t="s">
        <v>348</v>
      </c>
      <c r="C412" t="s">
        <v>1718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1700</v>
      </c>
      <c r="B413" t="s">
        <v>348</v>
      </c>
      <c r="C413" t="s">
        <v>1719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1700</v>
      </c>
      <c r="B414" t="s">
        <v>348</v>
      </c>
      <c r="C414" t="s">
        <v>1720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1700</v>
      </c>
      <c r="B415" t="s">
        <v>348</v>
      </c>
      <c r="C415" t="s">
        <v>1721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1700</v>
      </c>
      <c r="B416" t="s">
        <v>348</v>
      </c>
      <c r="C416" t="s">
        <v>1722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1700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1700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1700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1700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1700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1700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1700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1700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1700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1700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1700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1700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1700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1700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1700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1700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1700</v>
      </c>
      <c r="B433" t="s">
        <v>348</v>
      </c>
      <c r="C433" t="s">
        <v>1723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1700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1700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1700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1700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1700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1700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1700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1700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1700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1700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1700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1700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1700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1700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1700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1700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1700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1700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1700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1700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1700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1700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1700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1700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1700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1700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1700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1700</v>
      </c>
      <c r="B461" t="s">
        <v>348</v>
      </c>
      <c r="C461" t="s">
        <v>1724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1700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1700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1700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1700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1700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1700</v>
      </c>
      <c r="B467" t="s">
        <v>348</v>
      </c>
      <c r="C467" t="s">
        <v>1725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1700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1700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1700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1700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1700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1700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1700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1700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1700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1700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1700</v>
      </c>
      <c r="B478" t="s">
        <v>348</v>
      </c>
      <c r="C478" t="s">
        <v>1726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1700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1700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1700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1700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1700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1700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1700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1700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1700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1700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1700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1700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1700</v>
      </c>
      <c r="B491" t="s">
        <v>349</v>
      </c>
      <c r="C491" t="s">
        <v>1701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1700</v>
      </c>
      <c r="B492" t="s">
        <v>349</v>
      </c>
      <c r="C492" t="s">
        <v>1702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1700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1700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1700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1700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1700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1700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1700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1700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1700</v>
      </c>
      <c r="B501" t="s">
        <v>349</v>
      </c>
      <c r="C501" t="s">
        <v>1703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1700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1700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1700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1700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1700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1700</v>
      </c>
      <c r="B507" t="s">
        <v>349</v>
      </c>
      <c r="C507" t="s">
        <v>1704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1700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1700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1700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1700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1700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1700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1700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1700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1700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1700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1700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1700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1700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1700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1700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1700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1700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1700</v>
      </c>
      <c r="B525" t="s">
        <v>349</v>
      </c>
      <c r="C525" t="s">
        <v>1705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1700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1700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1700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1700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1700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1700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1700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1700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1700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1700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1700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1700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1700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1700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1700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1700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1700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1700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1700</v>
      </c>
      <c r="B544" t="s">
        <v>349</v>
      </c>
      <c r="C544" t="s">
        <v>1706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1700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1700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1700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1700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1700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1700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1700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1700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1700</v>
      </c>
      <c r="B553" t="s">
        <v>349</v>
      </c>
      <c r="C553" t="s">
        <v>1707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1700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1700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1700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1700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1700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1700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1700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1700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1700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1700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1700</v>
      </c>
      <c r="B564" t="s">
        <v>349</v>
      </c>
      <c r="C564" t="s">
        <v>1708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1700</v>
      </c>
      <c r="B565" t="s">
        <v>349</v>
      </c>
      <c r="C565" t="s">
        <v>1709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1700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1700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1700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1700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1700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1700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1700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1700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1700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1700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1700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1700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1700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1700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1700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1700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1700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1700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1700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1700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1700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1700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1700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1700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1700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1700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1700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1700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1700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1700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1700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1700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1700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1700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1700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1700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1700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1700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1700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1700</v>
      </c>
      <c r="B605" t="s">
        <v>349</v>
      </c>
      <c r="C605" t="s">
        <v>1710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1700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1700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1700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1700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1700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1700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1700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1700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1700</v>
      </c>
      <c r="B614" t="s">
        <v>349</v>
      </c>
      <c r="C614" t="s">
        <v>1711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1700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1700</v>
      </c>
      <c r="B616" t="s">
        <v>349</v>
      </c>
      <c r="C616" t="s">
        <v>1712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1700</v>
      </c>
      <c r="B617" t="s">
        <v>349</v>
      </c>
      <c r="C617" t="s">
        <v>1713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1700</v>
      </c>
      <c r="B618" t="s">
        <v>349</v>
      </c>
      <c r="C618" t="s">
        <v>1714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1700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1700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1700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1700</v>
      </c>
      <c r="B622" t="s">
        <v>349</v>
      </c>
      <c r="C622" t="s">
        <v>1715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1700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1700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1700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1700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1700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1700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1700</v>
      </c>
      <c r="B629" t="s">
        <v>349</v>
      </c>
      <c r="C629" t="s">
        <v>1716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1700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1700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1700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1700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1700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1700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1700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1700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1700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1700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1700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1700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1700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1700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1700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1700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1700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1700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1700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1700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1700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1700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1700</v>
      </c>
      <c r="B652" t="s">
        <v>349</v>
      </c>
      <c r="C652" t="s">
        <v>1717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1700</v>
      </c>
      <c r="B653" t="s">
        <v>349</v>
      </c>
      <c r="C653" t="s">
        <v>1718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1700</v>
      </c>
      <c r="B654" t="s">
        <v>349</v>
      </c>
      <c r="C654" t="s">
        <v>1719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1700</v>
      </c>
      <c r="B655" t="s">
        <v>349</v>
      </c>
      <c r="C655" t="s">
        <v>1720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1700</v>
      </c>
      <c r="B656" t="s">
        <v>349</v>
      </c>
      <c r="C656" t="s">
        <v>1721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1700</v>
      </c>
      <c r="B657" t="s">
        <v>349</v>
      </c>
      <c r="C657" t="s">
        <v>1722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1700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1700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1700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1700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1700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1700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1700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1700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1700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1700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1700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1700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1700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1700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1700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1700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1700</v>
      </c>
      <c r="B674" t="s">
        <v>349</v>
      </c>
      <c r="C674" t="s">
        <v>1723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1700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1700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1700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1700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1700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1700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1700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1700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1700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1700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1700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1700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1700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1700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1700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1700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1700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1700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1700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1700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1700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1700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1700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1700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1700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1700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1700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1700</v>
      </c>
      <c r="B702" t="s">
        <v>349</v>
      </c>
      <c r="C702" t="s">
        <v>1724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1700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1700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1700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1700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1700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1700</v>
      </c>
      <c r="B708" t="s">
        <v>349</v>
      </c>
      <c r="C708" t="s">
        <v>1725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1700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1700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1700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1700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1700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1700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1700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1700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1700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1700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1700</v>
      </c>
      <c r="B719" t="s">
        <v>349</v>
      </c>
      <c r="C719" t="s">
        <v>1726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1700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1700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1700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1700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1700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1700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1700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1700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1700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1700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1700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1700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1700</v>
      </c>
      <c r="B732" t="s">
        <v>350</v>
      </c>
      <c r="C732" t="s">
        <v>1701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1700</v>
      </c>
      <c r="B733" t="s">
        <v>350</v>
      </c>
      <c r="C733" t="s">
        <v>1702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1700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1700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1700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1700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1700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1700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1700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1700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1700</v>
      </c>
      <c r="B742" t="s">
        <v>350</v>
      </c>
      <c r="C742" t="s">
        <v>1703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1700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1700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1700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1700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1700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1700</v>
      </c>
      <c r="B748" t="s">
        <v>350</v>
      </c>
      <c r="C748" t="s">
        <v>1704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1700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1700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1700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1700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1700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1700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1700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1700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1700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1700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1700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1700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1700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1700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1700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1700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1700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1700</v>
      </c>
      <c r="B766" t="s">
        <v>350</v>
      </c>
      <c r="C766" t="s">
        <v>1705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1700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1700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1700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1700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1700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1700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1700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1700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1700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1700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1700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1700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1700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1700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1700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1700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1700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1700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1700</v>
      </c>
      <c r="B785" t="s">
        <v>350</v>
      </c>
      <c r="C785" t="s">
        <v>1706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1700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1700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1700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1700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1700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1700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1700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1700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1700</v>
      </c>
      <c r="B794" t="s">
        <v>350</v>
      </c>
      <c r="C794" t="s">
        <v>1707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1700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1700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1700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1700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1700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1700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1700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1700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1700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1700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1700</v>
      </c>
      <c r="B805" t="s">
        <v>350</v>
      </c>
      <c r="C805" t="s">
        <v>1708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1700</v>
      </c>
      <c r="B806" t="s">
        <v>350</v>
      </c>
      <c r="C806" t="s">
        <v>1709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1700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1700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1700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1700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1700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1700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1700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1700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1700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1700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1700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1700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1700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1700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1700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1700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1700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1700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1700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1700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1700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1700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1700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1700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1700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1700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1700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1700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1700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1700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1700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1700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1700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1700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1700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1700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1700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1700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1700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1700</v>
      </c>
      <c r="B846" t="s">
        <v>350</v>
      </c>
      <c r="C846" t="s">
        <v>1710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1700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1700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1700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1700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1700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1700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1700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1700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1700</v>
      </c>
      <c r="B855" t="s">
        <v>350</v>
      </c>
      <c r="C855" t="s">
        <v>1711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1700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1700</v>
      </c>
      <c r="B857" t="s">
        <v>350</v>
      </c>
      <c r="C857" t="s">
        <v>1712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1700</v>
      </c>
      <c r="B858" t="s">
        <v>350</v>
      </c>
      <c r="C858" t="s">
        <v>1713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1700</v>
      </c>
      <c r="B859" t="s">
        <v>350</v>
      </c>
      <c r="C859" t="s">
        <v>1714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1700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1700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1700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1700</v>
      </c>
      <c r="B863" t="s">
        <v>350</v>
      </c>
      <c r="C863" t="s">
        <v>1715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1700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1700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1700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1700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1700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1700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1700</v>
      </c>
      <c r="B870" t="s">
        <v>350</v>
      </c>
      <c r="C870" t="s">
        <v>1716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1700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1700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1700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1700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1700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1700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1700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1700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1700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1700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1700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1700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1700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1700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1700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1700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1700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1700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1700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1700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1700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1700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1700</v>
      </c>
      <c r="B893" t="s">
        <v>350</v>
      </c>
      <c r="C893" t="s">
        <v>1717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1700</v>
      </c>
      <c r="B894" t="s">
        <v>350</v>
      </c>
      <c r="C894" t="s">
        <v>1718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1700</v>
      </c>
      <c r="B895" t="s">
        <v>350</v>
      </c>
      <c r="C895" t="s">
        <v>1719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1700</v>
      </c>
      <c r="B896" t="s">
        <v>350</v>
      </c>
      <c r="C896" t="s">
        <v>1720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1700</v>
      </c>
      <c r="B897" t="s">
        <v>350</v>
      </c>
      <c r="C897" t="s">
        <v>1721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1700</v>
      </c>
      <c r="B898" t="s">
        <v>350</v>
      </c>
      <c r="C898" t="s">
        <v>1722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1700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1700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1700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1700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1700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1700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1700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1700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1700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1700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1700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1700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1700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1700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1700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1700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1700</v>
      </c>
      <c r="B915" t="s">
        <v>350</v>
      </c>
      <c r="C915" t="s">
        <v>1723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1700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1700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1700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1700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1700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1700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1700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1700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1700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1700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1700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1700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1700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1700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1700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1700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1700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1700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1700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1700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1700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1700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1700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1700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1700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1700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1700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1700</v>
      </c>
      <c r="B943" t="s">
        <v>350</v>
      </c>
      <c r="C943" t="s">
        <v>1724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1700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1700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1700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1700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1700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1700</v>
      </c>
      <c r="B949" t="s">
        <v>350</v>
      </c>
      <c r="C949" t="s">
        <v>1725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1700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1700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1700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1700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1700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1700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1700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1700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1700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1700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1700</v>
      </c>
      <c r="B960" t="s">
        <v>350</v>
      </c>
      <c r="C960" t="s">
        <v>1726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1700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1700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1700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1700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1700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1700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1700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1700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1700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1700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1700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1700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1700</v>
      </c>
      <c r="B973" t="s">
        <v>351</v>
      </c>
      <c r="C973" t="s">
        <v>1701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1700</v>
      </c>
      <c r="B974" t="s">
        <v>351</v>
      </c>
      <c r="C974" t="s">
        <v>1702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1700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1700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1700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1700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1700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1700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1700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1700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1700</v>
      </c>
      <c r="B983" t="s">
        <v>351</v>
      </c>
      <c r="C983" t="s">
        <v>1703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1700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1700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1700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1700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1700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1700</v>
      </c>
      <c r="B989" t="s">
        <v>351</v>
      </c>
      <c r="C989" t="s">
        <v>1704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1700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1700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1700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1700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1700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1700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1700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1700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1700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1700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1700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1700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1700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1700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1700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1700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1700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1700</v>
      </c>
      <c r="B1007" t="s">
        <v>351</v>
      </c>
      <c r="C1007" t="s">
        <v>1705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1700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1700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1700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1700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1700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1700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1700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1700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1700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1700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1700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1700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1700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1700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1700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1700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1700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1700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1700</v>
      </c>
      <c r="B1026" t="s">
        <v>351</v>
      </c>
      <c r="C1026" t="s">
        <v>1706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1700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1700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1700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1700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1700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1700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1700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1700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1700</v>
      </c>
      <c r="B1035" t="s">
        <v>351</v>
      </c>
      <c r="C1035" t="s">
        <v>1707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1700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1700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1700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1700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1700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1700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1700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1700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1700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1700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1700</v>
      </c>
      <c r="B1046" t="s">
        <v>351</v>
      </c>
      <c r="C1046" t="s">
        <v>1708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1700</v>
      </c>
      <c r="B1047" t="s">
        <v>351</v>
      </c>
      <c r="C1047" t="s">
        <v>1709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1700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1700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1700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1700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1700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1700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1700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1700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1700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1700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1700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1700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1700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1700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1700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1700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1700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1700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1700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1700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1700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1700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1700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1700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1700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1700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1700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1700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1700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1700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1700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1700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1700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1700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1700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1700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1700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1700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1700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1700</v>
      </c>
      <c r="B1087" t="s">
        <v>351</v>
      </c>
      <c r="C1087" t="s">
        <v>1710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1700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1700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1700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1700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1700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1700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1700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1700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1700</v>
      </c>
      <c r="B1096" t="s">
        <v>351</v>
      </c>
      <c r="C1096" t="s">
        <v>1711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1700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1700</v>
      </c>
      <c r="B1098" t="s">
        <v>351</v>
      </c>
      <c r="C1098" t="s">
        <v>1712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1700</v>
      </c>
      <c r="B1099" t="s">
        <v>351</v>
      </c>
      <c r="C1099" t="s">
        <v>1713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1700</v>
      </c>
      <c r="B1100" t="s">
        <v>351</v>
      </c>
      <c r="C1100" t="s">
        <v>1714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1700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1700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1700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1700</v>
      </c>
      <c r="B1104" t="s">
        <v>351</v>
      </c>
      <c r="C1104" t="s">
        <v>1715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1700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1700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1700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1700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1700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1700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1700</v>
      </c>
      <c r="B1111" t="s">
        <v>351</v>
      </c>
      <c r="C1111" t="s">
        <v>1716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1700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1700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1700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1700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1700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1700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1700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1700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1700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1700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1700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1700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1700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1700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1700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1700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1700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1700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1700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1700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1700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1700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1700</v>
      </c>
      <c r="B1134" t="s">
        <v>351</v>
      </c>
      <c r="C1134" t="s">
        <v>1717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1700</v>
      </c>
      <c r="B1135" t="s">
        <v>351</v>
      </c>
      <c r="C1135" t="s">
        <v>1718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1700</v>
      </c>
      <c r="B1136" t="s">
        <v>351</v>
      </c>
      <c r="C1136" t="s">
        <v>1719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1700</v>
      </c>
      <c r="B1137" t="s">
        <v>351</v>
      </c>
      <c r="C1137" t="s">
        <v>1720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1700</v>
      </c>
      <c r="B1138" t="s">
        <v>351</v>
      </c>
      <c r="C1138" t="s">
        <v>1721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1700</v>
      </c>
      <c r="B1139" t="s">
        <v>351</v>
      </c>
      <c r="C1139" t="s">
        <v>1722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1700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1700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1700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1700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1700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1700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1700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1700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1700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1700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1700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1700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1700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1700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1700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1700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1700</v>
      </c>
      <c r="B1156" t="s">
        <v>351</v>
      </c>
      <c r="C1156" t="s">
        <v>1723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1700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1700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1700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1700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1700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1700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1700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1700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1700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1700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1700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1700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1700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1700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1700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1700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1700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1700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1700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1700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1700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1700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1700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1700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1700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1700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1700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1700</v>
      </c>
      <c r="B1184" t="s">
        <v>351</v>
      </c>
      <c r="C1184" t="s">
        <v>1724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1700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1700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1700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1700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1700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1700</v>
      </c>
      <c r="B1190" t="s">
        <v>351</v>
      </c>
      <c r="C1190" t="s">
        <v>1725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1700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1700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1700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1700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1700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1700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1700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1700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1700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1700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1700</v>
      </c>
      <c r="B1201" t="s">
        <v>351</v>
      </c>
      <c r="C1201" t="s">
        <v>1726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1700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1700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1700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1700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1700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1700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1700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1700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1700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1700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1700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1700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1700</v>
      </c>
      <c r="B1214" t="s">
        <v>352</v>
      </c>
      <c r="C1214" t="s">
        <v>1701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1700</v>
      </c>
      <c r="B1215" t="s">
        <v>352</v>
      </c>
      <c r="C1215" t="s">
        <v>1702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1700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1700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1700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1700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1700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1700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1700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1700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1700</v>
      </c>
      <c r="B1224" t="s">
        <v>352</v>
      </c>
      <c r="C1224" t="s">
        <v>1703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1700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1700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1700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1700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1700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1700</v>
      </c>
      <c r="B1230" t="s">
        <v>352</v>
      </c>
      <c r="C1230" t="s">
        <v>1704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1700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1700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1700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1700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1700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1700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1700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1700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1700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1700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1700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1700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1700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1700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1700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1700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1700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1700</v>
      </c>
      <c r="B1248" t="s">
        <v>352</v>
      </c>
      <c r="C1248" t="s">
        <v>1705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1700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1700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1700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1700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1700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1700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1700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1700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1700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1700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1700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1700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1700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1700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1700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1700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1700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1700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1700</v>
      </c>
      <c r="B1267" t="s">
        <v>352</v>
      </c>
      <c r="C1267" t="s">
        <v>1706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1700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1700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1700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1700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1700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1700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1700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1700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1700</v>
      </c>
      <c r="B1276" t="s">
        <v>352</v>
      </c>
      <c r="C1276" t="s">
        <v>1707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1700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1700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1700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1700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1700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1700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1700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1700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1700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1700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1700</v>
      </c>
      <c r="B1287" t="s">
        <v>352</v>
      </c>
      <c r="C1287" t="s">
        <v>1708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1700</v>
      </c>
      <c r="B1288" t="s">
        <v>352</v>
      </c>
      <c r="C1288" t="s">
        <v>1709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1700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1700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1700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1700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1700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1700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1700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1700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1700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1700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1700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1700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1700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1700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1700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1700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1700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1700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1700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1700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1700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1700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1700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1700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1700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1700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1700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1700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1700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1700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1700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1700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1700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1700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1700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1700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1700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1700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1700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1700</v>
      </c>
      <c r="B1328" t="s">
        <v>352</v>
      </c>
      <c r="C1328" t="s">
        <v>1710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1700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1700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1700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1700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1700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1700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1700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1700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1700</v>
      </c>
      <c r="B1337" t="s">
        <v>352</v>
      </c>
      <c r="C1337" t="s">
        <v>1711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1700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1700</v>
      </c>
      <c r="B1339" t="s">
        <v>352</v>
      </c>
      <c r="C1339" t="s">
        <v>1712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1700</v>
      </c>
      <c r="B1340" t="s">
        <v>352</v>
      </c>
      <c r="C1340" t="s">
        <v>1713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1700</v>
      </c>
      <c r="B1341" t="s">
        <v>352</v>
      </c>
      <c r="C1341" t="s">
        <v>1714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1700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1700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1700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1700</v>
      </c>
      <c r="B1345" t="s">
        <v>352</v>
      </c>
      <c r="C1345" t="s">
        <v>1715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1700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1700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1700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1700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1700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1700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1700</v>
      </c>
      <c r="B1352" t="s">
        <v>352</v>
      </c>
      <c r="C1352" t="s">
        <v>1716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1700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1700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1700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1700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1700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1700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1700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1700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1700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1700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1700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1700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1700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1700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1700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1700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1700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1700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1700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1700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1700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1700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1700</v>
      </c>
      <c r="B1375" t="s">
        <v>352</v>
      </c>
      <c r="C1375" t="s">
        <v>1717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1700</v>
      </c>
      <c r="B1376" t="s">
        <v>352</v>
      </c>
      <c r="C1376" t="s">
        <v>1718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1700</v>
      </c>
      <c r="B1377" t="s">
        <v>352</v>
      </c>
      <c r="C1377" t="s">
        <v>1719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1700</v>
      </c>
      <c r="B1378" t="s">
        <v>352</v>
      </c>
      <c r="C1378" t="s">
        <v>1720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1700</v>
      </c>
      <c r="B1379" t="s">
        <v>352</v>
      </c>
      <c r="C1379" t="s">
        <v>1721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1700</v>
      </c>
      <c r="B1380" t="s">
        <v>352</v>
      </c>
      <c r="C1380" t="s">
        <v>1722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1700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1700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1700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1700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1700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1700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1700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1700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1700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1700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1700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1700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1700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1700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1700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1700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1700</v>
      </c>
      <c r="B1397" t="s">
        <v>352</v>
      </c>
      <c r="C1397" t="s">
        <v>1723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1700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1700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1700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1700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1700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1700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1700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1700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1700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1700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1700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1700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1700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1700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1700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1700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1700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1700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1700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1700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1700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1700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1700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1700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1700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1700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1700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1700</v>
      </c>
      <c r="B1425" t="s">
        <v>352</v>
      </c>
      <c r="C1425" t="s">
        <v>1724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1700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1700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1700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1700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1700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1700</v>
      </c>
      <c r="B1431" t="s">
        <v>352</v>
      </c>
      <c r="C1431" t="s">
        <v>1725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1700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1700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1700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1700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1700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1700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1700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1700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1700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1700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1700</v>
      </c>
      <c r="B1442" t="s">
        <v>352</v>
      </c>
      <c r="C1442" t="s">
        <v>1726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1700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1700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1700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1700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1700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1700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1700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1700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1700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1700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1700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1700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1700</v>
      </c>
      <c r="B1455" t="s">
        <v>353</v>
      </c>
      <c r="C1455" t="s">
        <v>1701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1700</v>
      </c>
      <c r="B1456" t="s">
        <v>353</v>
      </c>
      <c r="C1456" t="s">
        <v>1702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1700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1700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1700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1700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1700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1700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1700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1700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1700</v>
      </c>
      <c r="B1465" t="s">
        <v>353</v>
      </c>
      <c r="C1465" t="s">
        <v>1703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1700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1700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1700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1700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1700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1700</v>
      </c>
      <c r="B1471" t="s">
        <v>353</v>
      </c>
      <c r="C1471" t="s">
        <v>1704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1700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1700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1700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1700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1700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1700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1700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1700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1700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1700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1700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1700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1700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1700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1700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1700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1700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1700</v>
      </c>
      <c r="B1489" t="s">
        <v>353</v>
      </c>
      <c r="C1489" t="s">
        <v>1705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1700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1700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1700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1700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1700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1700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1700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1700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1700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1700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1700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1700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1700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1700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1700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1700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1700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1700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1700</v>
      </c>
      <c r="B1508" t="s">
        <v>353</v>
      </c>
      <c r="C1508" t="s">
        <v>1706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1700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1700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1700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1700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1700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1700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1700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1700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1700</v>
      </c>
      <c r="B1517" t="s">
        <v>353</v>
      </c>
      <c r="C1517" t="s">
        <v>1707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1700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1700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1700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1700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1700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1700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1700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1700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1700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1700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1700</v>
      </c>
      <c r="B1528" t="s">
        <v>353</v>
      </c>
      <c r="C1528" t="s">
        <v>1708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1700</v>
      </c>
      <c r="B1529" t="s">
        <v>353</v>
      </c>
      <c r="C1529" t="s">
        <v>1709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1700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1700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1700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1700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1700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1700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1700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1700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1700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1700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1700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1700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1700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1700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1700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1700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1700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1700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1700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1700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1700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1700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1700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1700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1700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1700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1700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1700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1700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1700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1700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1700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1700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1700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1700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1700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1700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1700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1700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1700</v>
      </c>
      <c r="B1569" t="s">
        <v>353</v>
      </c>
      <c r="C1569" t="s">
        <v>1710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1700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1700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1700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1700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1700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1700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1700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1700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1700</v>
      </c>
      <c r="B1578" t="s">
        <v>353</v>
      </c>
      <c r="C1578" t="s">
        <v>1711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1700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1700</v>
      </c>
      <c r="B1580" t="s">
        <v>353</v>
      </c>
      <c r="C1580" t="s">
        <v>1712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1700</v>
      </c>
      <c r="B1581" t="s">
        <v>353</v>
      </c>
      <c r="C1581" t="s">
        <v>1713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1700</v>
      </c>
      <c r="B1582" t="s">
        <v>353</v>
      </c>
      <c r="C1582" t="s">
        <v>1714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1700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1700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1700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1700</v>
      </c>
      <c r="B1586" t="s">
        <v>353</v>
      </c>
      <c r="C1586" t="s">
        <v>1715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1700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1700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1700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1700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1700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1700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1700</v>
      </c>
      <c r="B1593" t="s">
        <v>353</v>
      </c>
      <c r="C1593" t="s">
        <v>1716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1700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1700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1700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1700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1700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1700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1700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1700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1700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1700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1700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1700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1700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1700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1700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1700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1700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1700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1700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1700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1700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1700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1700</v>
      </c>
      <c r="B1616" t="s">
        <v>353</v>
      </c>
      <c r="C1616" t="s">
        <v>1717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1700</v>
      </c>
      <c r="B1617" t="s">
        <v>353</v>
      </c>
      <c r="C1617" t="s">
        <v>1718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1700</v>
      </c>
      <c r="B1618" t="s">
        <v>353</v>
      </c>
      <c r="C1618" t="s">
        <v>1719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1700</v>
      </c>
      <c r="B1619" t="s">
        <v>353</v>
      </c>
      <c r="C1619" t="s">
        <v>1720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1700</v>
      </c>
      <c r="B1620" t="s">
        <v>353</v>
      </c>
      <c r="C1620" t="s">
        <v>1721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1700</v>
      </c>
      <c r="B1621" t="s">
        <v>353</v>
      </c>
      <c r="C1621" t="s">
        <v>1722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1700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1700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1700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1700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1700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1700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1700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1700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1700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1700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1700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1700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1700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1700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1700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1700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1700</v>
      </c>
      <c r="B1638" t="s">
        <v>353</v>
      </c>
      <c r="C1638" t="s">
        <v>1723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1700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1700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1700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1700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1700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1700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1700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1700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1700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1700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1700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1700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1700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1700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1700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1700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1700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1700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1700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1700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1700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1700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1700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1700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1700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1700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1700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1700</v>
      </c>
      <c r="B1666" t="s">
        <v>353</v>
      </c>
      <c r="C1666" t="s">
        <v>1724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1700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1700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1700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1700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1700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1700</v>
      </c>
      <c r="B1672" t="s">
        <v>353</v>
      </c>
      <c r="C1672" t="s">
        <v>1725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1700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1700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1700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1700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1700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1700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1700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1700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1700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1700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1700</v>
      </c>
      <c r="B1683" t="s">
        <v>353</v>
      </c>
      <c r="C1683" t="s">
        <v>1726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1700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1700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1700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1700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1700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1700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1700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1700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1700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1700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1700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1700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1700</v>
      </c>
      <c r="B1696" t="s">
        <v>354</v>
      </c>
      <c r="C1696" t="s">
        <v>1701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1700</v>
      </c>
      <c r="B1697" t="s">
        <v>354</v>
      </c>
      <c r="C1697" t="s">
        <v>1702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1700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1700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1700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1700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1700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1700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1700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1700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1700</v>
      </c>
      <c r="B1706" t="s">
        <v>354</v>
      </c>
      <c r="C1706" t="s">
        <v>1703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1700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1700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1700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1700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1700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1700</v>
      </c>
      <c r="B1712" t="s">
        <v>354</v>
      </c>
      <c r="C1712" t="s">
        <v>1704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1700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1700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1700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1700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1700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1700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1700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1700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1700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1700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1700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1700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1700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1700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1700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1700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1700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1700</v>
      </c>
      <c r="B1730" t="s">
        <v>354</v>
      </c>
      <c r="C1730" t="s">
        <v>1705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1700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1700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1700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1700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1700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1700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1700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1700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1700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1700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1700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1700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1700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1700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1700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1700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1700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1700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1700</v>
      </c>
      <c r="B1749" t="s">
        <v>354</v>
      </c>
      <c r="C1749" t="s">
        <v>1706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1700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1700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1700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1700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1700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1700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1700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1700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1700</v>
      </c>
      <c r="B1758" t="s">
        <v>354</v>
      </c>
      <c r="C1758" t="s">
        <v>1707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1700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1700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1700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1700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1700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1700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1700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1700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1700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1700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1700</v>
      </c>
      <c r="B1769" t="s">
        <v>354</v>
      </c>
      <c r="C1769" t="s">
        <v>1708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1700</v>
      </c>
      <c r="B1770" t="s">
        <v>354</v>
      </c>
      <c r="C1770" t="s">
        <v>1709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1700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1700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1700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1700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1700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1700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1700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1700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1700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1700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1700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1700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1700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1700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1700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1700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1700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1700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1700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1700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1700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1700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1700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1700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1700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1700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1700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1700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1700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1700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1700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1700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1700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1700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1700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1700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1700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1700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1700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1700</v>
      </c>
      <c r="B1810" t="s">
        <v>354</v>
      </c>
      <c r="C1810" t="s">
        <v>1710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1700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1700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1700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1700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1700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1700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1700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1700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1700</v>
      </c>
      <c r="B1819" t="s">
        <v>354</v>
      </c>
      <c r="C1819" t="s">
        <v>1711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1700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1700</v>
      </c>
      <c r="B1821" t="s">
        <v>354</v>
      </c>
      <c r="C1821" t="s">
        <v>1712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1700</v>
      </c>
      <c r="B1822" t="s">
        <v>354</v>
      </c>
      <c r="C1822" t="s">
        <v>1713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1700</v>
      </c>
      <c r="B1823" t="s">
        <v>354</v>
      </c>
      <c r="C1823" t="s">
        <v>1714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1700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1700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1700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1700</v>
      </c>
      <c r="B1827" t="s">
        <v>354</v>
      </c>
      <c r="C1827" t="s">
        <v>1715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1700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1700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1700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1700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1700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1700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1700</v>
      </c>
      <c r="B1834" t="s">
        <v>354</v>
      </c>
      <c r="C1834" t="s">
        <v>1716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1700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1700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1700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1700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1700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1700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1700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1700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1700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1700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1700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1700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1700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1700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1700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1700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1700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1700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1700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1700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1700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1700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1700</v>
      </c>
      <c r="B1857" t="s">
        <v>354</v>
      </c>
      <c r="C1857" t="s">
        <v>1717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1700</v>
      </c>
      <c r="B1858" t="s">
        <v>354</v>
      </c>
      <c r="C1858" t="s">
        <v>1718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1700</v>
      </c>
      <c r="B1859" t="s">
        <v>354</v>
      </c>
      <c r="C1859" t="s">
        <v>1719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1700</v>
      </c>
      <c r="B1860" t="s">
        <v>354</v>
      </c>
      <c r="C1860" t="s">
        <v>1720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1700</v>
      </c>
      <c r="B1861" t="s">
        <v>354</v>
      </c>
      <c r="C1861" t="s">
        <v>1721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1700</v>
      </c>
      <c r="B1862" t="s">
        <v>354</v>
      </c>
      <c r="C1862" t="s">
        <v>1722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1700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1700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1700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1700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1700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1700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1700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1700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1700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1700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1700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1700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1700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1700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1700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1700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1700</v>
      </c>
      <c r="B1879" t="s">
        <v>354</v>
      </c>
      <c r="C1879" t="s">
        <v>1723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1700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1700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1700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1700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1700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1700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1700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1700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1700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1700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1700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1700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1700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1700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1700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1700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1700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1700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1700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1700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1700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1700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1700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1700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1700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1700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1700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1700</v>
      </c>
      <c r="B1907" t="s">
        <v>354</v>
      </c>
      <c r="C1907" t="s">
        <v>1724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1700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1700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1700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1700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1700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1700</v>
      </c>
      <c r="B1913" t="s">
        <v>354</v>
      </c>
      <c r="C1913" t="s">
        <v>1725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1700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1700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1700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1700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1700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1700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1700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1700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1700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1700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1700</v>
      </c>
      <c r="B1924" t="s">
        <v>354</v>
      </c>
      <c r="C1924" t="s">
        <v>1726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1700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1700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1700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1700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1700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1700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1700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1700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1700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1700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1700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1700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1700</v>
      </c>
      <c r="B1937" t="s">
        <v>355</v>
      </c>
      <c r="C1937" t="s">
        <v>1701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1700</v>
      </c>
      <c r="B1938" t="s">
        <v>355</v>
      </c>
      <c r="C1938" t="s">
        <v>1702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1700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1700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1700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1700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1700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1700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1700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1700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1700</v>
      </c>
      <c r="B1947" t="s">
        <v>355</v>
      </c>
      <c r="C1947" t="s">
        <v>1703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1700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1700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1700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1700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1700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1700</v>
      </c>
      <c r="B1953" t="s">
        <v>355</v>
      </c>
      <c r="C1953" t="s">
        <v>1704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1700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1700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1700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1700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1700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1700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1700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1700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1700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1700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1700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1700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1700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1700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1700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1700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1700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1700</v>
      </c>
      <c r="B1971" t="s">
        <v>355</v>
      </c>
      <c r="C1971" t="s">
        <v>1705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1700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1700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1700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1700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1700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1700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1700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1700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1700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1700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1700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1700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1700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1700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1700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1700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1700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1700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1700</v>
      </c>
      <c r="B1990" t="s">
        <v>355</v>
      </c>
      <c r="C1990" t="s">
        <v>1706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1700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1700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1700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1700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1700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1700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1700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1700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1700</v>
      </c>
      <c r="B1999" t="s">
        <v>355</v>
      </c>
      <c r="C1999" t="s">
        <v>1707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1700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1700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1700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1700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1700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1700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1700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1700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1700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1700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1700</v>
      </c>
      <c r="B2010" t="s">
        <v>355</v>
      </c>
      <c r="C2010" t="s">
        <v>1708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1700</v>
      </c>
      <c r="B2011" t="s">
        <v>355</v>
      </c>
      <c r="C2011" t="s">
        <v>1709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1700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1700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1700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1700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1700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1700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1700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1700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1700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1700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1700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1700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1700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1700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1700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1700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1700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1700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1700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1700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1700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1700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1700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1700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1700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1700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1700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1700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1700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1700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1700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1700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1700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1700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1700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1700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1700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1700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1700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1700</v>
      </c>
      <c r="B2051" t="s">
        <v>355</v>
      </c>
      <c r="C2051" t="s">
        <v>1710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1700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1700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1700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1700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1700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1700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1700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1700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1700</v>
      </c>
      <c r="B2060" t="s">
        <v>355</v>
      </c>
      <c r="C2060" t="s">
        <v>1711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1700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1700</v>
      </c>
      <c r="B2062" t="s">
        <v>355</v>
      </c>
      <c r="C2062" t="s">
        <v>1712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1700</v>
      </c>
      <c r="B2063" t="s">
        <v>355</v>
      </c>
      <c r="C2063" t="s">
        <v>1713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1700</v>
      </c>
      <c r="B2064" t="s">
        <v>355</v>
      </c>
      <c r="C2064" t="s">
        <v>1714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1700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1700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1700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1700</v>
      </c>
      <c r="B2068" t="s">
        <v>355</v>
      </c>
      <c r="C2068" t="s">
        <v>1715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1700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1700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1700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1700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1700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1700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1700</v>
      </c>
      <c r="B2075" t="s">
        <v>355</v>
      </c>
      <c r="C2075" t="s">
        <v>1716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1700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1700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1700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1700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1700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1700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1700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1700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1700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1700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1700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1700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1700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1700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1700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1700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1700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1700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1700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1700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1700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1700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1700</v>
      </c>
      <c r="B2098" t="s">
        <v>355</v>
      </c>
      <c r="C2098" t="s">
        <v>1717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1700</v>
      </c>
      <c r="B2099" t="s">
        <v>355</v>
      </c>
      <c r="C2099" t="s">
        <v>1718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1700</v>
      </c>
      <c r="B2100" t="s">
        <v>355</v>
      </c>
      <c r="C2100" t="s">
        <v>1719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1700</v>
      </c>
      <c r="B2101" t="s">
        <v>355</v>
      </c>
      <c r="C2101" t="s">
        <v>1720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1700</v>
      </c>
      <c r="B2102" t="s">
        <v>355</v>
      </c>
      <c r="C2102" t="s">
        <v>1721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1700</v>
      </c>
      <c r="B2103" t="s">
        <v>355</v>
      </c>
      <c r="C2103" t="s">
        <v>1722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1700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1700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1700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1700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1700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1700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1700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1700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1700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1700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1700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1700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1700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1700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1700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1700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1700</v>
      </c>
      <c r="B2120" t="s">
        <v>355</v>
      </c>
      <c r="C2120" t="s">
        <v>1723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1700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1700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1700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1700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1700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1700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1700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1700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1700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1700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1700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1700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1700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1700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1700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1700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1700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1700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1700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1700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1700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1700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1700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1700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1700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1700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1700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1700</v>
      </c>
      <c r="B2148" t="s">
        <v>355</v>
      </c>
      <c r="C2148" t="s">
        <v>1724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1700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1700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1700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1700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1700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1700</v>
      </c>
      <c r="B2154" t="s">
        <v>355</v>
      </c>
      <c r="C2154" t="s">
        <v>1725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1700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1700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1700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1700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1700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1700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1700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1700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1700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1700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1700</v>
      </c>
      <c r="B2165" t="s">
        <v>355</v>
      </c>
      <c r="C2165" t="s">
        <v>1726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1700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1700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1700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1700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1700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1700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1700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1700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1700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1700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1700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1700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1700</v>
      </c>
      <c r="B2178" t="s">
        <v>356</v>
      </c>
      <c r="C2178" t="s">
        <v>1701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1700</v>
      </c>
      <c r="B2179" t="s">
        <v>356</v>
      </c>
      <c r="C2179" t="s">
        <v>1702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1700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1700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1700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1700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1700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1700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1700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1700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1700</v>
      </c>
      <c r="B2188" t="s">
        <v>356</v>
      </c>
      <c r="C2188" t="s">
        <v>1703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1700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1700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1700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1700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1700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1700</v>
      </c>
      <c r="B2194" t="s">
        <v>356</v>
      </c>
      <c r="C2194" t="s">
        <v>1704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1700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1700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1700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1700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1700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1700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1700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1700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1700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1700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1700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1700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1700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1700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1700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1700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1700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1700</v>
      </c>
      <c r="B2212" t="s">
        <v>356</v>
      </c>
      <c r="C2212" t="s">
        <v>1705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1700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1700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1700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1700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1700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1700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1700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1700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1700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1700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1700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1700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1700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1700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1700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1700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1700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1700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1700</v>
      </c>
      <c r="B2231" t="s">
        <v>356</v>
      </c>
      <c r="C2231" t="s">
        <v>1706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1700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1700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1700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1700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1700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1700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1700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1700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1700</v>
      </c>
      <c r="B2240" t="s">
        <v>356</v>
      </c>
      <c r="C2240" t="s">
        <v>1707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1700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1700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1700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1700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1700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1700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1700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1700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1700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1700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1700</v>
      </c>
      <c r="B2251" t="s">
        <v>356</v>
      </c>
      <c r="C2251" t="s">
        <v>1708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1700</v>
      </c>
      <c r="B2252" t="s">
        <v>356</v>
      </c>
      <c r="C2252" t="s">
        <v>1709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1700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1700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1700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1700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1700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1700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1700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1700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1700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1700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1700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1700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1700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1700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1700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1700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1700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1700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1700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1700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1700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1700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1700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1700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1700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1700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1700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1700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1700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1700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1700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1700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1700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1700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1700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1700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1700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1700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1700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1700</v>
      </c>
      <c r="B2292" t="s">
        <v>356</v>
      </c>
      <c r="C2292" t="s">
        <v>1710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1700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1700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1700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1700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1700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1700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1700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1700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1700</v>
      </c>
      <c r="B2301" t="s">
        <v>356</v>
      </c>
      <c r="C2301" t="s">
        <v>1711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1700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1700</v>
      </c>
      <c r="B2303" t="s">
        <v>356</v>
      </c>
      <c r="C2303" t="s">
        <v>1712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1700</v>
      </c>
      <c r="B2304" t="s">
        <v>356</v>
      </c>
      <c r="C2304" t="s">
        <v>1713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1700</v>
      </c>
      <c r="B2305" t="s">
        <v>356</v>
      </c>
      <c r="C2305" t="s">
        <v>1714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1700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1700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1700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1700</v>
      </c>
      <c r="B2309" t="s">
        <v>356</v>
      </c>
      <c r="C2309" t="s">
        <v>1715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1700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1700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1700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1700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1700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1700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1700</v>
      </c>
      <c r="B2316" t="s">
        <v>356</v>
      </c>
      <c r="C2316" t="s">
        <v>1716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1700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1700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1700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1700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1700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1700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1700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1700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1700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1700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1700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1700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1700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1700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1700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1700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1700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1700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1700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1700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1700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1700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1700</v>
      </c>
      <c r="B2339" t="s">
        <v>356</v>
      </c>
      <c r="C2339" t="s">
        <v>1717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1700</v>
      </c>
      <c r="B2340" t="s">
        <v>356</v>
      </c>
      <c r="C2340" t="s">
        <v>1718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1700</v>
      </c>
      <c r="B2341" t="s">
        <v>356</v>
      </c>
      <c r="C2341" t="s">
        <v>1719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1700</v>
      </c>
      <c r="B2342" t="s">
        <v>356</v>
      </c>
      <c r="C2342" t="s">
        <v>1720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1700</v>
      </c>
      <c r="B2343" t="s">
        <v>356</v>
      </c>
      <c r="C2343" t="s">
        <v>1721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1700</v>
      </c>
      <c r="B2344" t="s">
        <v>356</v>
      </c>
      <c r="C2344" t="s">
        <v>1722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1700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1700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1700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1700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1700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1700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1700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1700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1700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1700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1700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1700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1700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1700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1700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1700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1700</v>
      </c>
      <c r="B2361" t="s">
        <v>356</v>
      </c>
      <c r="C2361" t="s">
        <v>1723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1700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1700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1700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1700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1700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1700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1700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1700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1700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1700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1700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1700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1700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1700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1700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1700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1700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1700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1700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1700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1700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1700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1700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1700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1700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1700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1700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1700</v>
      </c>
      <c r="B2389" t="s">
        <v>356</v>
      </c>
      <c r="C2389" t="s">
        <v>1724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1700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1700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1700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1700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1700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1700</v>
      </c>
      <c r="B2395" t="s">
        <v>356</v>
      </c>
      <c r="C2395" t="s">
        <v>1725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1700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1700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1700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1700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1700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1700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1700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1700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1700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1700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1700</v>
      </c>
      <c r="B2406" t="s">
        <v>356</v>
      </c>
      <c r="C2406" t="s">
        <v>1726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1700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1700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1700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1700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1700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1700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1700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1700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1700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1700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1700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1700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1700</v>
      </c>
      <c r="B2419" t="s">
        <v>357</v>
      </c>
      <c r="C2419" t="s">
        <v>1701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1700</v>
      </c>
      <c r="B2420" t="s">
        <v>357</v>
      </c>
      <c r="C2420" t="s">
        <v>1702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1700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1700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1700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1700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1700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1700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1700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1700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1700</v>
      </c>
      <c r="B2429" t="s">
        <v>357</v>
      </c>
      <c r="C2429" t="s">
        <v>1703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1700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1700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1700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1700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1700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1700</v>
      </c>
      <c r="B2435" t="s">
        <v>357</v>
      </c>
      <c r="C2435" t="s">
        <v>1704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1700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1700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1700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1700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1700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1700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1700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1700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1700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1700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1700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1700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1700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1700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1700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1700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1700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1700</v>
      </c>
      <c r="B2453" t="s">
        <v>357</v>
      </c>
      <c r="C2453" t="s">
        <v>1705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1700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1700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1700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1700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1700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1700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1700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1700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1700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1700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1700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1700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1700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1700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1700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1700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1700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1700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1700</v>
      </c>
      <c r="B2472" t="s">
        <v>357</v>
      </c>
      <c r="C2472" t="s">
        <v>1706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1700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1700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1700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1700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1700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1700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1700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1700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1700</v>
      </c>
      <c r="B2481" t="s">
        <v>357</v>
      </c>
      <c r="C2481" t="s">
        <v>1707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1700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1700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1700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1700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1700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1700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1700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1700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1700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1700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1700</v>
      </c>
      <c r="B2492" t="s">
        <v>357</v>
      </c>
      <c r="C2492" t="s">
        <v>1708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1700</v>
      </c>
      <c r="B2493" t="s">
        <v>357</v>
      </c>
      <c r="C2493" t="s">
        <v>1709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1700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1700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1700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1700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1700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1700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1700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1700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1700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1700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1700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1700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1700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1700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1700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1700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1700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1700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1700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1700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1700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1700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1700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1700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1700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1700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1700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1700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1700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1700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1700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1700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1700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1700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1700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1700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1700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1700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1700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1700</v>
      </c>
      <c r="B2533" t="s">
        <v>357</v>
      </c>
      <c r="C2533" t="s">
        <v>1710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1700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1700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1700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1700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1700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1700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1700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1700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1700</v>
      </c>
      <c r="B2542" t="s">
        <v>357</v>
      </c>
      <c r="C2542" t="s">
        <v>1711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1700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1700</v>
      </c>
      <c r="B2544" t="s">
        <v>357</v>
      </c>
      <c r="C2544" t="s">
        <v>1712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1700</v>
      </c>
      <c r="B2545" t="s">
        <v>357</v>
      </c>
      <c r="C2545" t="s">
        <v>1713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1700</v>
      </c>
      <c r="B2546" t="s">
        <v>357</v>
      </c>
      <c r="C2546" t="s">
        <v>1714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1700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1700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1700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1700</v>
      </c>
      <c r="B2550" t="s">
        <v>357</v>
      </c>
      <c r="C2550" t="s">
        <v>1715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1700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1700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1700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1700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1700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1700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1700</v>
      </c>
      <c r="B2557" t="s">
        <v>357</v>
      </c>
      <c r="C2557" t="s">
        <v>1716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1700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1700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1700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1700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1700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1700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1700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1700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1700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1700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1700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1700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1700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1700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1700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1700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1700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1700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1700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1700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1700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1700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1700</v>
      </c>
      <c r="B2580" t="s">
        <v>357</v>
      </c>
      <c r="C2580" t="s">
        <v>1717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1700</v>
      </c>
      <c r="B2581" t="s">
        <v>357</v>
      </c>
      <c r="C2581" t="s">
        <v>1718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1700</v>
      </c>
      <c r="B2582" t="s">
        <v>357</v>
      </c>
      <c r="C2582" t="s">
        <v>1719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1700</v>
      </c>
      <c r="B2583" t="s">
        <v>357</v>
      </c>
      <c r="C2583" t="s">
        <v>1720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1700</v>
      </c>
      <c r="B2584" t="s">
        <v>357</v>
      </c>
      <c r="C2584" t="s">
        <v>1721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1700</v>
      </c>
      <c r="B2585" t="s">
        <v>357</v>
      </c>
      <c r="C2585" t="s">
        <v>1722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1700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1700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1700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1700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1700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1700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1700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1700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1700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1700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1700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1700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1700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1700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1700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1700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1700</v>
      </c>
      <c r="B2602" t="s">
        <v>357</v>
      </c>
      <c r="C2602" t="s">
        <v>1723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1700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1700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1700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1700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1700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1700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1700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1700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1700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1700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1700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1700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1700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1700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1700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1700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1700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1700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1700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1700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1700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1700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1700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1700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1700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1700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1700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1700</v>
      </c>
      <c r="B2630" t="s">
        <v>357</v>
      </c>
      <c r="C2630" t="s">
        <v>1724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1700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1700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1700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1700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1700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1700</v>
      </c>
      <c r="B2636" t="s">
        <v>357</v>
      </c>
      <c r="C2636" t="s">
        <v>1725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1700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1700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1700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1700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1700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1700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1700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1700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1700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1700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1700</v>
      </c>
      <c r="B2647" t="s">
        <v>357</v>
      </c>
      <c r="C2647" t="s">
        <v>1726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1700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1700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1700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1700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1700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1700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1700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1700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1700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1700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1700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1700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1700</v>
      </c>
      <c r="B2660" t="s">
        <v>358</v>
      </c>
      <c r="C2660" t="s">
        <v>1701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1700</v>
      </c>
      <c r="B2661" t="s">
        <v>358</v>
      </c>
      <c r="C2661" t="s">
        <v>1702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1700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1700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1700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1700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1700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1700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1700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1700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1700</v>
      </c>
      <c r="B2670" t="s">
        <v>358</v>
      </c>
      <c r="C2670" t="s">
        <v>1703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1700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1700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1700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1700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1700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1700</v>
      </c>
      <c r="B2676" t="s">
        <v>358</v>
      </c>
      <c r="C2676" t="s">
        <v>1704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1700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1700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1700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1700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1700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1700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1700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1700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1700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1700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1700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1700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1700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1700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1700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1700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1700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1700</v>
      </c>
      <c r="B2694" t="s">
        <v>358</v>
      </c>
      <c r="C2694" t="s">
        <v>1705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1700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1700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1700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1700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1700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1700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1700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1700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1700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1700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1700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1700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1700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1700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1700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1700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1700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1700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1700</v>
      </c>
      <c r="B2713" t="s">
        <v>358</v>
      </c>
      <c r="C2713" t="s">
        <v>1706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1700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1700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1700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1700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1700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1700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1700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1700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1700</v>
      </c>
      <c r="B2722" t="s">
        <v>358</v>
      </c>
      <c r="C2722" t="s">
        <v>1707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1700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1700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1700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1700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1700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1700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1700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1700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1700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1700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1700</v>
      </c>
      <c r="B2733" t="s">
        <v>358</v>
      </c>
      <c r="C2733" t="s">
        <v>1708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1700</v>
      </c>
      <c r="B2734" t="s">
        <v>358</v>
      </c>
      <c r="C2734" t="s">
        <v>1709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1700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1700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1700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1700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1700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1700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1700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1700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1700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1700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1700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1700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1700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1700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1700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1700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1700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1700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1700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1700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1700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1700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1700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1700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1700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1700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1700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1700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1700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1700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1700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1700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1700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1700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1700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1700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1700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1700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1700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1700</v>
      </c>
      <c r="B2774" t="s">
        <v>358</v>
      </c>
      <c r="C2774" t="s">
        <v>1710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1700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1700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1700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1700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1700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1700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1700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1700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1700</v>
      </c>
      <c r="B2783" t="s">
        <v>358</v>
      </c>
      <c r="C2783" t="s">
        <v>1711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1700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1700</v>
      </c>
      <c r="B2785" t="s">
        <v>358</v>
      </c>
      <c r="C2785" t="s">
        <v>1712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1700</v>
      </c>
      <c r="B2786" t="s">
        <v>358</v>
      </c>
      <c r="C2786" t="s">
        <v>1713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1700</v>
      </c>
      <c r="B2787" t="s">
        <v>358</v>
      </c>
      <c r="C2787" t="s">
        <v>1714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1700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1700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1700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1700</v>
      </c>
      <c r="B2791" t="s">
        <v>358</v>
      </c>
      <c r="C2791" t="s">
        <v>1715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1700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1700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1700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1700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1700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1700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1700</v>
      </c>
      <c r="B2798" t="s">
        <v>358</v>
      </c>
      <c r="C2798" t="s">
        <v>1716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1700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1700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1700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1700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1700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1700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1700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1700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1700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1700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1700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1700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1700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1700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1700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1700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1700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1700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1700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1700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1700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1700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1700</v>
      </c>
      <c r="B2821" t="s">
        <v>358</v>
      </c>
      <c r="C2821" t="s">
        <v>1717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1700</v>
      </c>
      <c r="B2822" t="s">
        <v>358</v>
      </c>
      <c r="C2822" t="s">
        <v>1718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1700</v>
      </c>
      <c r="B2823" t="s">
        <v>358</v>
      </c>
      <c r="C2823" t="s">
        <v>1719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1700</v>
      </c>
      <c r="B2824" t="s">
        <v>358</v>
      </c>
      <c r="C2824" t="s">
        <v>1720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1700</v>
      </c>
      <c r="B2825" t="s">
        <v>358</v>
      </c>
      <c r="C2825" t="s">
        <v>1721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1700</v>
      </c>
      <c r="B2826" t="s">
        <v>358</v>
      </c>
      <c r="C2826" t="s">
        <v>1722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1700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1700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1700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1700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1700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1700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1700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1700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1700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1700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1700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1700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1700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1700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1700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1700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1700</v>
      </c>
      <c r="B2843" t="s">
        <v>358</v>
      </c>
      <c r="C2843" t="s">
        <v>1723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1700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1700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1700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1700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1700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1700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1700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1700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1700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1700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1700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1700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1700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1700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1700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1700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1700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1700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1700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1700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1700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1700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1700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1700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1700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1700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1700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1700</v>
      </c>
      <c r="B2871" t="s">
        <v>358</v>
      </c>
      <c r="C2871" t="s">
        <v>1724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1700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1700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1700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1700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1700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1700</v>
      </c>
      <c r="B2877" t="s">
        <v>358</v>
      </c>
      <c r="C2877" t="s">
        <v>1725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1700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1700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1700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1700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1700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1700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1700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1700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1700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1700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1700</v>
      </c>
      <c r="B2888" t="s">
        <v>358</v>
      </c>
      <c r="C2888" t="s">
        <v>1726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1700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1700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1700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1700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1700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1700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1700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1700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1700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1700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1700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1700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1700</v>
      </c>
      <c r="B2901" t="s">
        <v>359</v>
      </c>
      <c r="C2901" t="s">
        <v>1701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1700</v>
      </c>
      <c r="B2902" t="s">
        <v>359</v>
      </c>
      <c r="C2902" t="s">
        <v>1702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1700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1700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1700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1700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1700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1700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1700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1700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1700</v>
      </c>
      <c r="B2911" t="s">
        <v>359</v>
      </c>
      <c r="C2911" t="s">
        <v>1703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1700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1700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1700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1700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1700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1700</v>
      </c>
      <c r="B2917" t="s">
        <v>359</v>
      </c>
      <c r="C2917" t="s">
        <v>1704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1700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1700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1700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1700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1700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1700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1700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1700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1700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1700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1700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1700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1700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1700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1700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1700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1700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1700</v>
      </c>
      <c r="B2935" t="s">
        <v>359</v>
      </c>
      <c r="C2935" t="s">
        <v>1705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1700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1700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1700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1700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1700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1700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1700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1700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1700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1700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1700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1700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1700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1700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1700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1700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1700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1700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1700</v>
      </c>
      <c r="B2954" t="s">
        <v>359</v>
      </c>
      <c r="C2954" t="s">
        <v>1706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1700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1700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1700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1700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1700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1700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1700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1700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1700</v>
      </c>
      <c r="B2963" t="s">
        <v>359</v>
      </c>
      <c r="C2963" t="s">
        <v>1707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1700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1700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1700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1700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1700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1700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1700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1700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1700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1700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1700</v>
      </c>
      <c r="B2974" t="s">
        <v>359</v>
      </c>
      <c r="C2974" t="s">
        <v>1708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1700</v>
      </c>
      <c r="B2975" t="s">
        <v>359</v>
      </c>
      <c r="C2975" t="s">
        <v>1709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1700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1700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1700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1700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1700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1700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1700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1700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1700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1700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1700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1700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1700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1700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1700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1700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1700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1700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1700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1700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1700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1700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1700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1700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1700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1700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1700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1700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1700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1700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1700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1700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1700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1700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1700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1700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1700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1700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1700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1700</v>
      </c>
      <c r="B3015" t="s">
        <v>359</v>
      </c>
      <c r="C3015" t="s">
        <v>1710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1700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1700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1700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1700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1700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1700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1700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1700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1700</v>
      </c>
      <c r="B3024" t="s">
        <v>359</v>
      </c>
      <c r="C3024" t="s">
        <v>1711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1700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1700</v>
      </c>
      <c r="B3026" t="s">
        <v>359</v>
      </c>
      <c r="C3026" t="s">
        <v>1712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1700</v>
      </c>
      <c r="B3027" t="s">
        <v>359</v>
      </c>
      <c r="C3027" t="s">
        <v>1713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1700</v>
      </c>
      <c r="B3028" t="s">
        <v>359</v>
      </c>
      <c r="C3028" t="s">
        <v>1714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1700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1700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1700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1700</v>
      </c>
      <c r="B3032" t="s">
        <v>359</v>
      </c>
      <c r="C3032" t="s">
        <v>1715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1700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1700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1700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1700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1700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1700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1700</v>
      </c>
      <c r="B3039" t="s">
        <v>359</v>
      </c>
      <c r="C3039" t="s">
        <v>1716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1700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1700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1700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1700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1700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1700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1700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1700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1700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1700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1700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1700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1700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1700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1700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1700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1700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1700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1700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1700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1700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1700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1700</v>
      </c>
      <c r="B3062" t="s">
        <v>359</v>
      </c>
      <c r="C3062" t="s">
        <v>1717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1700</v>
      </c>
      <c r="B3063" t="s">
        <v>359</v>
      </c>
      <c r="C3063" t="s">
        <v>1718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1700</v>
      </c>
      <c r="B3064" t="s">
        <v>359</v>
      </c>
      <c r="C3064" t="s">
        <v>1719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1700</v>
      </c>
      <c r="B3065" t="s">
        <v>359</v>
      </c>
      <c r="C3065" t="s">
        <v>1720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1700</v>
      </c>
      <c r="B3066" t="s">
        <v>359</v>
      </c>
      <c r="C3066" t="s">
        <v>1721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1700</v>
      </c>
      <c r="B3067" t="s">
        <v>359</v>
      </c>
      <c r="C3067" t="s">
        <v>1722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1700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1700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1700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1700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1700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1700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1700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1700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1700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1700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1700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1700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1700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1700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1700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1700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1700</v>
      </c>
      <c r="B3084" t="s">
        <v>359</v>
      </c>
      <c r="C3084" t="s">
        <v>1723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1700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1700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1700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1700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1700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1700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1700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1700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1700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1700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1700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1700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1700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1700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1700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1700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1700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1700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1700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1700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1700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1700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1700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1700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1700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1700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1700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1700</v>
      </c>
      <c r="B3112" t="s">
        <v>359</v>
      </c>
      <c r="C3112" t="s">
        <v>1724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1700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1700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1700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1700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1700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1700</v>
      </c>
      <c r="B3118" t="s">
        <v>359</v>
      </c>
      <c r="C3118" t="s">
        <v>1725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1700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1700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1700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1700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1700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1700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1700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1700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1700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1700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1700</v>
      </c>
      <c r="B3129" t="s">
        <v>359</v>
      </c>
      <c r="C3129" t="s">
        <v>1726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1700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1700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1700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1700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1700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1700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1700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1700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1700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1700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1700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1700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1700</v>
      </c>
      <c r="B3142" t="s">
        <v>360</v>
      </c>
      <c r="C3142" t="s">
        <v>1701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1700</v>
      </c>
      <c r="B3143" t="s">
        <v>360</v>
      </c>
      <c r="C3143" t="s">
        <v>1702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1700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1700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1700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1700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1700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1700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1700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1700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1700</v>
      </c>
      <c r="B3152" t="s">
        <v>360</v>
      </c>
      <c r="C3152" t="s">
        <v>1703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1700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1700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1700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1700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1700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1700</v>
      </c>
      <c r="B3158" t="s">
        <v>360</v>
      </c>
      <c r="C3158" t="s">
        <v>1704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1700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1700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1700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1700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1700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1700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1700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1700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1700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1700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1700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1700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1700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1700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1700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1700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1700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1700</v>
      </c>
      <c r="B3176" t="s">
        <v>360</v>
      </c>
      <c r="C3176" t="s">
        <v>1705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1700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1700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1700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1700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1700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1700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1700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1700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1700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1700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1700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1700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1700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1700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1700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1700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1700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1700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1700</v>
      </c>
      <c r="B3195" t="s">
        <v>360</v>
      </c>
      <c r="C3195" t="s">
        <v>1706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1700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1700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1700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1700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1700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1700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1700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1700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1700</v>
      </c>
      <c r="B3204" t="s">
        <v>360</v>
      </c>
      <c r="C3204" t="s">
        <v>1707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1700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1700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1700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1700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1700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1700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1700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1700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1700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1700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1700</v>
      </c>
      <c r="B3215" t="s">
        <v>360</v>
      </c>
      <c r="C3215" t="s">
        <v>1708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1700</v>
      </c>
      <c r="B3216" t="s">
        <v>360</v>
      </c>
      <c r="C3216" t="s">
        <v>1709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1700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1700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1700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1700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1700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1700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1700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1700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1700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1700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1700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1700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1700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1700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1700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1700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1700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1700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1700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1700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1700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1700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1700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1700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1700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1700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1700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1700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1700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1700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1700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1700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1700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1700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1700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1700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1700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1700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1700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1700</v>
      </c>
      <c r="B3256" t="s">
        <v>360</v>
      </c>
      <c r="C3256" t="s">
        <v>1710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1700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1700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1700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1700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1700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1700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1700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1700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1700</v>
      </c>
      <c r="B3265" t="s">
        <v>360</v>
      </c>
      <c r="C3265" t="s">
        <v>1711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1700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1700</v>
      </c>
      <c r="B3267" t="s">
        <v>360</v>
      </c>
      <c r="C3267" t="s">
        <v>1712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1700</v>
      </c>
      <c r="B3268" t="s">
        <v>360</v>
      </c>
      <c r="C3268" t="s">
        <v>1713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1700</v>
      </c>
      <c r="B3269" t="s">
        <v>360</v>
      </c>
      <c r="C3269" t="s">
        <v>1714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1700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1700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1700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1700</v>
      </c>
      <c r="B3273" t="s">
        <v>360</v>
      </c>
      <c r="C3273" t="s">
        <v>1715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1700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1700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1700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1700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1700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1700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1700</v>
      </c>
      <c r="B3280" t="s">
        <v>360</v>
      </c>
      <c r="C3280" t="s">
        <v>1716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1700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1700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1700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1700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1700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1700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1700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1700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1700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1700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1700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1700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1700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1700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1700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1700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1700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1700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1700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1700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1700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1700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1700</v>
      </c>
      <c r="B3303" t="s">
        <v>360</v>
      </c>
      <c r="C3303" t="s">
        <v>1717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1700</v>
      </c>
      <c r="B3304" t="s">
        <v>360</v>
      </c>
      <c r="C3304" t="s">
        <v>1718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1700</v>
      </c>
      <c r="B3305" t="s">
        <v>360</v>
      </c>
      <c r="C3305" t="s">
        <v>1719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1700</v>
      </c>
      <c r="B3306" t="s">
        <v>360</v>
      </c>
      <c r="C3306" t="s">
        <v>1720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1700</v>
      </c>
      <c r="B3307" t="s">
        <v>360</v>
      </c>
      <c r="C3307" t="s">
        <v>1721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1700</v>
      </c>
      <c r="B3308" t="s">
        <v>360</v>
      </c>
      <c r="C3308" t="s">
        <v>1722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1700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1700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1700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1700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1700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1700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1700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1700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1700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1700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1700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1700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1700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1700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1700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1700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1700</v>
      </c>
      <c r="B3325" t="s">
        <v>360</v>
      </c>
      <c r="C3325" t="s">
        <v>1723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1700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1700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1700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1700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1700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1700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1700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1700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1700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1700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1700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1700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1700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1700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1700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1700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1700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1700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1700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1700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1700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1700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1700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1700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1700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1700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1700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1700</v>
      </c>
      <c r="B3353" t="s">
        <v>360</v>
      </c>
      <c r="C3353" t="s">
        <v>1724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1700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1700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1700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1700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1700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1700</v>
      </c>
      <c r="B3359" t="s">
        <v>360</v>
      </c>
      <c r="C3359" t="s">
        <v>1725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1700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1700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1700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1700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1700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1700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1700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1700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1700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1700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1700</v>
      </c>
      <c r="B3370" t="s">
        <v>360</v>
      </c>
      <c r="C3370" t="s">
        <v>1726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1700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1700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1700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1700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1700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1700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1700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1700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1700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1700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1700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1700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1700</v>
      </c>
      <c r="B3383" t="s">
        <v>361</v>
      </c>
      <c r="C3383" t="s">
        <v>1701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1700</v>
      </c>
      <c r="B3384" t="s">
        <v>361</v>
      </c>
      <c r="C3384" t="s">
        <v>1702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1700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1700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1700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1700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1700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1700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1700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1700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1700</v>
      </c>
      <c r="B3393" t="s">
        <v>361</v>
      </c>
      <c r="C3393" t="s">
        <v>1703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1700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1700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1700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1700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1700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1700</v>
      </c>
      <c r="B3399" t="s">
        <v>361</v>
      </c>
      <c r="C3399" t="s">
        <v>1704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1700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1700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1700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1700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1700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1700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1700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1700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1700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1700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1700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1700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1700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1700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1700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1700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1700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1700</v>
      </c>
      <c r="B3417" t="s">
        <v>361</v>
      </c>
      <c r="C3417" t="s">
        <v>1705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1700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1700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1700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1700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1700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1700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1700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1700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1700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1700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1700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1700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1700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1700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1700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1700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1700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1700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1700</v>
      </c>
      <c r="B3436" t="s">
        <v>361</v>
      </c>
      <c r="C3436" t="s">
        <v>1706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1700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1700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1700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1700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1700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1700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1700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1700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1700</v>
      </c>
      <c r="B3445" t="s">
        <v>361</v>
      </c>
      <c r="C3445" t="s">
        <v>1707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1700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1700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1700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1700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1700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1700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1700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1700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1700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1700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1700</v>
      </c>
      <c r="B3456" t="s">
        <v>361</v>
      </c>
      <c r="C3456" t="s">
        <v>1708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1700</v>
      </c>
      <c r="B3457" t="s">
        <v>361</v>
      </c>
      <c r="C3457" t="s">
        <v>1709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1700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1700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1700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1700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1700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1700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1700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1700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1700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1700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1700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1700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1700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1700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1700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1700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1700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1700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1700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1700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1700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1700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1700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1700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1700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1700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1700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1700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1700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1700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1700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1700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1700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1700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1700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1700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1700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1700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1700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1700</v>
      </c>
      <c r="B3497" t="s">
        <v>361</v>
      </c>
      <c r="C3497" t="s">
        <v>1710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1700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1700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1700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1700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1700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1700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1700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1700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1700</v>
      </c>
      <c r="B3506" t="s">
        <v>361</v>
      </c>
      <c r="C3506" t="s">
        <v>1711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1700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1700</v>
      </c>
      <c r="B3508" t="s">
        <v>361</v>
      </c>
      <c r="C3508" t="s">
        <v>1712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1700</v>
      </c>
      <c r="B3509" t="s">
        <v>361</v>
      </c>
      <c r="C3509" t="s">
        <v>1713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1700</v>
      </c>
      <c r="B3510" t="s">
        <v>361</v>
      </c>
      <c r="C3510" t="s">
        <v>1714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1700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1700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1700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1700</v>
      </c>
      <c r="B3514" t="s">
        <v>361</v>
      </c>
      <c r="C3514" t="s">
        <v>1715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1700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1700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1700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1700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1700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1700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1700</v>
      </c>
      <c r="B3521" t="s">
        <v>361</v>
      </c>
      <c r="C3521" t="s">
        <v>1716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1700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1700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1700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1700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1700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1700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1700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1700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1700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1700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1700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1700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1700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1700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1700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1700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1700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1700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1700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1700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1700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1700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1700</v>
      </c>
      <c r="B3544" t="s">
        <v>361</v>
      </c>
      <c r="C3544" t="s">
        <v>1717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1700</v>
      </c>
      <c r="B3545" t="s">
        <v>361</v>
      </c>
      <c r="C3545" t="s">
        <v>1718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1700</v>
      </c>
      <c r="B3546" t="s">
        <v>361</v>
      </c>
      <c r="C3546" t="s">
        <v>1719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1700</v>
      </c>
      <c r="B3547" t="s">
        <v>361</v>
      </c>
      <c r="C3547" t="s">
        <v>1720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1700</v>
      </c>
      <c r="B3548" t="s">
        <v>361</v>
      </c>
      <c r="C3548" t="s">
        <v>1721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1700</v>
      </c>
      <c r="B3549" t="s">
        <v>361</v>
      </c>
      <c r="C3549" t="s">
        <v>1722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1700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1700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1700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1700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1700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1700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1700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1700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1700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1700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1700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1700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1700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1700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1700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1700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1700</v>
      </c>
      <c r="B3566" t="s">
        <v>361</v>
      </c>
      <c r="C3566" t="s">
        <v>1723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1700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1700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1700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1700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1700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1700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1700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1700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1700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1700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1700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1700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1700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1700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1700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1700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1700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1700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1700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1700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1700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1700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1700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1700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1700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1700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1700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1700</v>
      </c>
      <c r="B3594" t="s">
        <v>361</v>
      </c>
      <c r="C3594" t="s">
        <v>1724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1700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1700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1700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1700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1700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1700</v>
      </c>
      <c r="B3600" t="s">
        <v>361</v>
      </c>
      <c r="C3600" t="s">
        <v>1725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1700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1700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1700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1700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1700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1700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1700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1700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1700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1700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1700</v>
      </c>
      <c r="B3611" t="s">
        <v>361</v>
      </c>
      <c r="C3611" t="s">
        <v>1726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1700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1700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1700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1700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1700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1700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1700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1700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1700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1700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1700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1700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1700</v>
      </c>
      <c r="B3624" t="s">
        <v>362</v>
      </c>
      <c r="C3624" t="s">
        <v>1701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1700</v>
      </c>
      <c r="B3625" t="s">
        <v>362</v>
      </c>
      <c r="C3625" t="s">
        <v>1702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1700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1700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1700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1700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1700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1700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1700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1700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1700</v>
      </c>
      <c r="B3634" t="s">
        <v>362</v>
      </c>
      <c r="C3634" t="s">
        <v>1703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1700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1700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1700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1700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1700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1700</v>
      </c>
      <c r="B3640" t="s">
        <v>362</v>
      </c>
      <c r="C3640" t="s">
        <v>1704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1700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1700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1700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1700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1700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1700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1700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1700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1700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1700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1700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1700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1700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1700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1700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1700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1700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1700</v>
      </c>
      <c r="B3658" t="s">
        <v>362</v>
      </c>
      <c r="C3658" t="s">
        <v>1705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1700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1700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1700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1700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1700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1700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1700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1700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1700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1700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1700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1700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1700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1700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1700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1700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1700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1700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1700</v>
      </c>
      <c r="B3677" t="s">
        <v>362</v>
      </c>
      <c r="C3677" t="s">
        <v>1706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1700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1700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1700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1700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1700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1700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1700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1700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1700</v>
      </c>
      <c r="B3686" t="s">
        <v>362</v>
      </c>
      <c r="C3686" t="s">
        <v>1707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1700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1700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1700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1700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1700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1700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1700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1700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1700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1700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1700</v>
      </c>
      <c r="B3697" t="s">
        <v>362</v>
      </c>
      <c r="C3697" t="s">
        <v>1708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1700</v>
      </c>
      <c r="B3698" t="s">
        <v>362</v>
      </c>
      <c r="C3698" t="s">
        <v>1709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1700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1700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1700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1700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1700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1700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1700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1700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1700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1700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1700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1700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1700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1700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1700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1700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1700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1700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1700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1700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1700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1700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1700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1700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1700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1700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1700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1700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1700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1700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1700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1700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1700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1700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1700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1700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1700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1700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1700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1700</v>
      </c>
      <c r="B3738" t="s">
        <v>362</v>
      </c>
      <c r="C3738" t="s">
        <v>1710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1700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1700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1700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1700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1700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1700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1700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1700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1700</v>
      </c>
      <c r="B3747" t="s">
        <v>362</v>
      </c>
      <c r="C3747" t="s">
        <v>1711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1700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1700</v>
      </c>
      <c r="B3749" t="s">
        <v>362</v>
      </c>
      <c r="C3749" t="s">
        <v>1712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1700</v>
      </c>
      <c r="B3750" t="s">
        <v>362</v>
      </c>
      <c r="C3750" t="s">
        <v>1713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1700</v>
      </c>
      <c r="B3751" t="s">
        <v>362</v>
      </c>
      <c r="C3751" t="s">
        <v>1714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1700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1700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1700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1700</v>
      </c>
      <c r="B3755" t="s">
        <v>362</v>
      </c>
      <c r="C3755" t="s">
        <v>1715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1700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1700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1700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1700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1700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1700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1700</v>
      </c>
      <c r="B3762" t="s">
        <v>362</v>
      </c>
      <c r="C3762" t="s">
        <v>1716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1700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1700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1700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1700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1700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1700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1700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1700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1700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1700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1700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1700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1700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1700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1700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1700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1700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1700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1700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1700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1700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1700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1700</v>
      </c>
      <c r="B3785" t="s">
        <v>362</v>
      </c>
      <c r="C3785" t="s">
        <v>1717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1700</v>
      </c>
      <c r="B3786" t="s">
        <v>362</v>
      </c>
      <c r="C3786" t="s">
        <v>1718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1700</v>
      </c>
      <c r="B3787" t="s">
        <v>362</v>
      </c>
      <c r="C3787" t="s">
        <v>1719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1700</v>
      </c>
      <c r="B3788" t="s">
        <v>362</v>
      </c>
      <c r="C3788" t="s">
        <v>1720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1700</v>
      </c>
      <c r="B3789" t="s">
        <v>362</v>
      </c>
      <c r="C3789" t="s">
        <v>1721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1700</v>
      </c>
      <c r="B3790" t="s">
        <v>362</v>
      </c>
      <c r="C3790" t="s">
        <v>1722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1700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1700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1700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1700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1700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1700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1700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1700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1700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1700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1700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1700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1700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1700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1700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1700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1700</v>
      </c>
      <c r="B3807" t="s">
        <v>362</v>
      </c>
      <c r="C3807" t="s">
        <v>1723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1700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1700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1700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1700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1700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1700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1700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1700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1700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1700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1700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1700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1700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1700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1700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1700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1700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1700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1700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1700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1700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1700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1700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1700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1700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1700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1700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1700</v>
      </c>
      <c r="B3835" t="s">
        <v>362</v>
      </c>
      <c r="C3835" t="s">
        <v>1724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1700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1700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1700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1700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1700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1700</v>
      </c>
      <c r="B3841" t="s">
        <v>362</v>
      </c>
      <c r="C3841" t="s">
        <v>1725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1700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1700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1700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1700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1700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1700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1700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1700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1700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1700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1700</v>
      </c>
      <c r="B3852" t="s">
        <v>362</v>
      </c>
      <c r="C3852" t="s">
        <v>1726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1700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1700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1700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1700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1700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1700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1700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1700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1700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1700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1700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1700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1700</v>
      </c>
      <c r="B3865" t="s">
        <v>363</v>
      </c>
      <c r="C3865" t="s">
        <v>1701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1700</v>
      </c>
      <c r="B3866" t="s">
        <v>363</v>
      </c>
      <c r="C3866" t="s">
        <v>1702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1700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1700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1700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1700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1700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1700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1700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1700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1700</v>
      </c>
      <c r="B3875" t="s">
        <v>363</v>
      </c>
      <c r="C3875" t="s">
        <v>1703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1700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1700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1700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1700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1700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1700</v>
      </c>
      <c r="B3881" t="s">
        <v>363</v>
      </c>
      <c r="C3881" t="s">
        <v>1704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1700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1700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1700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1700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1700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1700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1700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1700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1700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1700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1700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1700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1700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1700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1700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1700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1700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1700</v>
      </c>
      <c r="B3899" t="s">
        <v>363</v>
      </c>
      <c r="C3899" t="s">
        <v>1705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1700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1700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1700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1700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1700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1700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1700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1700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1700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1700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1700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1700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1700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1700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1700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1700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1700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1700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1700</v>
      </c>
      <c r="B3918" t="s">
        <v>363</v>
      </c>
      <c r="C3918" t="s">
        <v>1706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1700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1700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1700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1700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1700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1700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1700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1700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1700</v>
      </c>
      <c r="B3927" t="s">
        <v>363</v>
      </c>
      <c r="C3927" t="s">
        <v>1707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1700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1700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1700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1700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1700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1700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1700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1700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1700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1700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1700</v>
      </c>
      <c r="B3938" t="s">
        <v>363</v>
      </c>
      <c r="C3938" t="s">
        <v>1708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1700</v>
      </c>
      <c r="B3939" t="s">
        <v>363</v>
      </c>
      <c r="C3939" t="s">
        <v>1709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1700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1700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1700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1700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1700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1700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1700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1700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1700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1700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1700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1700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1700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1700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1700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1700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1700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1700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1700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1700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1700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1700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1700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1700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1700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1700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1700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1700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1700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1700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1700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1700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1700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1700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1700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1700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1700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1700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1700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1700</v>
      </c>
      <c r="B3979" t="s">
        <v>363</v>
      </c>
      <c r="C3979" t="s">
        <v>1710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1700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1700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1700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1700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1700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1700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1700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1700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1700</v>
      </c>
      <c r="B3988" t="s">
        <v>363</v>
      </c>
      <c r="C3988" t="s">
        <v>1711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1700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1700</v>
      </c>
      <c r="B3990" t="s">
        <v>363</v>
      </c>
      <c r="C3990" t="s">
        <v>1712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1700</v>
      </c>
      <c r="B3991" t="s">
        <v>363</v>
      </c>
      <c r="C3991" t="s">
        <v>1713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1700</v>
      </c>
      <c r="B3992" t="s">
        <v>363</v>
      </c>
      <c r="C3992" t="s">
        <v>1714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1700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1700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1700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1700</v>
      </c>
      <c r="B3996" t="s">
        <v>363</v>
      </c>
      <c r="C3996" t="s">
        <v>1715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1700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1700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1700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1700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1700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1700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1700</v>
      </c>
      <c r="B4003" t="s">
        <v>363</v>
      </c>
      <c r="C4003" t="s">
        <v>1716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1700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1700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1700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1700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1700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1700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1700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1700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1700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1700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1700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1700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1700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1700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1700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1700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1700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1700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1700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1700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1700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1700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1700</v>
      </c>
      <c r="B4026" t="s">
        <v>363</v>
      </c>
      <c r="C4026" t="s">
        <v>1717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1700</v>
      </c>
      <c r="B4027" t="s">
        <v>363</v>
      </c>
      <c r="C4027" t="s">
        <v>1718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1700</v>
      </c>
      <c r="B4028" t="s">
        <v>363</v>
      </c>
      <c r="C4028" t="s">
        <v>1719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1700</v>
      </c>
      <c r="B4029" t="s">
        <v>363</v>
      </c>
      <c r="C4029" t="s">
        <v>1720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1700</v>
      </c>
      <c r="B4030" t="s">
        <v>363</v>
      </c>
      <c r="C4030" t="s">
        <v>1721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1700</v>
      </c>
      <c r="B4031" t="s">
        <v>363</v>
      </c>
      <c r="C4031" t="s">
        <v>1722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1700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1700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1700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1700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1700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1700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1700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1700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1700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1700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1700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1700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1700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1700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1700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1700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1700</v>
      </c>
      <c r="B4048" t="s">
        <v>363</v>
      </c>
      <c r="C4048" t="s">
        <v>1723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1700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1700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1700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1700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1700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1700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1700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1700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1700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1700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1700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1700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1700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1700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1700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1700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1700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1700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1700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1700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1700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1700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1700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1700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1700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1700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1700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1700</v>
      </c>
      <c r="B4076" t="s">
        <v>363</v>
      </c>
      <c r="C4076" t="s">
        <v>1724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1700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1700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1700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1700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1700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1700</v>
      </c>
      <c r="B4082" t="s">
        <v>363</v>
      </c>
      <c r="C4082" t="s">
        <v>1725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1700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1700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1700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1700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1700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1700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1700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1700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1700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1700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1700</v>
      </c>
      <c r="B4093" t="s">
        <v>363</v>
      </c>
      <c r="C4093" t="s">
        <v>1726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1700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1700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1700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1700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1700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1700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1700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1700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1700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1700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1700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1700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1700</v>
      </c>
      <c r="B4106" t="s">
        <v>364</v>
      </c>
      <c r="C4106" t="s">
        <v>1701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1700</v>
      </c>
      <c r="B4107" t="s">
        <v>364</v>
      </c>
      <c r="C4107" t="s">
        <v>1702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1700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1700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1700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1700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1700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1700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1700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1700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1700</v>
      </c>
      <c r="B4116" t="s">
        <v>364</v>
      </c>
      <c r="C4116" t="s">
        <v>1703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1700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1700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1700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1700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1700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1700</v>
      </c>
      <c r="B4122" t="s">
        <v>364</v>
      </c>
      <c r="C4122" t="s">
        <v>1704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1700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1700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1700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1700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1700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1700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1700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1700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1700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1700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1700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1700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1700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1700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1700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1700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1700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1700</v>
      </c>
      <c r="B4140" t="s">
        <v>364</v>
      </c>
      <c r="C4140" t="s">
        <v>1705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1700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1700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1700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1700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1700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1700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1700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1700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1700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1700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1700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1700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1700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1700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1700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1700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1700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1700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1700</v>
      </c>
      <c r="B4159" t="s">
        <v>364</v>
      </c>
      <c r="C4159" t="s">
        <v>1706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1700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1700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1700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1700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1700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1700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1700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1700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1700</v>
      </c>
      <c r="B4168" t="s">
        <v>364</v>
      </c>
      <c r="C4168" t="s">
        <v>1707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1700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1700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1700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1700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1700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1700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1700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1700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1700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1700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1700</v>
      </c>
      <c r="B4179" t="s">
        <v>364</v>
      </c>
      <c r="C4179" t="s">
        <v>1708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1700</v>
      </c>
      <c r="B4180" t="s">
        <v>364</v>
      </c>
      <c r="C4180" t="s">
        <v>1709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1700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1700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1700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1700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1700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1700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1700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1700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1700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1700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1700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1700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1700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1700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1700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1700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1700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1700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1700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1700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1700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1700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1700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1700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1700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1700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1700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1700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1700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1700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1700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1700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1700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1700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1700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1700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1700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1700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1700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1700</v>
      </c>
      <c r="B4220" t="s">
        <v>364</v>
      </c>
      <c r="C4220" t="s">
        <v>1710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1700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1700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1700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1700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1700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1700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1700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1700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1700</v>
      </c>
      <c r="B4229" t="s">
        <v>364</v>
      </c>
      <c r="C4229" t="s">
        <v>1711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1700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1700</v>
      </c>
      <c r="B4231" t="s">
        <v>364</v>
      </c>
      <c r="C4231" t="s">
        <v>1712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1700</v>
      </c>
      <c r="B4232" t="s">
        <v>364</v>
      </c>
      <c r="C4232" t="s">
        <v>1713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1700</v>
      </c>
      <c r="B4233" t="s">
        <v>364</v>
      </c>
      <c r="C4233" t="s">
        <v>1714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1700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1700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1700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1700</v>
      </c>
      <c r="B4237" t="s">
        <v>364</v>
      </c>
      <c r="C4237" t="s">
        <v>1715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1700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1700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1700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1700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1700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1700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1700</v>
      </c>
      <c r="B4244" t="s">
        <v>364</v>
      </c>
      <c r="C4244" t="s">
        <v>1716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1700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1700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1700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1700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1700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1700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1700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1700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1700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1700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1700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1700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1700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1700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1700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1700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1700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1700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1700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1700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1700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1700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1700</v>
      </c>
      <c r="B4267" t="s">
        <v>364</v>
      </c>
      <c r="C4267" t="s">
        <v>1717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1700</v>
      </c>
      <c r="B4268" t="s">
        <v>364</v>
      </c>
      <c r="C4268" t="s">
        <v>1718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1700</v>
      </c>
      <c r="B4269" t="s">
        <v>364</v>
      </c>
      <c r="C4269" t="s">
        <v>1719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1700</v>
      </c>
      <c r="B4270" t="s">
        <v>364</v>
      </c>
      <c r="C4270" t="s">
        <v>1720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1700</v>
      </c>
      <c r="B4271" t="s">
        <v>364</v>
      </c>
      <c r="C4271" t="s">
        <v>1721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1700</v>
      </c>
      <c r="B4272" t="s">
        <v>364</v>
      </c>
      <c r="C4272" t="s">
        <v>1722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1700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1700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1700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1700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1700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1700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1700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1700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1700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1700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1700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1700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1700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1700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1700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1700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1700</v>
      </c>
      <c r="B4289" t="s">
        <v>364</v>
      </c>
      <c r="C4289" t="s">
        <v>1723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1700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1700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1700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1700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1700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1700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1700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1700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1700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1700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1700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1700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1700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1700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1700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1700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1700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1700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1700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1700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1700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1700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1700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1700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1700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1700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1700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1700</v>
      </c>
      <c r="B4317" t="s">
        <v>364</v>
      </c>
      <c r="C4317" t="s">
        <v>1724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1700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1700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1700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1700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1700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1700</v>
      </c>
      <c r="B4323" t="s">
        <v>364</v>
      </c>
      <c r="C4323" t="s">
        <v>1725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1700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1700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1700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1700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1700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1700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1700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1700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1700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1700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1700</v>
      </c>
      <c r="B4334" t="s">
        <v>364</v>
      </c>
      <c r="C4334" t="s">
        <v>1726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1700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1700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1700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1700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1700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1700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1700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1700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1700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1700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1700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1700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1700</v>
      </c>
      <c r="B4347" t="s">
        <v>365</v>
      </c>
      <c r="C4347" t="s">
        <v>1701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1700</v>
      </c>
      <c r="B4348" t="s">
        <v>365</v>
      </c>
      <c r="C4348" t="s">
        <v>1702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1700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1700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1700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1700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1700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1700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1700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1700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1700</v>
      </c>
      <c r="B4357" t="s">
        <v>365</v>
      </c>
      <c r="C4357" t="s">
        <v>1703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1700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1700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1700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1700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1700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1700</v>
      </c>
      <c r="B4363" t="s">
        <v>365</v>
      </c>
      <c r="C4363" t="s">
        <v>1704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1700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1700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1700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1700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1700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1700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1700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1700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1700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1700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1700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1700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1700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1700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1700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1700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1700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1700</v>
      </c>
      <c r="B4381" t="s">
        <v>365</v>
      </c>
      <c r="C4381" t="s">
        <v>1705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1700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1700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1700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1700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1700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1700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1700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1700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1700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1700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1700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1700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1700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1700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1700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1700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1700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1700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1700</v>
      </c>
      <c r="B4400" t="s">
        <v>365</v>
      </c>
      <c r="C4400" t="s">
        <v>1706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1700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1700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1700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1700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1700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1700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1700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1700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1700</v>
      </c>
      <c r="B4409" t="s">
        <v>365</v>
      </c>
      <c r="C4409" t="s">
        <v>1707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1700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1700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1700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1700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1700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1700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1700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1700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1700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1700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1700</v>
      </c>
      <c r="B4420" t="s">
        <v>365</v>
      </c>
      <c r="C4420" t="s">
        <v>1708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1700</v>
      </c>
      <c r="B4421" t="s">
        <v>365</v>
      </c>
      <c r="C4421" t="s">
        <v>1709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1700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1700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1700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1700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1700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1700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1700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1700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1700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1700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1700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1700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1700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1700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1700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1700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1700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1700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1700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1700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1700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1700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1700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1700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1700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1700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1700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1700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1700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1700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1700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1700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1700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1700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1700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1700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1700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1700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1700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1700</v>
      </c>
      <c r="B4461" t="s">
        <v>365</v>
      </c>
      <c r="C4461" t="s">
        <v>1710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1700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1700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1700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1700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1700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1700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1700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1700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1700</v>
      </c>
      <c r="B4470" t="s">
        <v>365</v>
      </c>
      <c r="C4470" t="s">
        <v>1711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1700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1700</v>
      </c>
      <c r="B4472" t="s">
        <v>365</v>
      </c>
      <c r="C4472" t="s">
        <v>1712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1700</v>
      </c>
      <c r="B4473" t="s">
        <v>365</v>
      </c>
      <c r="C4473" t="s">
        <v>1713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1700</v>
      </c>
      <c r="B4474" t="s">
        <v>365</v>
      </c>
      <c r="C4474" t="s">
        <v>1714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1700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1700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1700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1700</v>
      </c>
      <c r="B4478" t="s">
        <v>365</v>
      </c>
      <c r="C4478" t="s">
        <v>1715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1700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1700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1700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1700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1700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1700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1700</v>
      </c>
      <c r="B4485" t="s">
        <v>365</v>
      </c>
      <c r="C4485" t="s">
        <v>1716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1700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1700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1700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1700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1700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1700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1700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1700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1700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1700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1700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1700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1700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1700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1700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1700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1700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1700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1700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1700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1700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1700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1700</v>
      </c>
      <c r="B4508" t="s">
        <v>365</v>
      </c>
      <c r="C4508" t="s">
        <v>1717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1700</v>
      </c>
      <c r="B4509" t="s">
        <v>365</v>
      </c>
      <c r="C4509" t="s">
        <v>1718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1700</v>
      </c>
      <c r="B4510" t="s">
        <v>365</v>
      </c>
      <c r="C4510" t="s">
        <v>1719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1700</v>
      </c>
      <c r="B4511" t="s">
        <v>365</v>
      </c>
      <c r="C4511" t="s">
        <v>1720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1700</v>
      </c>
      <c r="B4512" t="s">
        <v>365</v>
      </c>
      <c r="C4512" t="s">
        <v>1721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1700</v>
      </c>
      <c r="B4513" t="s">
        <v>365</v>
      </c>
      <c r="C4513" t="s">
        <v>1722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1700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1700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1700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1700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1700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1700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1700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1700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1700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1700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1700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1700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1700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1700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1700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1700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1700</v>
      </c>
      <c r="B4530" t="s">
        <v>365</v>
      </c>
      <c r="C4530" t="s">
        <v>1723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1700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1700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1700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1700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1700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1700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1700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1700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1700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1700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1700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1700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1700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1700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1700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1700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1700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1700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1700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1700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1700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1700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1700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1700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1700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1700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1700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1700</v>
      </c>
      <c r="B4558" t="s">
        <v>365</v>
      </c>
      <c r="C4558" t="s">
        <v>1724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1700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1700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1700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1700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1700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1700</v>
      </c>
      <c r="B4564" t="s">
        <v>365</v>
      </c>
      <c r="C4564" t="s">
        <v>1725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1700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1700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1700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1700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1700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1700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1700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1700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1700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1700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1700</v>
      </c>
      <c r="B4575" t="s">
        <v>365</v>
      </c>
      <c r="C4575" t="s">
        <v>1726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1700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1700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1700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1700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1700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1700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1700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1700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1700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1700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1700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1700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1700</v>
      </c>
      <c r="B4588" t="s">
        <v>366</v>
      </c>
      <c r="C4588" t="s">
        <v>1701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1700</v>
      </c>
      <c r="B4589" t="s">
        <v>366</v>
      </c>
      <c r="C4589" t="s">
        <v>1702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1700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1700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1700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1700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1700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1700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1700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1700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1700</v>
      </c>
      <c r="B4598" t="s">
        <v>366</v>
      </c>
      <c r="C4598" t="s">
        <v>1703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1700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1700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1700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1700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1700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1700</v>
      </c>
      <c r="B4604" t="s">
        <v>366</v>
      </c>
      <c r="C4604" t="s">
        <v>1704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1700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1700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1700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1700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1700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1700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1700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1700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1700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1700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1700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1700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1700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1700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1700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1700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1700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1700</v>
      </c>
      <c r="B4622" t="s">
        <v>366</v>
      </c>
      <c r="C4622" t="s">
        <v>1705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1700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1700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1700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1700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1700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1700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1700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1700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1700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1700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1700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1700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1700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1700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1700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1700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1700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1700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1700</v>
      </c>
      <c r="B4641" t="s">
        <v>366</v>
      </c>
      <c r="C4641" t="s">
        <v>1706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1700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1700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1700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1700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1700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1700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1700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1700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1700</v>
      </c>
      <c r="B4650" t="s">
        <v>366</v>
      </c>
      <c r="C4650" t="s">
        <v>1707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1700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1700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1700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1700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1700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1700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1700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1700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1700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1700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1700</v>
      </c>
      <c r="B4661" t="s">
        <v>366</v>
      </c>
      <c r="C4661" t="s">
        <v>1708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1700</v>
      </c>
      <c r="B4662" t="s">
        <v>366</v>
      </c>
      <c r="C4662" t="s">
        <v>1709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1700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1700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1700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1700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1700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1700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1700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1700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1700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1700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1700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1700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1700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1700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1700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1700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1700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1700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1700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1700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1700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1700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1700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1700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1700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1700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1700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1700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1700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1700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1700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1700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1700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1700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1700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1700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1700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1700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1700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1700</v>
      </c>
      <c r="B4702" t="s">
        <v>366</v>
      </c>
      <c r="C4702" t="s">
        <v>1710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1700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1700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1700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1700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1700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1700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1700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1700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1700</v>
      </c>
      <c r="B4711" t="s">
        <v>366</v>
      </c>
      <c r="C4711" t="s">
        <v>1711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1700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1700</v>
      </c>
      <c r="B4713" t="s">
        <v>366</v>
      </c>
      <c r="C4713" t="s">
        <v>1712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1700</v>
      </c>
      <c r="B4714" t="s">
        <v>366</v>
      </c>
      <c r="C4714" t="s">
        <v>1713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1700</v>
      </c>
      <c r="B4715" t="s">
        <v>366</v>
      </c>
      <c r="C4715" t="s">
        <v>1714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1700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1700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1700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1700</v>
      </c>
      <c r="B4719" t="s">
        <v>366</v>
      </c>
      <c r="C4719" t="s">
        <v>1715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1700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1700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1700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1700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1700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1700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1700</v>
      </c>
      <c r="B4726" t="s">
        <v>366</v>
      </c>
      <c r="C4726" t="s">
        <v>1716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1700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1700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1700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1700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1700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1700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1700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1700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1700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1700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1700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1700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1700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1700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1700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1700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1700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1700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1700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1700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1700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1700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1700</v>
      </c>
      <c r="B4749" t="s">
        <v>366</v>
      </c>
      <c r="C4749" t="s">
        <v>1717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1700</v>
      </c>
      <c r="B4750" t="s">
        <v>366</v>
      </c>
      <c r="C4750" t="s">
        <v>1718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1700</v>
      </c>
      <c r="B4751" t="s">
        <v>366</v>
      </c>
      <c r="C4751" t="s">
        <v>1719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1700</v>
      </c>
      <c r="B4752" t="s">
        <v>366</v>
      </c>
      <c r="C4752" t="s">
        <v>1720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1700</v>
      </c>
      <c r="B4753" t="s">
        <v>366</v>
      </c>
      <c r="C4753" t="s">
        <v>1721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1700</v>
      </c>
      <c r="B4754" t="s">
        <v>366</v>
      </c>
      <c r="C4754" t="s">
        <v>1722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1700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1700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1700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1700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1700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1700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1700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1700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1700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1700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1700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1700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1700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1700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1700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1700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1700</v>
      </c>
      <c r="B4771" t="s">
        <v>366</v>
      </c>
      <c r="C4771" t="s">
        <v>1723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1700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1700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1700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1700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1700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1700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1700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1700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1700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1700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1700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1700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1700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1700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1700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1700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1700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1700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1700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1700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1700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1700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1700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1700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1700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1700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1700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1700</v>
      </c>
      <c r="B4799" t="s">
        <v>366</v>
      </c>
      <c r="C4799" t="s">
        <v>1724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1700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1700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1700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1700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1700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1700</v>
      </c>
      <c r="B4805" t="s">
        <v>366</v>
      </c>
      <c r="C4805" t="s">
        <v>1725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1700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1700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1700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1700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1700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1700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1700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1700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1700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1700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1700</v>
      </c>
      <c r="B4816" t="s">
        <v>366</v>
      </c>
      <c r="C4816" t="s">
        <v>1726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1700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1700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1700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1700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1700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1700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1700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1700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1700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1700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1700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1700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1700</v>
      </c>
      <c r="B4829" t="s">
        <v>367</v>
      </c>
      <c r="C4829" t="s">
        <v>1701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1700</v>
      </c>
      <c r="B4830" t="s">
        <v>367</v>
      </c>
      <c r="C4830" t="s">
        <v>1702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1700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1700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1700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1700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1700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1700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1700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1700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1700</v>
      </c>
      <c r="B4839" t="s">
        <v>367</v>
      </c>
      <c r="C4839" t="s">
        <v>1703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1700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1700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1700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1700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1700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1700</v>
      </c>
      <c r="B4845" t="s">
        <v>367</v>
      </c>
      <c r="C4845" t="s">
        <v>1704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1700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1700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1700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1700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1700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1700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1700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1700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1700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1700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1700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1700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1700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1700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1700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1700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1700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1700</v>
      </c>
      <c r="B4863" t="s">
        <v>367</v>
      </c>
      <c r="C4863" t="s">
        <v>1705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1700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1700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1700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1700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1700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1700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1700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1700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1700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1700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1700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1700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1700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1700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1700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1700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1700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1700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1700</v>
      </c>
      <c r="B4882" t="s">
        <v>367</v>
      </c>
      <c r="C4882" t="s">
        <v>1706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1700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1700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1700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1700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1700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1700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1700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1700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1700</v>
      </c>
      <c r="B4891" t="s">
        <v>367</v>
      </c>
      <c r="C4891" t="s">
        <v>1707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1700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1700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1700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1700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1700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1700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1700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1700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1700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1700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1700</v>
      </c>
      <c r="B4902" t="s">
        <v>367</v>
      </c>
      <c r="C4902" t="s">
        <v>1708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1700</v>
      </c>
      <c r="B4903" t="s">
        <v>367</v>
      </c>
      <c r="C4903" t="s">
        <v>1709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1700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1700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1700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1700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1700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1700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1700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1700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1700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1700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1700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1700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1700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1700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1700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1700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1700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1700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1700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1700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1700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1700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1700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1700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1700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1700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1700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1700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1700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1700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1700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1700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1700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1700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1700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1700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1700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1700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1700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1700</v>
      </c>
      <c r="B4943" t="s">
        <v>367</v>
      </c>
      <c r="C4943" t="s">
        <v>1710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1700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1700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1700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1700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1700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1700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1700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1700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1700</v>
      </c>
      <c r="B4952" t="s">
        <v>367</v>
      </c>
      <c r="C4952" t="s">
        <v>1711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1700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1700</v>
      </c>
      <c r="B4954" t="s">
        <v>367</v>
      </c>
      <c r="C4954" t="s">
        <v>1712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1700</v>
      </c>
      <c r="B4955" t="s">
        <v>367</v>
      </c>
      <c r="C4955" t="s">
        <v>1713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1700</v>
      </c>
      <c r="B4956" t="s">
        <v>367</v>
      </c>
      <c r="C4956" t="s">
        <v>1714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1700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1700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1700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1700</v>
      </c>
      <c r="B4960" t="s">
        <v>367</v>
      </c>
      <c r="C4960" t="s">
        <v>1715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1700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1700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1700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1700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1700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1700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1700</v>
      </c>
      <c r="B4967" t="s">
        <v>367</v>
      </c>
      <c r="C4967" t="s">
        <v>1716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1700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1700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1700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1700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1700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1700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1700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1700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1700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1700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1700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1700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1700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1700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1700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1700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1700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1700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1700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1700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1700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1700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1700</v>
      </c>
      <c r="B4990" t="s">
        <v>367</v>
      </c>
      <c r="C4990" t="s">
        <v>1717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1700</v>
      </c>
      <c r="B4991" t="s">
        <v>367</v>
      </c>
      <c r="C4991" t="s">
        <v>1718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1700</v>
      </c>
      <c r="B4992" t="s">
        <v>367</v>
      </c>
      <c r="C4992" t="s">
        <v>1719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1700</v>
      </c>
      <c r="B4993" t="s">
        <v>367</v>
      </c>
      <c r="C4993" t="s">
        <v>1720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1700</v>
      </c>
      <c r="B4994" t="s">
        <v>367</v>
      </c>
      <c r="C4994" t="s">
        <v>1721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1700</v>
      </c>
      <c r="B4995" t="s">
        <v>367</v>
      </c>
      <c r="C4995" t="s">
        <v>1722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1700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1700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1700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1700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1700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1700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1700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1700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1700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1700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1700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1700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1700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1700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1700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1700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1700</v>
      </c>
      <c r="B5012" t="s">
        <v>367</v>
      </c>
      <c r="C5012" t="s">
        <v>1723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1700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1700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1700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1700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1700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1700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1700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1700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1700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1700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1700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1700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1700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1700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1700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1700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1700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1700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1700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1700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1700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1700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1700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1700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1700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1700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1700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1700</v>
      </c>
      <c r="B5040" t="s">
        <v>367</v>
      </c>
      <c r="C5040" t="s">
        <v>1724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1700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1700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1700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1700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1700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1700</v>
      </c>
      <c r="B5046" t="s">
        <v>367</v>
      </c>
      <c r="C5046" t="s">
        <v>1725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1700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1700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1700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1700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1700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1700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1700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1700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1700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1700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1700</v>
      </c>
      <c r="B5057" t="s">
        <v>367</v>
      </c>
      <c r="C5057" t="s">
        <v>1726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1700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1700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1700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1700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1700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1700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1700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1700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1700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1700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1700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1700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1700</v>
      </c>
      <c r="B5070" t="s">
        <v>368</v>
      </c>
      <c r="C5070" t="s">
        <v>1701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1700</v>
      </c>
      <c r="B5071" t="s">
        <v>368</v>
      </c>
      <c r="C5071" t="s">
        <v>1702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1700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1700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1700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1700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1700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1700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1700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1700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1700</v>
      </c>
      <c r="B5080" t="s">
        <v>368</v>
      </c>
      <c r="C5080" t="s">
        <v>1703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1700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1700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1700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1700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1700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1700</v>
      </c>
      <c r="B5086" t="s">
        <v>368</v>
      </c>
      <c r="C5086" t="s">
        <v>1704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1700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1700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1700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1700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1700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1700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1700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1700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1700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1700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1700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1700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1700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1700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1700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1700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1700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1700</v>
      </c>
      <c r="B5104" t="s">
        <v>368</v>
      </c>
      <c r="C5104" t="s">
        <v>1705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1700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1700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1700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1700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1700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1700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1700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1700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1700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1700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1700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1700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1700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1700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1700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1700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1700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1700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1700</v>
      </c>
      <c r="B5123" t="s">
        <v>368</v>
      </c>
      <c r="C5123" t="s">
        <v>1706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1700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1700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1700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1700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1700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1700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1700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1700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1700</v>
      </c>
      <c r="B5132" t="s">
        <v>368</v>
      </c>
      <c r="C5132" t="s">
        <v>1707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1700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1700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1700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1700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1700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1700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1700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1700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1700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1700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1700</v>
      </c>
      <c r="B5143" t="s">
        <v>368</v>
      </c>
      <c r="C5143" t="s">
        <v>1708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1700</v>
      </c>
      <c r="B5144" t="s">
        <v>368</v>
      </c>
      <c r="C5144" t="s">
        <v>1709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1700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1700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1700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1700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1700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1700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1700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1700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1700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1700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1700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1700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1700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1700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1700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1700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1700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1700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1700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1700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1700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1700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1700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1700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1700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1700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1700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1700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1700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1700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1700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1700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1700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1700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1700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1700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1700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1700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1700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1700</v>
      </c>
      <c r="B5184" t="s">
        <v>368</v>
      </c>
      <c r="C5184" t="s">
        <v>1710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1700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1700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1700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1700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1700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1700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1700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1700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1700</v>
      </c>
      <c r="B5193" t="s">
        <v>368</v>
      </c>
      <c r="C5193" t="s">
        <v>1711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1700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1700</v>
      </c>
      <c r="B5195" t="s">
        <v>368</v>
      </c>
      <c r="C5195" t="s">
        <v>1712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1700</v>
      </c>
      <c r="B5196" t="s">
        <v>368</v>
      </c>
      <c r="C5196" t="s">
        <v>1713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1700</v>
      </c>
      <c r="B5197" t="s">
        <v>368</v>
      </c>
      <c r="C5197" t="s">
        <v>1714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1700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1700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1700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1700</v>
      </c>
      <c r="B5201" t="s">
        <v>368</v>
      </c>
      <c r="C5201" t="s">
        <v>1715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1700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1700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1700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1700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1700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1700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1700</v>
      </c>
      <c r="B5208" t="s">
        <v>368</v>
      </c>
      <c r="C5208" t="s">
        <v>1716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1700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1700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1700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1700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1700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1700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1700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1700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1700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1700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1700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1700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1700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1700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1700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1700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1700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1700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1700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1700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1700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1700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1700</v>
      </c>
      <c r="B5231" t="s">
        <v>368</v>
      </c>
      <c r="C5231" t="s">
        <v>1717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1700</v>
      </c>
      <c r="B5232" t="s">
        <v>368</v>
      </c>
      <c r="C5232" t="s">
        <v>1718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1700</v>
      </c>
      <c r="B5233" t="s">
        <v>368</v>
      </c>
      <c r="C5233" t="s">
        <v>1719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1700</v>
      </c>
      <c r="B5234" t="s">
        <v>368</v>
      </c>
      <c r="C5234" t="s">
        <v>1720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1700</v>
      </c>
      <c r="B5235" t="s">
        <v>368</v>
      </c>
      <c r="C5235" t="s">
        <v>1721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1700</v>
      </c>
      <c r="B5236" t="s">
        <v>368</v>
      </c>
      <c r="C5236" t="s">
        <v>1722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1700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1700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1700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1700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1700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1700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1700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1700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1700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1700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1700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1700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1700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1700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1700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1700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1700</v>
      </c>
      <c r="B5253" t="s">
        <v>368</v>
      </c>
      <c r="C5253" t="s">
        <v>1723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1700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1700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1700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1700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1700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1700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1700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1700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1700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1700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1700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1700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1700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1700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1700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1700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1700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1700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1700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1700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1700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1700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1700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1700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1700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1700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1700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1700</v>
      </c>
      <c r="B5281" t="s">
        <v>368</v>
      </c>
      <c r="C5281" t="s">
        <v>1724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1700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1700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1700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1700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1700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1700</v>
      </c>
      <c r="B5287" t="s">
        <v>368</v>
      </c>
      <c r="C5287" t="s">
        <v>1725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1700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1700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1700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1700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1700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1700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1700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1700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1700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1700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1700</v>
      </c>
      <c r="B5298" t="s">
        <v>368</v>
      </c>
      <c r="C5298" t="s">
        <v>1726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1700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1700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1700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1700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1700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1700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1700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1700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1700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1700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1700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1700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1700</v>
      </c>
      <c r="B5311" t="s">
        <v>369</v>
      </c>
      <c r="C5311" t="s">
        <v>1701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1700</v>
      </c>
      <c r="B5312" t="s">
        <v>369</v>
      </c>
      <c r="C5312" t="s">
        <v>1702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1700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1700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1700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1700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1700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1700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1700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1700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1700</v>
      </c>
      <c r="B5321" t="s">
        <v>369</v>
      </c>
      <c r="C5321" t="s">
        <v>1703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1700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1700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1700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1700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1700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1700</v>
      </c>
      <c r="B5327" t="s">
        <v>369</v>
      </c>
      <c r="C5327" t="s">
        <v>1704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1700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1700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1700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1700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1700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1700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1700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1700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1700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1700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1700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1700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1700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1700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1700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1700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1700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1700</v>
      </c>
      <c r="B5345" t="s">
        <v>369</v>
      </c>
      <c r="C5345" t="s">
        <v>1705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1700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1700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1700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1700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1700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1700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1700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1700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1700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1700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1700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1700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1700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1700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1700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1700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1700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1700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1700</v>
      </c>
      <c r="B5364" t="s">
        <v>369</v>
      </c>
      <c r="C5364" t="s">
        <v>1706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1700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1700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1700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1700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1700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1700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1700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1700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1700</v>
      </c>
      <c r="B5373" t="s">
        <v>369</v>
      </c>
      <c r="C5373" t="s">
        <v>1707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1700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1700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1700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1700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1700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1700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1700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1700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1700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1700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1700</v>
      </c>
      <c r="B5384" t="s">
        <v>369</v>
      </c>
      <c r="C5384" t="s">
        <v>1708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1700</v>
      </c>
      <c r="B5385" t="s">
        <v>369</v>
      </c>
      <c r="C5385" t="s">
        <v>1709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1700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1700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1700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1700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1700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1700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1700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1700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1700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1700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1700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1700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1700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1700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1700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1700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1700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1700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1700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1700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1700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1700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1700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1700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1700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1700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1700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1700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1700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1700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1700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1700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1700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1700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1700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1700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1700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1700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1700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1700</v>
      </c>
      <c r="B5425" t="s">
        <v>369</v>
      </c>
      <c r="C5425" t="s">
        <v>1710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1700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1700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1700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1700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1700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1700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1700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1700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1700</v>
      </c>
      <c r="B5434" t="s">
        <v>369</v>
      </c>
      <c r="C5434" t="s">
        <v>1711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1700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1700</v>
      </c>
      <c r="B5436" t="s">
        <v>369</v>
      </c>
      <c r="C5436" t="s">
        <v>1712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1700</v>
      </c>
      <c r="B5437" t="s">
        <v>369</v>
      </c>
      <c r="C5437" t="s">
        <v>1713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1700</v>
      </c>
      <c r="B5438" t="s">
        <v>369</v>
      </c>
      <c r="C5438" t="s">
        <v>1714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1700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1700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1700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1700</v>
      </c>
      <c r="B5442" t="s">
        <v>369</v>
      </c>
      <c r="C5442" t="s">
        <v>1715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1700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1700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1700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1700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1700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1700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1700</v>
      </c>
      <c r="B5449" t="s">
        <v>369</v>
      </c>
      <c r="C5449" t="s">
        <v>1716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1700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1700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1700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1700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1700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1700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1700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1700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1700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1700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1700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1700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1700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1700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1700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1700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1700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1700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1700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1700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1700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1700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1700</v>
      </c>
      <c r="B5472" t="s">
        <v>369</v>
      </c>
      <c r="C5472" t="s">
        <v>1717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1700</v>
      </c>
      <c r="B5473" t="s">
        <v>369</v>
      </c>
      <c r="C5473" t="s">
        <v>1718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1700</v>
      </c>
      <c r="B5474" t="s">
        <v>369</v>
      </c>
      <c r="C5474" t="s">
        <v>1719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1700</v>
      </c>
      <c r="B5475" t="s">
        <v>369</v>
      </c>
      <c r="C5475" t="s">
        <v>1720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1700</v>
      </c>
      <c r="B5476" t="s">
        <v>369</v>
      </c>
      <c r="C5476" t="s">
        <v>1721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1700</v>
      </c>
      <c r="B5477" t="s">
        <v>369</v>
      </c>
      <c r="C5477" t="s">
        <v>1722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1700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1700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1700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1700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1700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1700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1700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1700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1700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1700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1700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1700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1700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1700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1700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1700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1700</v>
      </c>
      <c r="B5494" t="s">
        <v>369</v>
      </c>
      <c r="C5494" t="s">
        <v>1723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1700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1700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1700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1700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1700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1700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1700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1700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1700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1700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1700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1700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1700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1700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1700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1700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1700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1700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1700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1700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1700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1700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1700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1700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1700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1700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1700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1700</v>
      </c>
      <c r="B5522" t="s">
        <v>369</v>
      </c>
      <c r="C5522" t="s">
        <v>1724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1700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1700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1700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1700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1700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1700</v>
      </c>
      <c r="B5528" t="s">
        <v>369</v>
      </c>
      <c r="C5528" t="s">
        <v>1725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1700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1700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1700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1700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1700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1700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1700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1700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1700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1700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1700</v>
      </c>
      <c r="B5539" t="s">
        <v>369</v>
      </c>
      <c r="C5539" t="s">
        <v>1726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1700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1700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1700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1700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1700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1700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1700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1700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1700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1700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1700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1700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1700</v>
      </c>
      <c r="B5552" t="s">
        <v>370</v>
      </c>
      <c r="C5552" t="s">
        <v>1701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1700</v>
      </c>
      <c r="B5553" t="s">
        <v>370</v>
      </c>
      <c r="C5553" t="s">
        <v>1702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1700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1700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1700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1700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1700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1700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1700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1700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1700</v>
      </c>
      <c r="B5562" t="s">
        <v>370</v>
      </c>
      <c r="C5562" t="s">
        <v>1703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1700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1700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1700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1700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1700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1700</v>
      </c>
      <c r="B5568" t="s">
        <v>370</v>
      </c>
      <c r="C5568" t="s">
        <v>1704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1700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1700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1700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1700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1700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1700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1700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1700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1700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1700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1700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1700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1700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1700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1700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1700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1700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1700</v>
      </c>
      <c r="B5586" t="s">
        <v>370</v>
      </c>
      <c r="C5586" t="s">
        <v>1705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1700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1700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1700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1700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1700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1700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1700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1700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1700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1700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1700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1700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1700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1700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1700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1700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1700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1700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1700</v>
      </c>
      <c r="B5605" t="s">
        <v>370</v>
      </c>
      <c r="C5605" t="s">
        <v>1706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1700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1700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1700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1700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1700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1700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1700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1700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1700</v>
      </c>
      <c r="B5614" t="s">
        <v>370</v>
      </c>
      <c r="C5614" t="s">
        <v>1707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1700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1700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1700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1700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1700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1700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1700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1700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1700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1700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1700</v>
      </c>
      <c r="B5625" t="s">
        <v>370</v>
      </c>
      <c r="C5625" t="s">
        <v>1708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1700</v>
      </c>
      <c r="B5626" t="s">
        <v>370</v>
      </c>
      <c r="C5626" t="s">
        <v>1709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1700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1700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1700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1700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1700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1700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1700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1700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1700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1700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1700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1700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1700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1700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1700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1700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1700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1700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1700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1700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1700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1700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1700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1700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1700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1700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1700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1700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1700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1700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1700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1700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1700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1700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1700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1700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1700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1700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1700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1700</v>
      </c>
      <c r="B5666" t="s">
        <v>370</v>
      </c>
      <c r="C5666" t="s">
        <v>1710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1700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1700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1700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1700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1700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1700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1700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1700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1700</v>
      </c>
      <c r="B5675" t="s">
        <v>370</v>
      </c>
      <c r="C5675" t="s">
        <v>1711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1700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1700</v>
      </c>
      <c r="B5677" t="s">
        <v>370</v>
      </c>
      <c r="C5677" t="s">
        <v>1712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1700</v>
      </c>
      <c r="B5678" t="s">
        <v>370</v>
      </c>
      <c r="C5678" t="s">
        <v>1713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1700</v>
      </c>
      <c r="B5679" t="s">
        <v>370</v>
      </c>
      <c r="C5679" t="s">
        <v>1714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1700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1700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1700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1700</v>
      </c>
      <c r="B5683" t="s">
        <v>370</v>
      </c>
      <c r="C5683" t="s">
        <v>1715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1700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1700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1700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1700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1700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1700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1700</v>
      </c>
      <c r="B5690" t="s">
        <v>370</v>
      </c>
      <c r="C5690" t="s">
        <v>1716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1700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1700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1700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1700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1700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1700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1700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1700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1700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1700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1700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1700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1700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1700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1700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1700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1700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1700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1700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1700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1700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1700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1700</v>
      </c>
      <c r="B5713" t="s">
        <v>370</v>
      </c>
      <c r="C5713" t="s">
        <v>1717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1700</v>
      </c>
      <c r="B5714" t="s">
        <v>370</v>
      </c>
      <c r="C5714" t="s">
        <v>1718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1700</v>
      </c>
      <c r="B5715" t="s">
        <v>370</v>
      </c>
      <c r="C5715" t="s">
        <v>1719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1700</v>
      </c>
      <c r="B5716" t="s">
        <v>370</v>
      </c>
      <c r="C5716" t="s">
        <v>1720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1700</v>
      </c>
      <c r="B5717" t="s">
        <v>370</v>
      </c>
      <c r="C5717" t="s">
        <v>1721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1700</v>
      </c>
      <c r="B5718" t="s">
        <v>370</v>
      </c>
      <c r="C5718" t="s">
        <v>1722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1700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1700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1700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1700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1700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1700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1700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1700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1700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1700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1700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1700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1700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1700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1700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1700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1700</v>
      </c>
      <c r="B5735" t="s">
        <v>370</v>
      </c>
      <c r="C5735" t="s">
        <v>1723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1700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1700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1700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1700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1700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1700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1700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1700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1700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1700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1700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1700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1700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1700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1700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1700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1700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1700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1700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1700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1700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1700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1700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1700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1700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1700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1700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1700</v>
      </c>
      <c r="B5763" t="s">
        <v>370</v>
      </c>
      <c r="C5763" t="s">
        <v>1724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1700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1700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1700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1700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1700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1700</v>
      </c>
      <c r="B5769" t="s">
        <v>370</v>
      </c>
      <c r="C5769" t="s">
        <v>1725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1700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1700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1700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1700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1700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1700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1700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1700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1700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1700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1700</v>
      </c>
      <c r="B5780" t="s">
        <v>370</v>
      </c>
      <c r="C5780" t="s">
        <v>1726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1700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1700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1700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1700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1700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1700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1700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1700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1700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1700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1700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1700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1700</v>
      </c>
      <c r="B5793" t="s">
        <v>371</v>
      </c>
      <c r="C5793" t="s">
        <v>1701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1700</v>
      </c>
      <c r="B5794" t="s">
        <v>371</v>
      </c>
      <c r="C5794" t="s">
        <v>1702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1700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1700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1700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1700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1700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1700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1700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1700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1700</v>
      </c>
      <c r="B5803" t="s">
        <v>371</v>
      </c>
      <c r="C5803" t="s">
        <v>1703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1700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1700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1700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1700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1700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1700</v>
      </c>
      <c r="B5809" t="s">
        <v>371</v>
      </c>
      <c r="C5809" t="s">
        <v>1704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1700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1700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1700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1700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1700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1700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1700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1700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1700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1700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1700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1700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1700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1700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1700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1700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1700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1700</v>
      </c>
      <c r="B5827" t="s">
        <v>371</v>
      </c>
      <c r="C5827" t="s">
        <v>1705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1700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1700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1700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1700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1700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1700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1700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1700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1700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1700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1700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1700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1700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1700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1700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1700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1700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1700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1700</v>
      </c>
      <c r="B5846" t="s">
        <v>371</v>
      </c>
      <c r="C5846" t="s">
        <v>1706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1700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1700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1700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1700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1700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1700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1700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1700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1700</v>
      </c>
      <c r="B5855" t="s">
        <v>371</v>
      </c>
      <c r="C5855" t="s">
        <v>1707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1700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1700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1700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1700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1700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1700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1700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1700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1700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1700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1700</v>
      </c>
      <c r="B5866" t="s">
        <v>371</v>
      </c>
      <c r="C5866" t="s">
        <v>1708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1700</v>
      </c>
      <c r="B5867" t="s">
        <v>371</v>
      </c>
      <c r="C5867" t="s">
        <v>1709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1700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1700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1700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1700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1700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1700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1700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1700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1700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1700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1700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1700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1700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1700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1700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1700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1700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1700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1700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1700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1700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1700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1700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1700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1700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1700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1700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1700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1700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1700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1700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1700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1700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1700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1700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1700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1700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1700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1700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1700</v>
      </c>
      <c r="B5907" t="s">
        <v>371</v>
      </c>
      <c r="C5907" t="s">
        <v>1710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1700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1700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1700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1700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1700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1700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1700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1700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1700</v>
      </c>
      <c r="B5916" t="s">
        <v>371</v>
      </c>
      <c r="C5916" t="s">
        <v>1711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1700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1700</v>
      </c>
      <c r="B5918" t="s">
        <v>371</v>
      </c>
      <c r="C5918" t="s">
        <v>1712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1700</v>
      </c>
      <c r="B5919" t="s">
        <v>371</v>
      </c>
      <c r="C5919" t="s">
        <v>1713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1700</v>
      </c>
      <c r="B5920" t="s">
        <v>371</v>
      </c>
      <c r="C5920" t="s">
        <v>1714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1700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1700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1700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1700</v>
      </c>
      <c r="B5924" t="s">
        <v>371</v>
      </c>
      <c r="C5924" t="s">
        <v>1715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1700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1700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1700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1700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1700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1700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1700</v>
      </c>
      <c r="B5931" t="s">
        <v>371</v>
      </c>
      <c r="C5931" t="s">
        <v>1716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1700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1700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1700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1700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1700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1700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1700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1700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1700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1700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1700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1700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1700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1700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1700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1700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1700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1700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1700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1700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1700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1700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1700</v>
      </c>
      <c r="B5954" t="s">
        <v>371</v>
      </c>
      <c r="C5954" t="s">
        <v>1717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1700</v>
      </c>
      <c r="B5955" t="s">
        <v>371</v>
      </c>
      <c r="C5955" t="s">
        <v>1718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1700</v>
      </c>
      <c r="B5956" t="s">
        <v>371</v>
      </c>
      <c r="C5956" t="s">
        <v>1719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1700</v>
      </c>
      <c r="B5957" t="s">
        <v>371</v>
      </c>
      <c r="C5957" t="s">
        <v>1720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1700</v>
      </c>
      <c r="B5958" t="s">
        <v>371</v>
      </c>
      <c r="C5958" t="s">
        <v>1721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1700</v>
      </c>
      <c r="B5959" t="s">
        <v>371</v>
      </c>
      <c r="C5959" t="s">
        <v>1722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1700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1700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1700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1700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1700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1700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1700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1700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1700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1700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1700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1700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1700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1700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1700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1700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1700</v>
      </c>
      <c r="B5976" t="s">
        <v>371</v>
      </c>
      <c r="C5976" t="s">
        <v>1723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1700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1700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1700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1700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1700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1700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1700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1700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1700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1700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1700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1700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1700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1700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1700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1700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1700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1700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1700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1700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1700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1700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1700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1700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1700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1700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1700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1700</v>
      </c>
      <c r="B6004" t="s">
        <v>371</v>
      </c>
      <c r="C6004" t="s">
        <v>1724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1700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1700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1700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1700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1700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1700</v>
      </c>
      <c r="B6010" t="s">
        <v>371</v>
      </c>
      <c r="C6010" t="s">
        <v>1725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1700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1700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1700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1700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1700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1700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1700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1700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1700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1700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1700</v>
      </c>
      <c r="B6021" t="s">
        <v>371</v>
      </c>
      <c r="C6021" t="s">
        <v>1726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1700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1700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1700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1700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1700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1700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1700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1700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1700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1700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1700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1700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1700</v>
      </c>
      <c r="B6034" t="s">
        <v>372</v>
      </c>
      <c r="C6034" t="s">
        <v>1701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1700</v>
      </c>
      <c r="B6035" t="s">
        <v>372</v>
      </c>
      <c r="C6035" t="s">
        <v>1702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1700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1700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1700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1700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1700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1700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1700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1700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1700</v>
      </c>
      <c r="B6044" t="s">
        <v>372</v>
      </c>
      <c r="C6044" t="s">
        <v>1703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1700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1700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1700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1700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1700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1700</v>
      </c>
      <c r="B6050" t="s">
        <v>372</v>
      </c>
      <c r="C6050" t="s">
        <v>1704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1700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1700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1700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1700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1700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1700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1700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1700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1700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1700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1700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1700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1700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1700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1700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1700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1700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1700</v>
      </c>
      <c r="B6068" t="s">
        <v>372</v>
      </c>
      <c r="C6068" t="s">
        <v>1705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1700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1700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1700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1700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1700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1700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1700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1700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1700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1700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1700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1700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1700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1700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1700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1700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1700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1700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1700</v>
      </c>
      <c r="B6087" t="s">
        <v>372</v>
      </c>
      <c r="C6087" t="s">
        <v>1706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1700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1700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1700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1700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1700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1700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1700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1700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1700</v>
      </c>
      <c r="B6096" t="s">
        <v>372</v>
      </c>
      <c r="C6096" t="s">
        <v>1707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1700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1700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1700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1700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1700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1700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1700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1700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1700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1700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1700</v>
      </c>
      <c r="B6107" t="s">
        <v>372</v>
      </c>
      <c r="C6107" t="s">
        <v>1708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1700</v>
      </c>
      <c r="B6108" t="s">
        <v>372</v>
      </c>
      <c r="C6108" t="s">
        <v>1709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1700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1700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1700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1700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1700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1700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1700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1700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1700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1700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1700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1700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1700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1700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1700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1700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1700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1700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1700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1700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1700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1700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1700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1700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1700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1700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1700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1700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1700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1700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1700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1700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1700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1700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1700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1700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1700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1700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1700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1700</v>
      </c>
      <c r="B6148" t="s">
        <v>372</v>
      </c>
      <c r="C6148" t="s">
        <v>1710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1700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1700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1700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1700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1700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1700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1700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1700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1700</v>
      </c>
      <c r="B6157" t="s">
        <v>372</v>
      </c>
      <c r="C6157" t="s">
        <v>1711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1700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1700</v>
      </c>
      <c r="B6159" t="s">
        <v>372</v>
      </c>
      <c r="C6159" t="s">
        <v>1712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1700</v>
      </c>
      <c r="B6160" t="s">
        <v>372</v>
      </c>
      <c r="C6160" t="s">
        <v>1713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1700</v>
      </c>
      <c r="B6161" t="s">
        <v>372</v>
      </c>
      <c r="C6161" t="s">
        <v>1714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1700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1700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1700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1700</v>
      </c>
      <c r="B6165" t="s">
        <v>372</v>
      </c>
      <c r="C6165" t="s">
        <v>1715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1700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1700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1700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1700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1700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1700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1700</v>
      </c>
      <c r="B6172" t="s">
        <v>372</v>
      </c>
      <c r="C6172" t="s">
        <v>1716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1700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1700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1700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1700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1700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1700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1700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1700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1700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1700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1700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1700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1700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1700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1700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1700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1700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1700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1700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1700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1700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1700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1700</v>
      </c>
      <c r="B6195" t="s">
        <v>372</v>
      </c>
      <c r="C6195" t="s">
        <v>1717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1700</v>
      </c>
      <c r="B6196" t="s">
        <v>372</v>
      </c>
      <c r="C6196" t="s">
        <v>1718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1700</v>
      </c>
      <c r="B6197" t="s">
        <v>372</v>
      </c>
      <c r="C6197" t="s">
        <v>1719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1700</v>
      </c>
      <c r="B6198" t="s">
        <v>372</v>
      </c>
      <c r="C6198" t="s">
        <v>1720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1700</v>
      </c>
      <c r="B6199" t="s">
        <v>372</v>
      </c>
      <c r="C6199" t="s">
        <v>1721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1700</v>
      </c>
      <c r="B6200" t="s">
        <v>372</v>
      </c>
      <c r="C6200" t="s">
        <v>1722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1700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1700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1700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1700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1700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1700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1700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1700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1700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1700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1700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1700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1700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1700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1700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1700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1700</v>
      </c>
      <c r="B6217" t="s">
        <v>372</v>
      </c>
      <c r="C6217" t="s">
        <v>1723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1700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1700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1700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1700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1700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1700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1700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1700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1700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1700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1700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1700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1700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1700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1700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1700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1700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1700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1700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1700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1700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1700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1700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1700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1700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1700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1700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1700</v>
      </c>
      <c r="B6245" t="s">
        <v>372</v>
      </c>
      <c r="C6245" t="s">
        <v>1724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1700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1700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1700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1700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1700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1700</v>
      </c>
      <c r="B6251" t="s">
        <v>372</v>
      </c>
      <c r="C6251" t="s">
        <v>1725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1700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1700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1700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1700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1700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1700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1700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1700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1700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1700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1700</v>
      </c>
      <c r="B6262" t="s">
        <v>372</v>
      </c>
      <c r="C6262" t="s">
        <v>1726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1700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1700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1700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1700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1700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1700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1700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1700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1700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1700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1700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1700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1700</v>
      </c>
      <c r="B6275" t="s">
        <v>373</v>
      </c>
      <c r="C6275" t="s">
        <v>1701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1700</v>
      </c>
      <c r="B6276" t="s">
        <v>373</v>
      </c>
      <c r="C6276" t="s">
        <v>1702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1700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1700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1700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1700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1700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1700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1700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1700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1700</v>
      </c>
      <c r="B6285" t="s">
        <v>373</v>
      </c>
      <c r="C6285" t="s">
        <v>1703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1700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1700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1700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1700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1700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1700</v>
      </c>
      <c r="B6291" t="s">
        <v>373</v>
      </c>
      <c r="C6291" t="s">
        <v>1704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1700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1700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1700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1700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1700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1700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1700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1700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1700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1700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1700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1700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1700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1700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1700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1700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1700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1700</v>
      </c>
      <c r="B6309" t="s">
        <v>373</v>
      </c>
      <c r="C6309" t="s">
        <v>1705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1700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1700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1700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1700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1700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1700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1700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1700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1700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1700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1700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1700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1700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1700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1700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1700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1700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1700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1700</v>
      </c>
      <c r="B6328" t="s">
        <v>373</v>
      </c>
      <c r="C6328" t="s">
        <v>1706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1700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1700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1700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1700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1700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1700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1700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1700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1700</v>
      </c>
      <c r="B6337" t="s">
        <v>373</v>
      </c>
      <c r="C6337" t="s">
        <v>1707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1700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1700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1700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1700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1700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1700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1700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1700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1700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1700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1700</v>
      </c>
      <c r="B6348" t="s">
        <v>373</v>
      </c>
      <c r="C6348" t="s">
        <v>1708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1700</v>
      </c>
      <c r="B6349" t="s">
        <v>373</v>
      </c>
      <c r="C6349" t="s">
        <v>1709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1700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1700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1700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1700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1700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1700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1700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1700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1700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1700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1700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1700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1700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1700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1700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1700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1700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1700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1700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1700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1700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1700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1700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1700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1700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1700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1700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1700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1700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1700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1700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1700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1700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1700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1700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1700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1700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1700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1700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1700</v>
      </c>
      <c r="B6389" t="s">
        <v>373</v>
      </c>
      <c r="C6389" t="s">
        <v>1710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1700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1700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1700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1700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1700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1700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1700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1700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1700</v>
      </c>
      <c r="B6398" t="s">
        <v>373</v>
      </c>
      <c r="C6398" t="s">
        <v>1711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1700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1700</v>
      </c>
      <c r="B6400" t="s">
        <v>373</v>
      </c>
      <c r="C6400" t="s">
        <v>1712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1700</v>
      </c>
      <c r="B6401" t="s">
        <v>373</v>
      </c>
      <c r="C6401" t="s">
        <v>1713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1700</v>
      </c>
      <c r="B6402" t="s">
        <v>373</v>
      </c>
      <c r="C6402" t="s">
        <v>1714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1700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1700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1700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1700</v>
      </c>
      <c r="B6406" t="s">
        <v>373</v>
      </c>
      <c r="C6406" t="s">
        <v>1715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1700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1700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1700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1700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1700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1700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1700</v>
      </c>
      <c r="B6413" t="s">
        <v>373</v>
      </c>
      <c r="C6413" t="s">
        <v>1716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1700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1700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1700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1700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1700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1700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1700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1700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1700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1700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1700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1700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1700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1700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1700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1700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1700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1700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1700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1700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1700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1700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1700</v>
      </c>
      <c r="B6436" t="s">
        <v>373</v>
      </c>
      <c r="C6436" t="s">
        <v>1717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1700</v>
      </c>
      <c r="B6437" t="s">
        <v>373</v>
      </c>
      <c r="C6437" t="s">
        <v>1718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1700</v>
      </c>
      <c r="B6438" t="s">
        <v>373</v>
      </c>
      <c r="C6438" t="s">
        <v>1719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1700</v>
      </c>
      <c r="B6439" t="s">
        <v>373</v>
      </c>
      <c r="C6439" t="s">
        <v>1720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1700</v>
      </c>
      <c r="B6440" t="s">
        <v>373</v>
      </c>
      <c r="C6440" t="s">
        <v>1721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1700</v>
      </c>
      <c r="B6441" t="s">
        <v>373</v>
      </c>
      <c r="C6441" t="s">
        <v>1722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1700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1700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1700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1700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1700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1700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1700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1700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1700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1700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1700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1700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1700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1700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1700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1700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1700</v>
      </c>
      <c r="B6458" t="s">
        <v>373</v>
      </c>
      <c r="C6458" t="s">
        <v>1723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1700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1700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1700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1700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1700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1700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1700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1700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1700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1700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1700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1700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1700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1700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1700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1700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1700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1700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1700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1700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1700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1700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1700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1700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1700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1700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1700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1700</v>
      </c>
      <c r="B6486" t="s">
        <v>373</v>
      </c>
      <c r="C6486" t="s">
        <v>1724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1700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1700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1700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1700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1700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1700</v>
      </c>
      <c r="B6492" t="s">
        <v>373</v>
      </c>
      <c r="C6492" t="s">
        <v>1725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1700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1700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1700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1700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1700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1700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1700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1700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1700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1700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1700</v>
      </c>
      <c r="B6503" t="s">
        <v>373</v>
      </c>
      <c r="C6503" t="s">
        <v>1726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1700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1700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1700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1700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1700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1700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1700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1700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1700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1700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1700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1700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1700</v>
      </c>
      <c r="B6516" t="s">
        <v>374</v>
      </c>
      <c r="C6516" t="s">
        <v>1701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1700</v>
      </c>
      <c r="B6517" t="s">
        <v>374</v>
      </c>
      <c r="C6517" t="s">
        <v>1702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1700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1700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1700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1700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1700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1700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1700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1700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1700</v>
      </c>
      <c r="B6526" t="s">
        <v>374</v>
      </c>
      <c r="C6526" t="s">
        <v>1703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1700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1700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1700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1700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1700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1700</v>
      </c>
      <c r="B6532" t="s">
        <v>374</v>
      </c>
      <c r="C6532" t="s">
        <v>1704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1700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1700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1700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1700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1700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1700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1700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1700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1700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1700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1700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1700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1700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1700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1700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1700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1700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1700</v>
      </c>
      <c r="B6550" t="s">
        <v>374</v>
      </c>
      <c r="C6550" t="s">
        <v>1705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1700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1700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1700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1700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1700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1700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1700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1700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1700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1700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1700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1700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1700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1700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1700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1700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1700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1700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1700</v>
      </c>
      <c r="B6569" t="s">
        <v>374</v>
      </c>
      <c r="C6569" t="s">
        <v>1706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1700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1700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1700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1700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1700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1700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1700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1700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1700</v>
      </c>
      <c r="B6578" t="s">
        <v>374</v>
      </c>
      <c r="C6578" t="s">
        <v>1707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1700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1700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1700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1700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1700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1700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1700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1700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1700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1700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1700</v>
      </c>
      <c r="B6589" t="s">
        <v>374</v>
      </c>
      <c r="C6589" t="s">
        <v>1708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1700</v>
      </c>
      <c r="B6590" t="s">
        <v>374</v>
      </c>
      <c r="C6590" t="s">
        <v>1709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1700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1700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1700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1700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1700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1700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1700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1700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1700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1700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1700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1700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1700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1700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1700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1700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1700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1700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1700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1700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1700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1700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1700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1700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1700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1700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1700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1700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1700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1700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1700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1700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1700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1700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1700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1700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1700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1700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1700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1700</v>
      </c>
      <c r="B6630" t="s">
        <v>374</v>
      </c>
      <c r="C6630" t="s">
        <v>1710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1700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1700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1700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1700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1700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1700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1700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1700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1700</v>
      </c>
      <c r="B6639" t="s">
        <v>374</v>
      </c>
      <c r="C6639" t="s">
        <v>1711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1700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1700</v>
      </c>
      <c r="B6641" t="s">
        <v>374</v>
      </c>
      <c r="C6641" t="s">
        <v>1712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1700</v>
      </c>
      <c r="B6642" t="s">
        <v>374</v>
      </c>
      <c r="C6642" t="s">
        <v>1713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1700</v>
      </c>
      <c r="B6643" t="s">
        <v>374</v>
      </c>
      <c r="C6643" t="s">
        <v>1714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1700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1700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1700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1700</v>
      </c>
      <c r="B6647" t="s">
        <v>374</v>
      </c>
      <c r="C6647" t="s">
        <v>1715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1700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1700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1700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1700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1700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1700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1700</v>
      </c>
      <c r="B6654" t="s">
        <v>374</v>
      </c>
      <c r="C6654" t="s">
        <v>1716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1700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1700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1700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1700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1700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1700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1700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1700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1700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1700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1700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1700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1700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1700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1700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1700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1700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1700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1700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1700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1700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1700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1700</v>
      </c>
      <c r="B6677" t="s">
        <v>374</v>
      </c>
      <c r="C6677" t="s">
        <v>1717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1700</v>
      </c>
      <c r="B6678" t="s">
        <v>374</v>
      </c>
      <c r="C6678" t="s">
        <v>1718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1700</v>
      </c>
      <c r="B6679" t="s">
        <v>374</v>
      </c>
      <c r="C6679" t="s">
        <v>1719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1700</v>
      </c>
      <c r="B6680" t="s">
        <v>374</v>
      </c>
      <c r="C6680" t="s">
        <v>1720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1700</v>
      </c>
      <c r="B6681" t="s">
        <v>374</v>
      </c>
      <c r="C6681" t="s">
        <v>1721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1700</v>
      </c>
      <c r="B6682" t="s">
        <v>374</v>
      </c>
      <c r="C6682" t="s">
        <v>1722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1700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1700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1700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1700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1700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1700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1700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1700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1700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1700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1700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1700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1700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1700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1700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1700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1700</v>
      </c>
      <c r="B6699" t="s">
        <v>374</v>
      </c>
      <c r="C6699" t="s">
        <v>1723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1700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1700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1700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1700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1700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1700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1700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1700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1700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1700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1700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1700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1700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1700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1700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1700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1700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1700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1700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1700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1700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1700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1700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1700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1700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1700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1700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1700</v>
      </c>
      <c r="B6727" t="s">
        <v>374</v>
      </c>
      <c r="C6727" t="s">
        <v>1724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1700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1700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1700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1700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1700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1700</v>
      </c>
      <c r="B6733" t="s">
        <v>374</v>
      </c>
      <c r="C6733" t="s">
        <v>1725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1700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1700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1700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1700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1700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1700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1700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1700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1700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1700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1700</v>
      </c>
      <c r="B6744" t="s">
        <v>374</v>
      </c>
      <c r="C6744" t="s">
        <v>1726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1700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1700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1700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1700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1700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1700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1700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1700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1700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1700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1700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1700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1700</v>
      </c>
      <c r="B6757" t="s">
        <v>375</v>
      </c>
      <c r="C6757" t="s">
        <v>1701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1700</v>
      </c>
      <c r="B6758" t="s">
        <v>375</v>
      </c>
      <c r="C6758" t="s">
        <v>1702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1700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1700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1700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1700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1700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1700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1700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1700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1700</v>
      </c>
      <c r="B6767" t="s">
        <v>375</v>
      </c>
      <c r="C6767" t="s">
        <v>1703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1700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1700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1700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1700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1700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1700</v>
      </c>
      <c r="B6773" t="s">
        <v>375</v>
      </c>
      <c r="C6773" t="s">
        <v>1704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1700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1700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1700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1700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1700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1700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1700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1700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1700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1700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1700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1700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1700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1700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1700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1700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1700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1700</v>
      </c>
      <c r="B6791" t="s">
        <v>375</v>
      </c>
      <c r="C6791" t="s">
        <v>1705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1700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1700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1700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1700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1700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1700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1700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1700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1700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1700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1700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1700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1700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1700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1700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1700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1700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1700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1700</v>
      </c>
      <c r="B6810" t="s">
        <v>375</v>
      </c>
      <c r="C6810" t="s">
        <v>1706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1700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1700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1700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1700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1700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1700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1700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1700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1700</v>
      </c>
      <c r="B6819" t="s">
        <v>375</v>
      </c>
      <c r="C6819" t="s">
        <v>1707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1700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1700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1700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1700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1700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1700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1700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1700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1700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1700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1700</v>
      </c>
      <c r="B6830" t="s">
        <v>375</v>
      </c>
      <c r="C6830" t="s">
        <v>1708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1700</v>
      </c>
      <c r="B6831" t="s">
        <v>375</v>
      </c>
      <c r="C6831" t="s">
        <v>1709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1700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1700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1700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1700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1700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1700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1700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1700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1700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1700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1700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1700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1700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1700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1700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1700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1700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1700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1700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1700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1700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1700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1700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1700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1700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1700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1700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1700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1700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1700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1700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1700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1700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1700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1700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1700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1700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1700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1700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1700</v>
      </c>
      <c r="B6871" t="s">
        <v>375</v>
      </c>
      <c r="C6871" t="s">
        <v>1710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1700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1700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1700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1700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1700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1700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1700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1700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1700</v>
      </c>
      <c r="B6880" t="s">
        <v>375</v>
      </c>
      <c r="C6880" t="s">
        <v>1711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1700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1700</v>
      </c>
      <c r="B6882" t="s">
        <v>375</v>
      </c>
      <c r="C6882" t="s">
        <v>1712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1700</v>
      </c>
      <c r="B6883" t="s">
        <v>375</v>
      </c>
      <c r="C6883" t="s">
        <v>1713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1700</v>
      </c>
      <c r="B6884" t="s">
        <v>375</v>
      </c>
      <c r="C6884" t="s">
        <v>1714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1700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1700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1700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1700</v>
      </c>
      <c r="B6888" t="s">
        <v>375</v>
      </c>
      <c r="C6888" t="s">
        <v>1715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1700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1700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1700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1700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1700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1700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1700</v>
      </c>
      <c r="B6895" t="s">
        <v>375</v>
      </c>
      <c r="C6895" t="s">
        <v>1716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1700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1700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1700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1700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1700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1700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1700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1700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1700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1700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1700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1700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1700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1700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1700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1700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1700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1700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1700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1700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1700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1700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1700</v>
      </c>
      <c r="B6918" t="s">
        <v>375</v>
      </c>
      <c r="C6918" t="s">
        <v>1717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1700</v>
      </c>
      <c r="B6919" t="s">
        <v>375</v>
      </c>
      <c r="C6919" t="s">
        <v>1718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1700</v>
      </c>
      <c r="B6920" t="s">
        <v>375</v>
      </c>
      <c r="C6920" t="s">
        <v>1719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1700</v>
      </c>
      <c r="B6921" t="s">
        <v>375</v>
      </c>
      <c r="C6921" t="s">
        <v>1720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1700</v>
      </c>
      <c r="B6922" t="s">
        <v>375</v>
      </c>
      <c r="C6922" t="s">
        <v>1721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1700</v>
      </c>
      <c r="B6923" t="s">
        <v>375</v>
      </c>
      <c r="C6923" t="s">
        <v>1722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1700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1700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1700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1700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1700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1700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1700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1700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1700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1700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1700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1700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1700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1700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1700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1700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1700</v>
      </c>
      <c r="B6940" t="s">
        <v>375</v>
      </c>
      <c r="C6940" t="s">
        <v>1723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1700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1700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1700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1700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1700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1700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1700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1700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1700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1700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1700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1700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1700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1700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1700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1700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1700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1700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1700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1700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1700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1700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1700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1700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1700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1700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1700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1700</v>
      </c>
      <c r="B6968" t="s">
        <v>375</v>
      </c>
      <c r="C6968" t="s">
        <v>1724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1700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1700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1700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1700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1700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1700</v>
      </c>
      <c r="B6974" t="s">
        <v>375</v>
      </c>
      <c r="C6974" t="s">
        <v>1725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1700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1700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1700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1700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1700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1700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1700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1700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1700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1700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1700</v>
      </c>
      <c r="B6985" t="s">
        <v>375</v>
      </c>
      <c r="C6985" t="s">
        <v>1726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1700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1700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1700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1700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1700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1700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1700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1700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1700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1700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1700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1700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1700</v>
      </c>
      <c r="B6998" t="s">
        <v>376</v>
      </c>
      <c r="C6998" t="s">
        <v>1701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1700</v>
      </c>
      <c r="B6999" t="s">
        <v>376</v>
      </c>
      <c r="C6999" t="s">
        <v>1702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1700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1700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1700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1700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1700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1700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1700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1700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1700</v>
      </c>
      <c r="B7008" t="s">
        <v>376</v>
      </c>
      <c r="C7008" t="s">
        <v>1703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1700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1700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1700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1700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1700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1700</v>
      </c>
      <c r="B7014" t="s">
        <v>376</v>
      </c>
      <c r="C7014" t="s">
        <v>1704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1700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1700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1700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1700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1700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1700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1700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1700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1700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1700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1700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1700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1700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1700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1700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1700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1700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1700</v>
      </c>
      <c r="B7032" t="s">
        <v>376</v>
      </c>
      <c r="C7032" t="s">
        <v>1705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1700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1700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1700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1700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1700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1700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1700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1700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1700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1700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1700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1700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1700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1700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1700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1700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1700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1700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1700</v>
      </c>
      <c r="B7051" t="s">
        <v>376</v>
      </c>
      <c r="C7051" t="s">
        <v>1706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1700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1700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1700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1700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1700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1700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1700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1700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1700</v>
      </c>
      <c r="B7060" t="s">
        <v>376</v>
      </c>
      <c r="C7060" t="s">
        <v>1707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1700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1700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1700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1700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1700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1700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1700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1700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1700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1700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1700</v>
      </c>
      <c r="B7071" t="s">
        <v>376</v>
      </c>
      <c r="C7071" t="s">
        <v>1708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1700</v>
      </c>
      <c r="B7072" t="s">
        <v>376</v>
      </c>
      <c r="C7072" t="s">
        <v>1709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1700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1700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1700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1700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1700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1700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1700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1700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1700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1700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1700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1700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1700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1700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1700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1700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1700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1700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1700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1700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1700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1700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1700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1700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1700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1700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1700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1700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1700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1700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1700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1700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1700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1700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1700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1700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1700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1700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1700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1700</v>
      </c>
      <c r="B7112" t="s">
        <v>376</v>
      </c>
      <c r="C7112" t="s">
        <v>1710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1700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1700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1700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1700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1700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1700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1700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1700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1700</v>
      </c>
      <c r="B7121" t="s">
        <v>376</v>
      </c>
      <c r="C7121" t="s">
        <v>1711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1700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1700</v>
      </c>
      <c r="B7123" t="s">
        <v>376</v>
      </c>
      <c r="C7123" t="s">
        <v>1712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1700</v>
      </c>
      <c r="B7124" t="s">
        <v>376</v>
      </c>
      <c r="C7124" t="s">
        <v>1713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1700</v>
      </c>
      <c r="B7125" t="s">
        <v>376</v>
      </c>
      <c r="C7125" t="s">
        <v>1714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1700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1700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1700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1700</v>
      </c>
      <c r="B7129" t="s">
        <v>376</v>
      </c>
      <c r="C7129" t="s">
        <v>1715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1700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1700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1700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1700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1700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1700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1700</v>
      </c>
      <c r="B7136" t="s">
        <v>376</v>
      </c>
      <c r="C7136" t="s">
        <v>1716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1700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1700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1700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1700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1700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1700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1700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1700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1700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1700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1700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1700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1700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1700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1700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1700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1700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1700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1700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1700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1700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1700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1700</v>
      </c>
      <c r="B7159" t="s">
        <v>376</v>
      </c>
      <c r="C7159" t="s">
        <v>1717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1700</v>
      </c>
      <c r="B7160" t="s">
        <v>376</v>
      </c>
      <c r="C7160" t="s">
        <v>1718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1700</v>
      </c>
      <c r="B7161" t="s">
        <v>376</v>
      </c>
      <c r="C7161" t="s">
        <v>1719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1700</v>
      </c>
      <c r="B7162" t="s">
        <v>376</v>
      </c>
      <c r="C7162" t="s">
        <v>1720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1700</v>
      </c>
      <c r="B7163" t="s">
        <v>376</v>
      </c>
      <c r="C7163" t="s">
        <v>1721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1700</v>
      </c>
      <c r="B7164" t="s">
        <v>376</v>
      </c>
      <c r="C7164" t="s">
        <v>1722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1700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1700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1700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1700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1700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1700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1700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1700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1700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1700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1700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1700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1700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1700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1700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1700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1700</v>
      </c>
      <c r="B7181" t="s">
        <v>376</v>
      </c>
      <c r="C7181" t="s">
        <v>1723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1700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1700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1700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1700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1700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1700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1700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1700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1700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1700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1700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1700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1700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1700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1700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1700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1700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1700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1700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1700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1700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1700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1700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1700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1700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1700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1700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1700</v>
      </c>
      <c r="B7209" t="s">
        <v>376</v>
      </c>
      <c r="C7209" t="s">
        <v>1724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1700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1700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1700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1700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1700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1700</v>
      </c>
      <c r="B7215" t="s">
        <v>376</v>
      </c>
      <c r="C7215" t="s">
        <v>1725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1700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1700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1700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1700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1700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1700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1700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1700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1700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1700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1700</v>
      </c>
      <c r="B7226" t="s">
        <v>376</v>
      </c>
      <c r="C7226" t="s">
        <v>1726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1700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1700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1700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1700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1700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1700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1700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1700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1700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1700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1700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1700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1700</v>
      </c>
      <c r="B7239" t="s">
        <v>377</v>
      </c>
      <c r="C7239" t="s">
        <v>1701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1700</v>
      </c>
      <c r="B7240" t="s">
        <v>377</v>
      </c>
      <c r="C7240" t="s">
        <v>1702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1700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1700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1700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1700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1700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1700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1700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1700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1700</v>
      </c>
      <c r="B7249" t="s">
        <v>377</v>
      </c>
      <c r="C7249" t="s">
        <v>1703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1700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1700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1700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1700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1700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1700</v>
      </c>
      <c r="B7255" t="s">
        <v>377</v>
      </c>
      <c r="C7255" t="s">
        <v>1704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1700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1700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1700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1700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1700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1700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1700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1700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1700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1700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1700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1700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1700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1700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1700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1700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1700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1700</v>
      </c>
      <c r="B7273" t="s">
        <v>377</v>
      </c>
      <c r="C7273" t="s">
        <v>1705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1700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1700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1700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1700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1700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1700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1700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1700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1700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1700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1700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1700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1700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1700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1700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1700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1700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1700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1700</v>
      </c>
      <c r="B7292" t="s">
        <v>377</v>
      </c>
      <c r="C7292" t="s">
        <v>1706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1700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1700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1700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1700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1700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1700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1700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1700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1700</v>
      </c>
      <c r="B7301" t="s">
        <v>377</v>
      </c>
      <c r="C7301" t="s">
        <v>1707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1700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1700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1700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1700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1700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1700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1700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1700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1700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1700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1700</v>
      </c>
      <c r="B7312" t="s">
        <v>377</v>
      </c>
      <c r="C7312" t="s">
        <v>1708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1700</v>
      </c>
      <c r="B7313" t="s">
        <v>377</v>
      </c>
      <c r="C7313" t="s">
        <v>1709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1700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1700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1700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1700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1700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1700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1700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1700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1700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1700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1700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1700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1700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1700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1700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1700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1700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1700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1700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1700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1700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1700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1700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1700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1700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1700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1700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1700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1700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1700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1700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1700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1700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1700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1700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1700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1700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1700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1700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1700</v>
      </c>
      <c r="B7353" t="s">
        <v>377</v>
      </c>
      <c r="C7353" t="s">
        <v>1710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1700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1700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1700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1700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1700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1700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1700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1700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1700</v>
      </c>
      <c r="B7362" t="s">
        <v>377</v>
      </c>
      <c r="C7362" t="s">
        <v>1711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1700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1700</v>
      </c>
      <c r="B7364" t="s">
        <v>377</v>
      </c>
      <c r="C7364" t="s">
        <v>1712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1700</v>
      </c>
      <c r="B7365" t="s">
        <v>377</v>
      </c>
      <c r="C7365" t="s">
        <v>1713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1700</v>
      </c>
      <c r="B7366" t="s">
        <v>377</v>
      </c>
      <c r="C7366" t="s">
        <v>1714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1700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1700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1700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1700</v>
      </c>
      <c r="B7370" t="s">
        <v>377</v>
      </c>
      <c r="C7370" t="s">
        <v>1715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1700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1700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1700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1700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1700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1700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1700</v>
      </c>
      <c r="B7377" t="s">
        <v>377</v>
      </c>
      <c r="C7377" t="s">
        <v>1716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1700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1700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1700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1700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1700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1700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1700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1700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1700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1700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1700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1700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1700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1700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1700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1700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1700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1700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1700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1700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1700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1700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1700</v>
      </c>
      <c r="B7400" t="s">
        <v>377</v>
      </c>
      <c r="C7400" t="s">
        <v>1717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1700</v>
      </c>
      <c r="B7401" t="s">
        <v>377</v>
      </c>
      <c r="C7401" t="s">
        <v>1718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1700</v>
      </c>
      <c r="B7402" t="s">
        <v>377</v>
      </c>
      <c r="C7402" t="s">
        <v>1719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1700</v>
      </c>
      <c r="B7403" t="s">
        <v>377</v>
      </c>
      <c r="C7403" t="s">
        <v>1720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1700</v>
      </c>
      <c r="B7404" t="s">
        <v>377</v>
      </c>
      <c r="C7404" t="s">
        <v>1721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1700</v>
      </c>
      <c r="B7405" t="s">
        <v>377</v>
      </c>
      <c r="C7405" t="s">
        <v>1722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1700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1700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1700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1700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1700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1700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1700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1700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1700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1700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1700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1700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1700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1700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1700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1700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1700</v>
      </c>
      <c r="B7422" t="s">
        <v>377</v>
      </c>
      <c r="C7422" t="s">
        <v>1723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1700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1700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1700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1700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1700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1700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1700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1700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1700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1700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1700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1700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1700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1700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1700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1700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1700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1700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1700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1700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1700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1700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1700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1700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1700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1700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1700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1700</v>
      </c>
      <c r="B7450" t="s">
        <v>377</v>
      </c>
      <c r="C7450" t="s">
        <v>1724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1700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1700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1700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1700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1700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1700</v>
      </c>
      <c r="B7456" t="s">
        <v>377</v>
      </c>
      <c r="C7456" t="s">
        <v>1725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1700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1700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1700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1700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1700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1700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1700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1700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1700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1700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1700</v>
      </c>
      <c r="B7467" t="s">
        <v>377</v>
      </c>
      <c r="C7467" t="s">
        <v>1726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1700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1700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1700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1700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1700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1700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1700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1700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1700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1700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1700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1700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1700</v>
      </c>
      <c r="B7480" t="s">
        <v>378</v>
      </c>
      <c r="C7480" t="s">
        <v>1701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1700</v>
      </c>
      <c r="B7481" t="s">
        <v>378</v>
      </c>
      <c r="C7481" t="s">
        <v>1702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1700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1700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1700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1700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1700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1700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1700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1700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1700</v>
      </c>
      <c r="B7490" t="s">
        <v>378</v>
      </c>
      <c r="C7490" t="s">
        <v>1703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1700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1700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1700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1700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1700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1700</v>
      </c>
      <c r="B7496" t="s">
        <v>378</v>
      </c>
      <c r="C7496" t="s">
        <v>1704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1700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1700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1700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1700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1700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1700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1700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1700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1700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1700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1700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1700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1700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1700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1700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1700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1700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1700</v>
      </c>
      <c r="B7514" t="s">
        <v>378</v>
      </c>
      <c r="C7514" t="s">
        <v>1705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1700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1700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1700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1700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1700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1700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1700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1700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1700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1700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1700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1700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1700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1700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1700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1700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1700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1700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1700</v>
      </c>
      <c r="B7533" t="s">
        <v>378</v>
      </c>
      <c r="C7533" t="s">
        <v>1706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1700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1700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1700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1700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1700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1700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1700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1700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1700</v>
      </c>
      <c r="B7542" t="s">
        <v>378</v>
      </c>
      <c r="C7542" t="s">
        <v>1707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1700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1700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1700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1700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1700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1700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1700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1700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1700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1700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1700</v>
      </c>
      <c r="B7553" t="s">
        <v>378</v>
      </c>
      <c r="C7553" t="s">
        <v>1708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1700</v>
      </c>
      <c r="B7554" t="s">
        <v>378</v>
      </c>
      <c r="C7554" t="s">
        <v>1709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1700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1700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1700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1700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1700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1700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1700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1700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1700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1700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1700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1700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1700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1700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1700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1700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1700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1700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1700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1700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1700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1700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1700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1700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1700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1700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1700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1700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1700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1700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1700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1700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1700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1700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1700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1700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1700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1700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1700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1700</v>
      </c>
      <c r="B7594" t="s">
        <v>378</v>
      </c>
      <c r="C7594" t="s">
        <v>1710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1700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1700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1700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1700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1700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1700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1700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1700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1700</v>
      </c>
      <c r="B7603" t="s">
        <v>378</v>
      </c>
      <c r="C7603" t="s">
        <v>1711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1700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1700</v>
      </c>
      <c r="B7605" t="s">
        <v>378</v>
      </c>
      <c r="C7605" t="s">
        <v>1712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1700</v>
      </c>
      <c r="B7606" t="s">
        <v>378</v>
      </c>
      <c r="C7606" t="s">
        <v>1713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1700</v>
      </c>
      <c r="B7607" t="s">
        <v>378</v>
      </c>
      <c r="C7607" t="s">
        <v>1714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1700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1700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1700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1700</v>
      </c>
      <c r="B7611" t="s">
        <v>378</v>
      </c>
      <c r="C7611" t="s">
        <v>1715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1700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1700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1700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1700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1700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1700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1700</v>
      </c>
      <c r="B7618" t="s">
        <v>378</v>
      </c>
      <c r="C7618" t="s">
        <v>1716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1700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1700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1700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1700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1700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1700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1700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1700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1700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1700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1700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1700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1700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1700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1700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1700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1700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1700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1700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1700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1700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1700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1700</v>
      </c>
      <c r="B7641" t="s">
        <v>378</v>
      </c>
      <c r="C7641" t="s">
        <v>1717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1700</v>
      </c>
      <c r="B7642" t="s">
        <v>378</v>
      </c>
      <c r="C7642" t="s">
        <v>1718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1700</v>
      </c>
      <c r="B7643" t="s">
        <v>378</v>
      </c>
      <c r="C7643" t="s">
        <v>1719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1700</v>
      </c>
      <c r="B7644" t="s">
        <v>378</v>
      </c>
      <c r="C7644" t="s">
        <v>1720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1700</v>
      </c>
      <c r="B7645" t="s">
        <v>378</v>
      </c>
      <c r="C7645" t="s">
        <v>1721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1700</v>
      </c>
      <c r="B7646" t="s">
        <v>378</v>
      </c>
      <c r="C7646" t="s">
        <v>1722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1700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1700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1700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1700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1700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1700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1700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1700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1700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1700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1700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1700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1700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1700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1700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1700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1700</v>
      </c>
      <c r="B7663" t="s">
        <v>378</v>
      </c>
      <c r="C7663" t="s">
        <v>1723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1700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1700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1700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1700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1700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1700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1700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1700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1700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1700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1700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1700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1700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1700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1700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1700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1700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1700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1700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1700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1700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1700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1700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1700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1700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1700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1700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1700</v>
      </c>
      <c r="B7691" t="s">
        <v>378</v>
      </c>
      <c r="C7691" t="s">
        <v>1724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1700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1700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1700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1700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1700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1700</v>
      </c>
      <c r="B7697" t="s">
        <v>378</v>
      </c>
      <c r="C7697" t="s">
        <v>1725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1700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1700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1700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1700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1700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1700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1700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1700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1700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1700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1700</v>
      </c>
      <c r="B7708" t="s">
        <v>378</v>
      </c>
      <c r="C7708" t="s">
        <v>1726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1700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1700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1700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1700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1700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1700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1700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1700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1700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1700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1700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1700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1700</v>
      </c>
      <c r="B7721" t="s">
        <v>379</v>
      </c>
      <c r="C7721" t="s">
        <v>1701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1700</v>
      </c>
      <c r="B7722" t="s">
        <v>379</v>
      </c>
      <c r="C7722" t="s">
        <v>1702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1700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1700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1700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1700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1700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1700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1700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1700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1700</v>
      </c>
      <c r="B7731" t="s">
        <v>379</v>
      </c>
      <c r="C7731" t="s">
        <v>1703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1700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1700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1700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1700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1700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1700</v>
      </c>
      <c r="B7737" t="s">
        <v>379</v>
      </c>
      <c r="C7737" t="s">
        <v>1704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1700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1700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1700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1700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1700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1700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1700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1700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1700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1700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1700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1700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1700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1700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1700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1700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1700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1700</v>
      </c>
      <c r="B7755" t="s">
        <v>379</v>
      </c>
      <c r="C7755" t="s">
        <v>1705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1700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1700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1700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1700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1700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1700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1700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1700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1700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1700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1700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1700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1700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1700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1700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1700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1700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1700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1700</v>
      </c>
      <c r="B7774" t="s">
        <v>379</v>
      </c>
      <c r="C7774" t="s">
        <v>1706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1700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1700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1700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1700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1700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1700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1700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1700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1700</v>
      </c>
      <c r="B7783" t="s">
        <v>379</v>
      </c>
      <c r="C7783" t="s">
        <v>1707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1700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1700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1700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1700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1700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1700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1700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1700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1700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1700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1700</v>
      </c>
      <c r="B7794" t="s">
        <v>379</v>
      </c>
      <c r="C7794" t="s">
        <v>1708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1700</v>
      </c>
      <c r="B7795" t="s">
        <v>379</v>
      </c>
      <c r="C7795" t="s">
        <v>1709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1700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1700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1700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1700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1700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1700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1700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1700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1700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1700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1700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1700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1700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1700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1700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1700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1700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1700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1700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1700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1700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1700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1700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1700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1700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1700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1700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1700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1700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1700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1700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1700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1700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1700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1700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1700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1700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1700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1700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1700</v>
      </c>
      <c r="B7835" t="s">
        <v>379</v>
      </c>
      <c r="C7835" t="s">
        <v>1710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1700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1700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1700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1700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1700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1700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1700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1700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1700</v>
      </c>
      <c r="B7844" t="s">
        <v>379</v>
      </c>
      <c r="C7844" t="s">
        <v>1711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1700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1700</v>
      </c>
      <c r="B7846" t="s">
        <v>379</v>
      </c>
      <c r="C7846" t="s">
        <v>1712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1700</v>
      </c>
      <c r="B7847" t="s">
        <v>379</v>
      </c>
      <c r="C7847" t="s">
        <v>1713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1700</v>
      </c>
      <c r="B7848" t="s">
        <v>379</v>
      </c>
      <c r="C7848" t="s">
        <v>1714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1700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1700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1700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1700</v>
      </c>
      <c r="B7852" t="s">
        <v>379</v>
      </c>
      <c r="C7852" t="s">
        <v>1715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1700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1700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1700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1700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1700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1700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1700</v>
      </c>
      <c r="B7859" t="s">
        <v>379</v>
      </c>
      <c r="C7859" t="s">
        <v>1716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1700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1700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1700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1700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1700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1700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1700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1700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1700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1700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1700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1700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1700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1700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1700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1700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1700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1700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1700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1700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1700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1700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1700</v>
      </c>
      <c r="B7882" t="s">
        <v>379</v>
      </c>
      <c r="C7882" t="s">
        <v>1717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1700</v>
      </c>
      <c r="B7883" t="s">
        <v>379</v>
      </c>
      <c r="C7883" t="s">
        <v>1718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1700</v>
      </c>
      <c r="B7884" t="s">
        <v>379</v>
      </c>
      <c r="C7884" t="s">
        <v>1719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1700</v>
      </c>
      <c r="B7885" t="s">
        <v>379</v>
      </c>
      <c r="C7885" t="s">
        <v>1720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1700</v>
      </c>
      <c r="B7886" t="s">
        <v>379</v>
      </c>
      <c r="C7886" t="s">
        <v>1721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1700</v>
      </c>
      <c r="B7887" t="s">
        <v>379</v>
      </c>
      <c r="C7887" t="s">
        <v>1722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1700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1700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1700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1700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1700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1700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1700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1700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1700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1700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1700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1700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1700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1700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1700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1700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1700</v>
      </c>
      <c r="B7904" t="s">
        <v>379</v>
      </c>
      <c r="C7904" t="s">
        <v>1723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1700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1700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1700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1700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1700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1700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1700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1700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1700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1700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1700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1700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1700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1700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1700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1700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1700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1700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1700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1700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1700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1700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1700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1700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1700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1700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1700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1700</v>
      </c>
      <c r="B7932" t="s">
        <v>379</v>
      </c>
      <c r="C7932" t="s">
        <v>1724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1700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1700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1700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1700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1700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1700</v>
      </c>
      <c r="B7938" t="s">
        <v>379</v>
      </c>
      <c r="C7938" t="s">
        <v>1725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1700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1700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1700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1700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1700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1700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1700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1700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1700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1700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1700</v>
      </c>
      <c r="B7949" t="s">
        <v>379</v>
      </c>
      <c r="C7949" t="s">
        <v>1726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1700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1700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1700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1700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1700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1700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1700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1700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1700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1700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1700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1700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1700</v>
      </c>
      <c r="B7962" t="s">
        <v>380</v>
      </c>
      <c r="C7962" t="s">
        <v>1701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1700</v>
      </c>
      <c r="B7963" t="s">
        <v>380</v>
      </c>
      <c r="C7963" t="s">
        <v>1702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1700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1700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1700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1700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1700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1700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1700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1700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1700</v>
      </c>
      <c r="B7972" t="s">
        <v>380</v>
      </c>
      <c r="C7972" t="s">
        <v>1703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1700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1700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1700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1700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1700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1700</v>
      </c>
      <c r="B7978" t="s">
        <v>380</v>
      </c>
      <c r="C7978" t="s">
        <v>1704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1700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1700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1700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1700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1700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1700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1700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1700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1700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1700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1700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1700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1700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1700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1700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1700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1700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1700</v>
      </c>
      <c r="B7996" t="s">
        <v>380</v>
      </c>
      <c r="C7996" t="s">
        <v>1705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1700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1700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1700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1700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1700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1700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1700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1700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1700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1700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1700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1700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1700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1700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1700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1700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1700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1700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1700</v>
      </c>
      <c r="B8015" t="s">
        <v>380</v>
      </c>
      <c r="C8015" t="s">
        <v>1706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1700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1700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1700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1700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1700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1700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1700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1700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1700</v>
      </c>
      <c r="B8024" t="s">
        <v>380</v>
      </c>
      <c r="C8024" t="s">
        <v>1707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1700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1700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1700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1700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1700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1700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1700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1700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1700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1700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1700</v>
      </c>
      <c r="B8035" t="s">
        <v>380</v>
      </c>
      <c r="C8035" t="s">
        <v>1708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1700</v>
      </c>
      <c r="B8036" t="s">
        <v>380</v>
      </c>
      <c r="C8036" t="s">
        <v>1709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1700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1700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1700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1700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1700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1700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1700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1700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1700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1700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1700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1700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1700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1700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1700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1700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1700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1700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1700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1700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1700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1700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1700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1700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1700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1700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1700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1700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1700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1700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1700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1700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1700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1700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1700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1700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1700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1700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1700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1700</v>
      </c>
      <c r="B8076" t="s">
        <v>380</v>
      </c>
      <c r="C8076" t="s">
        <v>1710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1700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1700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1700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1700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1700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1700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1700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1700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1700</v>
      </c>
      <c r="B8085" t="s">
        <v>380</v>
      </c>
      <c r="C8085" t="s">
        <v>1711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1700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1700</v>
      </c>
      <c r="B8087" t="s">
        <v>380</v>
      </c>
      <c r="C8087" t="s">
        <v>1712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1700</v>
      </c>
      <c r="B8088" t="s">
        <v>380</v>
      </c>
      <c r="C8088" t="s">
        <v>1713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1700</v>
      </c>
      <c r="B8089" t="s">
        <v>380</v>
      </c>
      <c r="C8089" t="s">
        <v>1714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1700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1700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1700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1700</v>
      </c>
      <c r="B8093" t="s">
        <v>380</v>
      </c>
      <c r="C8093" t="s">
        <v>1715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1700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1700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1700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1700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1700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1700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1700</v>
      </c>
      <c r="B8100" t="s">
        <v>380</v>
      </c>
      <c r="C8100" t="s">
        <v>1716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1700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1700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1700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1700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1700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1700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1700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1700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1700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1700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1700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1700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1700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1700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1700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1700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1700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1700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1700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1700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1700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1700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1700</v>
      </c>
      <c r="B8123" t="s">
        <v>380</v>
      </c>
      <c r="C8123" t="s">
        <v>1717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1700</v>
      </c>
      <c r="B8124" t="s">
        <v>380</v>
      </c>
      <c r="C8124" t="s">
        <v>1718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1700</v>
      </c>
      <c r="B8125" t="s">
        <v>380</v>
      </c>
      <c r="C8125" t="s">
        <v>1719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1700</v>
      </c>
      <c r="B8126" t="s">
        <v>380</v>
      </c>
      <c r="C8126" t="s">
        <v>1720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1700</v>
      </c>
      <c r="B8127" t="s">
        <v>380</v>
      </c>
      <c r="C8127" t="s">
        <v>1721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1700</v>
      </c>
      <c r="B8128" t="s">
        <v>380</v>
      </c>
      <c r="C8128" t="s">
        <v>1722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1700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1700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1700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1700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1700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1700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1700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1700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1700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1700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1700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1700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1700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1700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1700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1700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1700</v>
      </c>
      <c r="B8145" t="s">
        <v>380</v>
      </c>
      <c r="C8145" t="s">
        <v>1723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1700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1700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1700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1700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1700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1700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1700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1700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1700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1700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1700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1700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1700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1700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1700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1700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1700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1700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1700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1700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1700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1700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1700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1700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1700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1700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1700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1700</v>
      </c>
      <c r="B8173" t="s">
        <v>380</v>
      </c>
      <c r="C8173" t="s">
        <v>1724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1700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1700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1700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1700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1700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1700</v>
      </c>
      <c r="B8179" t="s">
        <v>380</v>
      </c>
      <c r="C8179" t="s">
        <v>1725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1700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1700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1700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1700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1700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1700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1700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1700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1700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1700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1700</v>
      </c>
      <c r="B8190" t="s">
        <v>380</v>
      </c>
      <c r="C8190" t="s">
        <v>1726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1700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1700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1700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1700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1700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1700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1700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1700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1700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1700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1700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1700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1700</v>
      </c>
      <c r="B8203" t="s">
        <v>381</v>
      </c>
      <c r="C8203" t="s">
        <v>1701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1700</v>
      </c>
      <c r="B8204" t="s">
        <v>381</v>
      </c>
      <c r="C8204" t="s">
        <v>1702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1700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1700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1700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1700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1700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1700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1700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1700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1700</v>
      </c>
      <c r="B8213" t="s">
        <v>381</v>
      </c>
      <c r="C8213" t="s">
        <v>1703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1700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1700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1700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1700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1700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1700</v>
      </c>
      <c r="B8219" t="s">
        <v>381</v>
      </c>
      <c r="C8219" t="s">
        <v>1704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1700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1700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1700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1700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1700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1700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1700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1700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1700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1700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1700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1700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1700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1700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1700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1700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1700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1700</v>
      </c>
      <c r="B8237" t="s">
        <v>381</v>
      </c>
      <c r="C8237" t="s">
        <v>1705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1700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1700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1700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1700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1700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1700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1700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1700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1700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1700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1700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1700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1700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1700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1700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1700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1700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1700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1700</v>
      </c>
      <c r="B8256" t="s">
        <v>381</v>
      </c>
      <c r="C8256" t="s">
        <v>1706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1700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1700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1700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1700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1700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1700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1700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1700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1700</v>
      </c>
      <c r="B8265" t="s">
        <v>381</v>
      </c>
      <c r="C8265" t="s">
        <v>1707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1700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1700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1700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1700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1700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1700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1700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1700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1700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1700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1700</v>
      </c>
      <c r="B8276" t="s">
        <v>381</v>
      </c>
      <c r="C8276" t="s">
        <v>1708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1700</v>
      </c>
      <c r="B8277" t="s">
        <v>381</v>
      </c>
      <c r="C8277" t="s">
        <v>1709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1700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1700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1700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1700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1700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1700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1700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1700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1700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1700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1700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1700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1700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1700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1700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1700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1700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1700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1700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1700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1700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1700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1700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1700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1700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1700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1700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1700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1700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1700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1700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1700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1700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1700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1700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1700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1700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1700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1700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1700</v>
      </c>
      <c r="B8317" t="s">
        <v>381</v>
      </c>
      <c r="C8317" t="s">
        <v>1710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1700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1700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1700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1700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1700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1700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1700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1700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1700</v>
      </c>
      <c r="B8326" t="s">
        <v>381</v>
      </c>
      <c r="C8326" t="s">
        <v>1711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1700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1700</v>
      </c>
      <c r="B8328" t="s">
        <v>381</v>
      </c>
      <c r="C8328" t="s">
        <v>1712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1700</v>
      </c>
      <c r="B8329" t="s">
        <v>381</v>
      </c>
      <c r="C8329" t="s">
        <v>1713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1700</v>
      </c>
      <c r="B8330" t="s">
        <v>381</v>
      </c>
      <c r="C8330" t="s">
        <v>1714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1700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1700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1700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1700</v>
      </c>
      <c r="B8334" t="s">
        <v>381</v>
      </c>
      <c r="C8334" t="s">
        <v>1715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1700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1700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1700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1700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1700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1700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1700</v>
      </c>
      <c r="B8341" t="s">
        <v>381</v>
      </c>
      <c r="C8341" t="s">
        <v>1716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1700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1700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1700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1700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1700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1700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1700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1700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1700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1700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1700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1700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1700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1700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1700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1700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1700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1700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1700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1700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1700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1700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1700</v>
      </c>
      <c r="B8364" t="s">
        <v>381</v>
      </c>
      <c r="C8364" t="s">
        <v>1717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1700</v>
      </c>
      <c r="B8365" t="s">
        <v>381</v>
      </c>
      <c r="C8365" t="s">
        <v>1718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1700</v>
      </c>
      <c r="B8366" t="s">
        <v>381</v>
      </c>
      <c r="C8366" t="s">
        <v>1719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1700</v>
      </c>
      <c r="B8367" t="s">
        <v>381</v>
      </c>
      <c r="C8367" t="s">
        <v>1720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1700</v>
      </c>
      <c r="B8368" t="s">
        <v>381</v>
      </c>
      <c r="C8368" t="s">
        <v>1721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1700</v>
      </c>
      <c r="B8369" t="s">
        <v>381</v>
      </c>
      <c r="C8369" t="s">
        <v>1722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1700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1700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1700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1700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1700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1700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1700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1700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1700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1700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1700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1700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1700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1700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1700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1700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1700</v>
      </c>
      <c r="B8386" t="s">
        <v>381</v>
      </c>
      <c r="C8386" t="s">
        <v>1723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1700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1700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1700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1700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1700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1700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1700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1700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1700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1700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1700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1700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1700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1700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1700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1700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1700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1700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1700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1700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1700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1700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1700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1700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1700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1700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1700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1700</v>
      </c>
      <c r="B8414" t="s">
        <v>381</v>
      </c>
      <c r="C8414" t="s">
        <v>1724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1700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1700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1700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1700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1700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1700</v>
      </c>
      <c r="B8420" t="s">
        <v>381</v>
      </c>
      <c r="C8420" t="s">
        <v>1725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1700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1700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1700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1700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1700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1700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1700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1700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1700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1700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1700</v>
      </c>
      <c r="B8431" t="s">
        <v>381</v>
      </c>
      <c r="C8431" t="s">
        <v>1726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1700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1700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1700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1700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1700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1700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1700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1700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1700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1700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1700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1700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1700</v>
      </c>
      <c r="B8444" t="s">
        <v>382</v>
      </c>
      <c r="C8444" t="s">
        <v>1701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1700</v>
      </c>
      <c r="B8445" t="s">
        <v>382</v>
      </c>
      <c r="C8445" t="s">
        <v>1702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1700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1700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1700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1700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1700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1700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1700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1700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1700</v>
      </c>
      <c r="B8454" t="s">
        <v>382</v>
      </c>
      <c r="C8454" t="s">
        <v>1703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1700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1700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1700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1700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1700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1700</v>
      </c>
      <c r="B8460" t="s">
        <v>382</v>
      </c>
      <c r="C8460" t="s">
        <v>1704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1700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1700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1700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1700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1700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1700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1700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1700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1700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1700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1700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1700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1700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1700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1700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1700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1700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1700</v>
      </c>
      <c r="B8478" t="s">
        <v>382</v>
      </c>
      <c r="C8478" t="s">
        <v>1705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1700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1700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1700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1700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1700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1700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1700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1700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1700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1700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1700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1700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1700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1700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1700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1700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1700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1700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1700</v>
      </c>
      <c r="B8497" t="s">
        <v>382</v>
      </c>
      <c r="C8497" t="s">
        <v>1706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1700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1700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1700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1700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1700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1700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1700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1700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1700</v>
      </c>
      <c r="B8506" t="s">
        <v>382</v>
      </c>
      <c r="C8506" t="s">
        <v>1707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1700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1700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1700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1700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1700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1700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1700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1700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1700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1700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1700</v>
      </c>
      <c r="B8517" t="s">
        <v>382</v>
      </c>
      <c r="C8517" t="s">
        <v>1708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1700</v>
      </c>
      <c r="B8518" t="s">
        <v>382</v>
      </c>
      <c r="C8518" t="s">
        <v>1709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1700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1700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1700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1700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1700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1700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1700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1700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1700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1700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1700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1700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1700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1700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1700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1700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1700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1700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1700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1700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1700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1700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1700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1700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1700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1700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1700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1700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1700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1700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1700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1700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1700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1700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1700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1700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1700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1700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1700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1700</v>
      </c>
      <c r="B8558" t="s">
        <v>382</v>
      </c>
      <c r="C8558" t="s">
        <v>1710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1700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1700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1700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1700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1700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1700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1700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1700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1700</v>
      </c>
      <c r="B8567" t="s">
        <v>382</v>
      </c>
      <c r="C8567" t="s">
        <v>1711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1700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1700</v>
      </c>
      <c r="B8569" t="s">
        <v>382</v>
      </c>
      <c r="C8569" t="s">
        <v>1712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1700</v>
      </c>
      <c r="B8570" t="s">
        <v>382</v>
      </c>
      <c r="C8570" t="s">
        <v>1713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1700</v>
      </c>
      <c r="B8571" t="s">
        <v>382</v>
      </c>
      <c r="C8571" t="s">
        <v>1714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1700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1700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1700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1700</v>
      </c>
      <c r="B8575" t="s">
        <v>382</v>
      </c>
      <c r="C8575" t="s">
        <v>1715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1700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1700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1700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1700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1700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1700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1700</v>
      </c>
      <c r="B8582" t="s">
        <v>382</v>
      </c>
      <c r="C8582" t="s">
        <v>1716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1700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1700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1700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1700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1700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1700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1700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1700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1700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1700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1700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1700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1700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1700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1700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1700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1700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1700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1700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1700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1700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1700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1700</v>
      </c>
      <c r="B8605" t="s">
        <v>382</v>
      </c>
      <c r="C8605" t="s">
        <v>1717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1700</v>
      </c>
      <c r="B8606" t="s">
        <v>382</v>
      </c>
      <c r="C8606" t="s">
        <v>1718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1700</v>
      </c>
      <c r="B8607" t="s">
        <v>382</v>
      </c>
      <c r="C8607" t="s">
        <v>1719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1700</v>
      </c>
      <c r="B8608" t="s">
        <v>382</v>
      </c>
      <c r="C8608" t="s">
        <v>1720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1700</v>
      </c>
      <c r="B8609" t="s">
        <v>382</v>
      </c>
      <c r="C8609" t="s">
        <v>1721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1700</v>
      </c>
      <c r="B8610" t="s">
        <v>382</v>
      </c>
      <c r="C8610" t="s">
        <v>1722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1700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1700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1700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1700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1700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1700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1700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1700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1700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1700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1700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1700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1700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1700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1700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1700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1700</v>
      </c>
      <c r="B8627" t="s">
        <v>382</v>
      </c>
      <c r="C8627" t="s">
        <v>1723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1700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1700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1700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1700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1700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1700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1700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1700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1700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1700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1700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1700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1700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1700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1700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1700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1700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1700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1700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1700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1700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1700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1700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1700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1700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1700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1700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1700</v>
      </c>
      <c r="B8655" t="s">
        <v>382</v>
      </c>
      <c r="C8655" t="s">
        <v>1724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1700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1700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1700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1700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1700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1700</v>
      </c>
      <c r="B8661" t="s">
        <v>382</v>
      </c>
      <c r="C8661" t="s">
        <v>1725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1700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1700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1700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1700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1700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1700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1700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1700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1700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1700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1700</v>
      </c>
      <c r="B8672" t="s">
        <v>382</v>
      </c>
      <c r="C8672" t="s">
        <v>1726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1700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1700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1700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1700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1700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1700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1700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1700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1700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1700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1700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1700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1700</v>
      </c>
      <c r="B8685" t="s">
        <v>383</v>
      </c>
      <c r="C8685" t="s">
        <v>1701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1700</v>
      </c>
      <c r="B8686" t="s">
        <v>383</v>
      </c>
      <c r="C8686" t="s">
        <v>1702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1700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1700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1700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1700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1700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1700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1700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1700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1700</v>
      </c>
      <c r="B8695" t="s">
        <v>383</v>
      </c>
      <c r="C8695" t="s">
        <v>1703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1700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1700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1700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1700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1700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1700</v>
      </c>
      <c r="B8701" t="s">
        <v>383</v>
      </c>
      <c r="C8701" t="s">
        <v>1704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1700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1700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1700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1700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1700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1700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1700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1700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1700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1700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1700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1700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1700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1700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1700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1700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1700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1700</v>
      </c>
      <c r="B8719" t="s">
        <v>383</v>
      </c>
      <c r="C8719" t="s">
        <v>1705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1700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1700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1700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1700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1700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1700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1700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1700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1700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1700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1700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1700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1700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1700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1700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1700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1700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1700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1700</v>
      </c>
      <c r="B8738" t="s">
        <v>383</v>
      </c>
      <c r="C8738" t="s">
        <v>1706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1700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1700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1700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1700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1700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1700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1700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1700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1700</v>
      </c>
      <c r="B8747" t="s">
        <v>383</v>
      </c>
      <c r="C8747" t="s">
        <v>1707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1700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1700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1700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1700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1700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1700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1700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1700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1700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1700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1700</v>
      </c>
      <c r="B8758" t="s">
        <v>383</v>
      </c>
      <c r="C8758" t="s">
        <v>1708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1700</v>
      </c>
      <c r="B8759" t="s">
        <v>383</v>
      </c>
      <c r="C8759" t="s">
        <v>1709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1700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1700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1700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1700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1700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1700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1700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1700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1700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1700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1700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1700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1700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1700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1700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1700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1700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1700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1700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1700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1700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1700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1700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1700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1700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1700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1700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1700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1700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1700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1700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1700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1700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1700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1700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1700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1700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1700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1700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1700</v>
      </c>
      <c r="B8799" t="s">
        <v>383</v>
      </c>
      <c r="C8799" t="s">
        <v>1710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1700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1700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1700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1700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1700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1700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1700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1700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1700</v>
      </c>
      <c r="B8808" t="s">
        <v>383</v>
      </c>
      <c r="C8808" t="s">
        <v>1711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1700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1700</v>
      </c>
      <c r="B8810" t="s">
        <v>383</v>
      </c>
      <c r="C8810" t="s">
        <v>1712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1700</v>
      </c>
      <c r="B8811" t="s">
        <v>383</v>
      </c>
      <c r="C8811" t="s">
        <v>1713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1700</v>
      </c>
      <c r="B8812" t="s">
        <v>383</v>
      </c>
      <c r="C8812" t="s">
        <v>1714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1700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1700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1700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1700</v>
      </c>
      <c r="B8816" t="s">
        <v>383</v>
      </c>
      <c r="C8816" t="s">
        <v>1715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1700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1700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1700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1700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1700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1700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1700</v>
      </c>
      <c r="B8823" t="s">
        <v>383</v>
      </c>
      <c r="C8823" t="s">
        <v>1716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1700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1700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1700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1700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1700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1700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1700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1700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1700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1700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1700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1700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1700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1700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1700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1700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1700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1700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1700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1700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1700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1700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1700</v>
      </c>
      <c r="B8846" t="s">
        <v>383</v>
      </c>
      <c r="C8846" t="s">
        <v>1717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1700</v>
      </c>
      <c r="B8847" t="s">
        <v>383</v>
      </c>
      <c r="C8847" t="s">
        <v>1718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1700</v>
      </c>
      <c r="B8848" t="s">
        <v>383</v>
      </c>
      <c r="C8848" t="s">
        <v>1719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1700</v>
      </c>
      <c r="B8849" t="s">
        <v>383</v>
      </c>
      <c r="C8849" t="s">
        <v>1720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1700</v>
      </c>
      <c r="B8850" t="s">
        <v>383</v>
      </c>
      <c r="C8850" t="s">
        <v>1721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1700</v>
      </c>
      <c r="B8851" t="s">
        <v>383</v>
      </c>
      <c r="C8851" t="s">
        <v>1722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1700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1700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1700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1700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1700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1700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1700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1700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1700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1700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1700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1700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1700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1700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1700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1700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1700</v>
      </c>
      <c r="B8868" t="s">
        <v>383</v>
      </c>
      <c r="C8868" t="s">
        <v>1723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1700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1700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1700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1700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1700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1700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1700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1700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1700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1700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1700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1700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1700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1700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1700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1700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1700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1700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1700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1700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1700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1700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1700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1700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1700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1700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1700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1700</v>
      </c>
      <c r="B8896" t="s">
        <v>383</v>
      </c>
      <c r="C8896" t="s">
        <v>1724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1700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1700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1700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1700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1700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1700</v>
      </c>
      <c r="B8902" t="s">
        <v>383</v>
      </c>
      <c r="C8902" t="s">
        <v>1725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1700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1700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1700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1700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1700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1700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1700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1700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1700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1700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1700</v>
      </c>
      <c r="B8913" t="s">
        <v>383</v>
      </c>
      <c r="C8913" t="s">
        <v>1726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1700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1700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1700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1700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1700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1700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1700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1700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1700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1700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1700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1700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1700</v>
      </c>
      <c r="B8926" t="s">
        <v>384</v>
      </c>
      <c r="C8926" t="s">
        <v>1701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1700</v>
      </c>
      <c r="B8927" t="s">
        <v>384</v>
      </c>
      <c r="C8927" t="s">
        <v>1702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1700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1700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1700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1700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1700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1700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1700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1700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1700</v>
      </c>
      <c r="B8936" t="s">
        <v>384</v>
      </c>
      <c r="C8936" t="s">
        <v>1703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1700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1700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1700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1700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1700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1700</v>
      </c>
      <c r="B8942" t="s">
        <v>384</v>
      </c>
      <c r="C8942" t="s">
        <v>1704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1700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1700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1700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1700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1700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1700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1700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1700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1700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1700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1700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1700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1700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1700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1700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1700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1700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1700</v>
      </c>
      <c r="B8960" t="s">
        <v>384</v>
      </c>
      <c r="C8960" t="s">
        <v>1705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1700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1700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1700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1700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1700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1700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1700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1700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1700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1700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1700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1700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1700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1700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1700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1700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1700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1700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1700</v>
      </c>
      <c r="B8979" t="s">
        <v>384</v>
      </c>
      <c r="C8979" t="s">
        <v>1706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1700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1700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1700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1700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1700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1700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1700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1700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1700</v>
      </c>
      <c r="B8988" t="s">
        <v>384</v>
      </c>
      <c r="C8988" t="s">
        <v>1707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1700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1700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1700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1700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1700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1700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1700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1700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1700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1700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1700</v>
      </c>
      <c r="B8999" t="s">
        <v>384</v>
      </c>
      <c r="C8999" t="s">
        <v>1708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1700</v>
      </c>
      <c r="B9000" t="s">
        <v>384</v>
      </c>
      <c r="C9000" t="s">
        <v>1709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1700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1700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1700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1700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1700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1700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1700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1700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1700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1700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1700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1700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1700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1700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1700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1700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1700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1700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1700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1700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1700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1700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1700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1700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1700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1700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1700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1700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1700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1700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1700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1700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1700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1700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1700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1700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1700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1700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1700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1700</v>
      </c>
      <c r="B9040" t="s">
        <v>384</v>
      </c>
      <c r="C9040" t="s">
        <v>1710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1700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1700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1700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1700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1700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1700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1700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1700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1700</v>
      </c>
      <c r="B9049" t="s">
        <v>384</v>
      </c>
      <c r="C9049" t="s">
        <v>1711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1700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1700</v>
      </c>
      <c r="B9051" t="s">
        <v>384</v>
      </c>
      <c r="C9051" t="s">
        <v>1712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1700</v>
      </c>
      <c r="B9052" t="s">
        <v>384</v>
      </c>
      <c r="C9052" t="s">
        <v>1713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1700</v>
      </c>
      <c r="B9053" t="s">
        <v>384</v>
      </c>
      <c r="C9053" t="s">
        <v>1714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1700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1700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1700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1700</v>
      </c>
      <c r="B9057" t="s">
        <v>384</v>
      </c>
      <c r="C9057" t="s">
        <v>1715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1700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1700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1700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1700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1700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1700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1700</v>
      </c>
      <c r="B9064" t="s">
        <v>384</v>
      </c>
      <c r="C9064" t="s">
        <v>1716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1700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1700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1700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1700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1700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1700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1700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1700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1700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1700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1700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1700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1700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1700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1700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1700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1700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1700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1700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1700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1700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1700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1700</v>
      </c>
      <c r="B9087" t="s">
        <v>384</v>
      </c>
      <c r="C9087" t="s">
        <v>1717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1700</v>
      </c>
      <c r="B9088" t="s">
        <v>384</v>
      </c>
      <c r="C9088" t="s">
        <v>1718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1700</v>
      </c>
      <c r="B9089" t="s">
        <v>384</v>
      </c>
      <c r="C9089" t="s">
        <v>1719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1700</v>
      </c>
      <c r="B9090" t="s">
        <v>384</v>
      </c>
      <c r="C9090" t="s">
        <v>1720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1700</v>
      </c>
      <c r="B9091" t="s">
        <v>384</v>
      </c>
      <c r="C9091" t="s">
        <v>1721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1700</v>
      </c>
      <c r="B9092" t="s">
        <v>384</v>
      </c>
      <c r="C9092" t="s">
        <v>1722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1700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1700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1700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1700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1700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1700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1700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1700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1700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1700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1700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1700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1700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1700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1700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1700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1700</v>
      </c>
      <c r="B9109" t="s">
        <v>384</v>
      </c>
      <c r="C9109" t="s">
        <v>1723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1700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1700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1700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1700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1700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1700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1700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1700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1700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1700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1700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1700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1700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1700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1700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1700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1700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1700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1700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1700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1700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1700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1700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1700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1700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1700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1700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1700</v>
      </c>
      <c r="B9137" t="s">
        <v>384</v>
      </c>
      <c r="C9137" t="s">
        <v>1724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1700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1700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1700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1700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1700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1700</v>
      </c>
      <c r="B9143" t="s">
        <v>384</v>
      </c>
      <c r="C9143" t="s">
        <v>1725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1700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1700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1700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1700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1700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1700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1700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1700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1700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1700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1700</v>
      </c>
      <c r="B9154" t="s">
        <v>384</v>
      </c>
      <c r="C9154" t="s">
        <v>1726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1700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1700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1700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1700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1700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1700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1700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1700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1700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1700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1700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1700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1700</v>
      </c>
      <c r="B9167" t="s">
        <v>385</v>
      </c>
      <c r="C9167" t="s">
        <v>1701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1700</v>
      </c>
      <c r="B9168" t="s">
        <v>385</v>
      </c>
      <c r="C9168" t="s">
        <v>1702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1700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1700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1700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1700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1700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1700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1700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1700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1700</v>
      </c>
      <c r="B9177" t="s">
        <v>385</v>
      </c>
      <c r="C9177" t="s">
        <v>1703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1700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1700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1700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1700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1700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1700</v>
      </c>
      <c r="B9183" t="s">
        <v>385</v>
      </c>
      <c r="C9183" t="s">
        <v>1704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1700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1700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1700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1700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1700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1700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1700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1700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1700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1700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1700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1700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1700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1700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1700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1700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1700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1700</v>
      </c>
      <c r="B9201" t="s">
        <v>385</v>
      </c>
      <c r="C9201" t="s">
        <v>1705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1700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1700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1700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1700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1700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1700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1700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1700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1700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1700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1700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1700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1700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1700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1700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1700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1700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1700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1700</v>
      </c>
      <c r="B9220" t="s">
        <v>385</v>
      </c>
      <c r="C9220" t="s">
        <v>1706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1700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1700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1700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1700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1700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1700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1700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1700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1700</v>
      </c>
      <c r="B9229" t="s">
        <v>385</v>
      </c>
      <c r="C9229" t="s">
        <v>1707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1700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1700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1700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1700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1700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1700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1700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1700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1700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1700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1700</v>
      </c>
      <c r="B9240" t="s">
        <v>385</v>
      </c>
      <c r="C9240" t="s">
        <v>1708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1700</v>
      </c>
      <c r="B9241" t="s">
        <v>385</v>
      </c>
      <c r="C9241" t="s">
        <v>1709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1700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1700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1700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1700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1700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1700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1700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1700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1700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1700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1700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1700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1700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1700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1700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1700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1700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1700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1700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1700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1700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1700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1700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1700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1700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1700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1700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1700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1700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1700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1700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1700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1700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1700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1700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1700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1700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1700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1700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1700</v>
      </c>
      <c r="B9281" t="s">
        <v>385</v>
      </c>
      <c r="C9281" t="s">
        <v>1710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1700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1700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1700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1700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1700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1700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1700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1700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1700</v>
      </c>
      <c r="B9290" t="s">
        <v>385</v>
      </c>
      <c r="C9290" t="s">
        <v>1711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1700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1700</v>
      </c>
      <c r="B9292" t="s">
        <v>385</v>
      </c>
      <c r="C9292" t="s">
        <v>1712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1700</v>
      </c>
      <c r="B9293" t="s">
        <v>385</v>
      </c>
      <c r="C9293" t="s">
        <v>1713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1700</v>
      </c>
      <c r="B9294" t="s">
        <v>385</v>
      </c>
      <c r="C9294" t="s">
        <v>1714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1700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1700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1700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1700</v>
      </c>
      <c r="B9298" t="s">
        <v>385</v>
      </c>
      <c r="C9298" t="s">
        <v>1715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1700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1700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1700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1700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1700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1700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1700</v>
      </c>
      <c r="B9305" t="s">
        <v>385</v>
      </c>
      <c r="C9305" t="s">
        <v>1716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1700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1700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1700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1700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1700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1700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1700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1700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1700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1700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1700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1700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1700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1700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1700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1700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1700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1700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1700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1700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1700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1700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1700</v>
      </c>
      <c r="B9328" t="s">
        <v>385</v>
      </c>
      <c r="C9328" t="s">
        <v>1717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1700</v>
      </c>
      <c r="B9329" t="s">
        <v>385</v>
      </c>
      <c r="C9329" t="s">
        <v>1718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1700</v>
      </c>
      <c r="B9330" t="s">
        <v>385</v>
      </c>
      <c r="C9330" t="s">
        <v>1719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1700</v>
      </c>
      <c r="B9331" t="s">
        <v>385</v>
      </c>
      <c r="C9331" t="s">
        <v>1720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1700</v>
      </c>
      <c r="B9332" t="s">
        <v>385</v>
      </c>
      <c r="C9332" t="s">
        <v>1721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1700</v>
      </c>
      <c r="B9333" t="s">
        <v>385</v>
      </c>
      <c r="C9333" t="s">
        <v>1722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1700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1700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1700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1700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1700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1700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1700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1700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1700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1700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1700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1700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1700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1700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1700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1700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1700</v>
      </c>
      <c r="B9350" t="s">
        <v>385</v>
      </c>
      <c r="C9350" t="s">
        <v>1723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1700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1700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1700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1700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1700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1700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1700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1700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1700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1700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1700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1700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1700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1700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1700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1700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1700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1700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1700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1700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1700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1700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1700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1700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1700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1700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1700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1700</v>
      </c>
      <c r="B9378" t="s">
        <v>385</v>
      </c>
      <c r="C9378" t="s">
        <v>1724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1700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1700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1700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1700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1700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1700</v>
      </c>
      <c r="B9384" t="s">
        <v>385</v>
      </c>
      <c r="C9384" t="s">
        <v>1725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1700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1700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1700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1700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1700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1700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1700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1700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1700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1700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1700</v>
      </c>
      <c r="B9395" t="s">
        <v>385</v>
      </c>
      <c r="C9395" t="s">
        <v>1726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1700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1700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1700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1700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1700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1700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1700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1700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1700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1700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1700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1700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1700</v>
      </c>
      <c r="B9408" t="s">
        <v>386</v>
      </c>
      <c r="C9408" t="s">
        <v>1701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1700</v>
      </c>
      <c r="B9409" t="s">
        <v>386</v>
      </c>
      <c r="C9409" t="s">
        <v>1702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1700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1700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1700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1700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1700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1700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1700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1700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1700</v>
      </c>
      <c r="B9418" t="s">
        <v>386</v>
      </c>
      <c r="C9418" t="s">
        <v>1703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1700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1700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1700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1700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1700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1700</v>
      </c>
      <c r="B9424" t="s">
        <v>386</v>
      </c>
      <c r="C9424" t="s">
        <v>1704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1700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1700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1700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1700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1700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1700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1700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1700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1700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1700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1700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1700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1700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1700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1700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1700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1700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1700</v>
      </c>
      <c r="B9442" t="s">
        <v>386</v>
      </c>
      <c r="C9442" t="s">
        <v>1705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1700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1700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1700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1700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1700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1700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1700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1700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1700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1700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1700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1700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1700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1700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1700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1700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1700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1700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1700</v>
      </c>
      <c r="B9461" t="s">
        <v>386</v>
      </c>
      <c r="C9461" t="s">
        <v>1706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1700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1700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1700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1700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1700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1700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1700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1700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1700</v>
      </c>
      <c r="B9470" t="s">
        <v>386</v>
      </c>
      <c r="C9470" t="s">
        <v>1707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1700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1700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1700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1700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1700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1700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1700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1700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1700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1700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1700</v>
      </c>
      <c r="B9481" t="s">
        <v>386</v>
      </c>
      <c r="C9481" t="s">
        <v>1708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1700</v>
      </c>
      <c r="B9482" t="s">
        <v>386</v>
      </c>
      <c r="C9482" t="s">
        <v>1709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1700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1700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1700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1700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1700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1700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1700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1700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1700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1700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1700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1700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1700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1700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1700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1700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1700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1700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1700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1700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1700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1700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1700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1700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1700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1700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1700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1700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1700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1700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1700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1700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1700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1700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1700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1700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1700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1700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1700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1700</v>
      </c>
      <c r="B9522" t="s">
        <v>386</v>
      </c>
      <c r="C9522" t="s">
        <v>1710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1700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1700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1700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1700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1700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1700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1700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1700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1700</v>
      </c>
      <c r="B9531" t="s">
        <v>386</v>
      </c>
      <c r="C9531" t="s">
        <v>1711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1700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1700</v>
      </c>
      <c r="B9533" t="s">
        <v>386</v>
      </c>
      <c r="C9533" t="s">
        <v>1712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1700</v>
      </c>
      <c r="B9534" t="s">
        <v>386</v>
      </c>
      <c r="C9534" t="s">
        <v>1713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1700</v>
      </c>
      <c r="B9535" t="s">
        <v>386</v>
      </c>
      <c r="C9535" t="s">
        <v>1714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1700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1700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1700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1700</v>
      </c>
      <c r="B9539" t="s">
        <v>386</v>
      </c>
      <c r="C9539" t="s">
        <v>1715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1700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1700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1700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1700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1700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1700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1700</v>
      </c>
      <c r="B9546" t="s">
        <v>386</v>
      </c>
      <c r="C9546" t="s">
        <v>1716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1700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1700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1700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1700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1700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1700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1700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1700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1700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1700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1700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1700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1700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1700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1700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1700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1700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1700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1700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1700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1700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1700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1700</v>
      </c>
      <c r="B9569" t="s">
        <v>386</v>
      </c>
      <c r="C9569" t="s">
        <v>1717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1700</v>
      </c>
      <c r="B9570" t="s">
        <v>386</v>
      </c>
      <c r="C9570" t="s">
        <v>1718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1700</v>
      </c>
      <c r="B9571" t="s">
        <v>386</v>
      </c>
      <c r="C9571" t="s">
        <v>1719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1700</v>
      </c>
      <c r="B9572" t="s">
        <v>386</v>
      </c>
      <c r="C9572" t="s">
        <v>1720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1700</v>
      </c>
      <c r="B9573" t="s">
        <v>386</v>
      </c>
      <c r="C9573" t="s">
        <v>1721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1700</v>
      </c>
      <c r="B9574" t="s">
        <v>386</v>
      </c>
      <c r="C9574" t="s">
        <v>1722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1700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1700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1700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1700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1700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1700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1700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1700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1700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1700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1700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1700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1700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1700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1700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1700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1700</v>
      </c>
      <c r="B9591" t="s">
        <v>386</v>
      </c>
      <c r="C9591" t="s">
        <v>1723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1700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1700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1700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1700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1700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1700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1700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1700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1700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1700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1700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1700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1700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1700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1700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1700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1700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1700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1700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1700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1700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1700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1700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1700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1700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1700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1700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1700</v>
      </c>
      <c r="B9619" t="s">
        <v>386</v>
      </c>
      <c r="C9619" t="s">
        <v>1724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1700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1700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1700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1700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1700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1700</v>
      </c>
      <c r="B9625" t="s">
        <v>386</v>
      </c>
      <c r="C9625" t="s">
        <v>1725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1700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1700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1700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1700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1700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1700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1700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1700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1700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1700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1700</v>
      </c>
      <c r="B9636" t="s">
        <v>386</v>
      </c>
      <c r="C9636" t="s">
        <v>1726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1700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1700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1700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1700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1700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1700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1700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1700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1700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1700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1700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1700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1700</v>
      </c>
      <c r="B9649" t="s">
        <v>387</v>
      </c>
      <c r="C9649" t="s">
        <v>1701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1700</v>
      </c>
      <c r="B9650" t="s">
        <v>387</v>
      </c>
      <c r="C9650" t="s">
        <v>1702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1700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1700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1700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1700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1700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1700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1700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1700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1700</v>
      </c>
      <c r="B9659" t="s">
        <v>387</v>
      </c>
      <c r="C9659" t="s">
        <v>1703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1700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1700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1700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1700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1700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1700</v>
      </c>
      <c r="B9665" t="s">
        <v>387</v>
      </c>
      <c r="C9665" t="s">
        <v>1704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1700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1700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1700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1700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1700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1700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1700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1700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1700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1700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1700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1700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1700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1700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1700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1700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1700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1700</v>
      </c>
      <c r="B9683" t="s">
        <v>387</v>
      </c>
      <c r="C9683" t="s">
        <v>1705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1700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1700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1700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1700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1700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1700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1700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1700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1700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1700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1700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1700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1700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1700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1700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1700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1700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1700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1700</v>
      </c>
      <c r="B9702" t="s">
        <v>387</v>
      </c>
      <c r="C9702" t="s">
        <v>1706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1700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1700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1700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1700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1700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1700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1700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1700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1700</v>
      </c>
      <c r="B9711" t="s">
        <v>387</v>
      </c>
      <c r="C9711" t="s">
        <v>1707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1700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1700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1700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1700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1700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1700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1700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1700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1700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1700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1700</v>
      </c>
      <c r="B9722" t="s">
        <v>387</v>
      </c>
      <c r="C9722" t="s">
        <v>1708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1700</v>
      </c>
      <c r="B9723" t="s">
        <v>387</v>
      </c>
      <c r="C9723" t="s">
        <v>1709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1700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1700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1700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1700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1700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1700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1700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1700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1700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1700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1700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1700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1700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1700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1700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1700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1700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1700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1700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1700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1700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1700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1700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1700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1700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1700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1700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1700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1700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1700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1700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1700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1700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1700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1700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1700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1700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1700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1700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1700</v>
      </c>
      <c r="B9763" t="s">
        <v>387</v>
      </c>
      <c r="C9763" t="s">
        <v>1710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1700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1700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1700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1700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1700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1700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1700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1700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1700</v>
      </c>
      <c r="B9772" t="s">
        <v>387</v>
      </c>
      <c r="C9772" t="s">
        <v>1711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1700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1700</v>
      </c>
      <c r="B9774" t="s">
        <v>387</v>
      </c>
      <c r="C9774" t="s">
        <v>1712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1700</v>
      </c>
      <c r="B9775" t="s">
        <v>387</v>
      </c>
      <c r="C9775" t="s">
        <v>1713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1700</v>
      </c>
      <c r="B9776" t="s">
        <v>387</v>
      </c>
      <c r="C9776" t="s">
        <v>1714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1700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1700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1700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1700</v>
      </c>
      <c r="B9780" t="s">
        <v>387</v>
      </c>
      <c r="C9780" t="s">
        <v>1715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1700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1700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1700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1700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1700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1700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1700</v>
      </c>
      <c r="B9787" t="s">
        <v>387</v>
      </c>
      <c r="C9787" t="s">
        <v>1716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1700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1700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1700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1700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1700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1700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1700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1700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1700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1700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1700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1700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1700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1700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1700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1700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1700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1700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1700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1700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1700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1700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1700</v>
      </c>
      <c r="B9810" t="s">
        <v>387</v>
      </c>
      <c r="C9810" t="s">
        <v>1717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1700</v>
      </c>
      <c r="B9811" t="s">
        <v>387</v>
      </c>
      <c r="C9811" t="s">
        <v>1718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1700</v>
      </c>
      <c r="B9812" t="s">
        <v>387</v>
      </c>
      <c r="C9812" t="s">
        <v>1719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1700</v>
      </c>
      <c r="B9813" t="s">
        <v>387</v>
      </c>
      <c r="C9813" t="s">
        <v>1720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1700</v>
      </c>
      <c r="B9814" t="s">
        <v>387</v>
      </c>
      <c r="C9814" t="s">
        <v>1721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1700</v>
      </c>
      <c r="B9815" t="s">
        <v>387</v>
      </c>
      <c r="C9815" t="s">
        <v>1722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1700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1700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1700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1700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1700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1700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1700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1700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1700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1700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1700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1700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1700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1700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1700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1700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1700</v>
      </c>
      <c r="B9832" t="s">
        <v>387</v>
      </c>
      <c r="C9832" t="s">
        <v>1723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1700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1700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1700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1700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1700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1700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1700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1700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1700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1700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1700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1700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1700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1700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1700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1700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1700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1700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1700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1700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1700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1700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1700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1700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1700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1700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1700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1700</v>
      </c>
      <c r="B9860" t="s">
        <v>387</v>
      </c>
      <c r="C9860" t="s">
        <v>1724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1700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1700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1700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1700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1700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1700</v>
      </c>
      <c r="B9866" t="s">
        <v>387</v>
      </c>
      <c r="C9866" t="s">
        <v>1725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1700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1700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1700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1700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1700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1700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1700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1700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1700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1700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1700</v>
      </c>
      <c r="B9877" t="s">
        <v>387</v>
      </c>
      <c r="C9877" t="s">
        <v>1726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1700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1700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1700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1700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1700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1700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1700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1700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1700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1700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1700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1700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1700</v>
      </c>
      <c r="B9890" t="s">
        <v>388</v>
      </c>
      <c r="C9890" t="s">
        <v>1701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1700</v>
      </c>
      <c r="B9891" t="s">
        <v>388</v>
      </c>
      <c r="C9891" t="s">
        <v>1702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1700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1700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1700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1700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1700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1700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1700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1700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1700</v>
      </c>
      <c r="B9900" t="s">
        <v>388</v>
      </c>
      <c r="C9900" t="s">
        <v>1703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1700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1700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1700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1700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1700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1700</v>
      </c>
      <c r="B9906" t="s">
        <v>388</v>
      </c>
      <c r="C9906" t="s">
        <v>1704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1700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1700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1700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1700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1700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1700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1700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1700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1700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1700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1700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1700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1700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1700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1700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1700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1700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1700</v>
      </c>
      <c r="B9924" t="s">
        <v>388</v>
      </c>
      <c r="C9924" t="s">
        <v>1705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1700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1700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1700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1700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1700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1700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1700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1700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1700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1700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1700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1700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1700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1700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1700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1700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1700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1700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1700</v>
      </c>
      <c r="B9943" t="s">
        <v>388</v>
      </c>
      <c r="C9943" t="s">
        <v>1706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1700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1700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1700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1700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1700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1700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1700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1700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1700</v>
      </c>
      <c r="B9952" t="s">
        <v>388</v>
      </c>
      <c r="C9952" t="s">
        <v>1707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1700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1700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1700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1700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1700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1700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1700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1700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1700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1700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1700</v>
      </c>
      <c r="B9963" t="s">
        <v>388</v>
      </c>
      <c r="C9963" t="s">
        <v>1708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1700</v>
      </c>
      <c r="B9964" t="s">
        <v>388</v>
      </c>
      <c r="C9964" t="s">
        <v>1709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1700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1700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1700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1700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1700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1700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1700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1700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1700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1700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1700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1700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1700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1700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1700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1700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1700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1700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1700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1700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1700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1700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1700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1700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1700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1700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1700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1700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1700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1700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1700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1700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1700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1700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1700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1700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1700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1700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1700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1700</v>
      </c>
      <c r="B10004" t="s">
        <v>388</v>
      </c>
      <c r="C10004" t="s">
        <v>1710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1700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1700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1700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1700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1700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1700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1700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1700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1700</v>
      </c>
      <c r="B10013" t="s">
        <v>388</v>
      </c>
      <c r="C10013" t="s">
        <v>1711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1700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1700</v>
      </c>
      <c r="B10015" t="s">
        <v>388</v>
      </c>
      <c r="C10015" t="s">
        <v>1712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1700</v>
      </c>
      <c r="B10016" t="s">
        <v>388</v>
      </c>
      <c r="C10016" t="s">
        <v>1713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1700</v>
      </c>
      <c r="B10017" t="s">
        <v>388</v>
      </c>
      <c r="C10017" t="s">
        <v>1714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1700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1700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1700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1700</v>
      </c>
      <c r="B10021" t="s">
        <v>388</v>
      </c>
      <c r="C10021" t="s">
        <v>1715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1700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1700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1700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1700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1700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1700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1700</v>
      </c>
      <c r="B10028" t="s">
        <v>388</v>
      </c>
      <c r="C10028" t="s">
        <v>1716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1700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1700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1700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1700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1700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1700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1700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1700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1700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1700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1700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1700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1700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1700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1700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1700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1700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1700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1700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1700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1700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1700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1700</v>
      </c>
      <c r="B10051" t="s">
        <v>388</v>
      </c>
      <c r="C10051" t="s">
        <v>1717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1700</v>
      </c>
      <c r="B10052" t="s">
        <v>388</v>
      </c>
      <c r="C10052" t="s">
        <v>1718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1700</v>
      </c>
      <c r="B10053" t="s">
        <v>388</v>
      </c>
      <c r="C10053" t="s">
        <v>1719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1700</v>
      </c>
      <c r="B10054" t="s">
        <v>388</v>
      </c>
      <c r="C10054" t="s">
        <v>1720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1700</v>
      </c>
      <c r="B10055" t="s">
        <v>388</v>
      </c>
      <c r="C10055" t="s">
        <v>1721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1700</v>
      </c>
      <c r="B10056" t="s">
        <v>388</v>
      </c>
      <c r="C10056" t="s">
        <v>1722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1700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1700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1700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1700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1700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1700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1700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1700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1700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1700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1700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1700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1700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1700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1700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1700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1700</v>
      </c>
      <c r="B10073" t="s">
        <v>388</v>
      </c>
      <c r="C10073" t="s">
        <v>1723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1700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1700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1700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1700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1700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1700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1700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1700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1700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1700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1700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1700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1700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1700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1700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1700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1700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1700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1700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1700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1700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1700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1700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1700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1700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1700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1700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1700</v>
      </c>
      <c r="B10101" t="s">
        <v>388</v>
      </c>
      <c r="C10101" t="s">
        <v>1724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1700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1700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1700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1700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1700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1700</v>
      </c>
      <c r="B10107" t="s">
        <v>388</v>
      </c>
      <c r="C10107" t="s">
        <v>1725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1700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1700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1700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1700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1700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1700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1700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1700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1700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1700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1700</v>
      </c>
      <c r="B10118" t="s">
        <v>388</v>
      </c>
      <c r="C10118" t="s">
        <v>1726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1700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1700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1700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1700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1700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1700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1700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1700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1700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1700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1700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1700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1700</v>
      </c>
      <c r="B10131" t="s">
        <v>389</v>
      </c>
      <c r="C10131" t="s">
        <v>1701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1700</v>
      </c>
      <c r="B10132" t="s">
        <v>389</v>
      </c>
      <c r="C10132" t="s">
        <v>1702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1700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1700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1700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1700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1700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1700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1700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1700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1700</v>
      </c>
      <c r="B10141" t="s">
        <v>389</v>
      </c>
      <c r="C10141" t="s">
        <v>1703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1700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1700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1700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1700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1700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1700</v>
      </c>
      <c r="B10147" t="s">
        <v>389</v>
      </c>
      <c r="C10147" t="s">
        <v>1704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1700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1700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1700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1700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1700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1700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1700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1700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1700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1700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1700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1700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1700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1700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1700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1700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1700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1700</v>
      </c>
      <c r="B10165" t="s">
        <v>389</v>
      </c>
      <c r="C10165" t="s">
        <v>1705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1700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1700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1700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1700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1700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1700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1700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1700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1700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1700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1700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1700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1700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1700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1700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1700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1700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1700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1700</v>
      </c>
      <c r="B10184" t="s">
        <v>389</v>
      </c>
      <c r="C10184" t="s">
        <v>1706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1700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1700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1700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1700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1700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1700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1700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1700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1700</v>
      </c>
      <c r="B10193" t="s">
        <v>389</v>
      </c>
      <c r="C10193" t="s">
        <v>1707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1700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1700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1700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1700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1700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1700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1700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1700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1700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1700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1700</v>
      </c>
      <c r="B10204" t="s">
        <v>389</v>
      </c>
      <c r="C10204" t="s">
        <v>1708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1700</v>
      </c>
      <c r="B10205" t="s">
        <v>389</v>
      </c>
      <c r="C10205" t="s">
        <v>1709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1700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1700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1700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1700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1700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1700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1700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1700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1700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1700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1700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1700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1700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1700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1700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1700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1700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1700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1700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1700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1700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1700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1700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1700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1700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1700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1700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1700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1700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1700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1700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1700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1700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1700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1700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1700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1700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1700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1700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1700</v>
      </c>
      <c r="B10245" t="s">
        <v>389</v>
      </c>
      <c r="C10245" t="s">
        <v>1710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1700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1700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1700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1700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1700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1700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1700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1700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1700</v>
      </c>
      <c r="B10254" t="s">
        <v>389</v>
      </c>
      <c r="C10254" t="s">
        <v>1711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1700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1700</v>
      </c>
      <c r="B10256" t="s">
        <v>389</v>
      </c>
      <c r="C10256" t="s">
        <v>1712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1700</v>
      </c>
      <c r="B10257" t="s">
        <v>389</v>
      </c>
      <c r="C10257" t="s">
        <v>1713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1700</v>
      </c>
      <c r="B10258" t="s">
        <v>389</v>
      </c>
      <c r="C10258" t="s">
        <v>1714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1700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1700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1700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1700</v>
      </c>
      <c r="B10262" t="s">
        <v>389</v>
      </c>
      <c r="C10262" t="s">
        <v>1715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1700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1700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1700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1700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1700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1700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1700</v>
      </c>
      <c r="B10269" t="s">
        <v>389</v>
      </c>
      <c r="C10269" t="s">
        <v>1716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1700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1700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1700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1700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1700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1700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1700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1700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1700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1700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1700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1700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1700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1700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1700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1700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1700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1700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1700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1700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1700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1700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1700</v>
      </c>
      <c r="B10292" t="s">
        <v>389</v>
      </c>
      <c r="C10292" t="s">
        <v>1717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1700</v>
      </c>
      <c r="B10293" t="s">
        <v>389</v>
      </c>
      <c r="C10293" t="s">
        <v>1718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1700</v>
      </c>
      <c r="B10294" t="s">
        <v>389</v>
      </c>
      <c r="C10294" t="s">
        <v>1719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1700</v>
      </c>
      <c r="B10295" t="s">
        <v>389</v>
      </c>
      <c r="C10295" t="s">
        <v>1720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1700</v>
      </c>
      <c r="B10296" t="s">
        <v>389</v>
      </c>
      <c r="C10296" t="s">
        <v>1721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1700</v>
      </c>
      <c r="B10297" t="s">
        <v>389</v>
      </c>
      <c r="C10297" t="s">
        <v>1722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1700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1700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1700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1700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1700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1700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1700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1700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1700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1700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1700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1700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1700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1700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1700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1700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1700</v>
      </c>
      <c r="B10314" t="s">
        <v>389</v>
      </c>
      <c r="C10314" t="s">
        <v>1723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1700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1700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1700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1700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1700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1700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1700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1700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1700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1700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1700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1700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1700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1700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1700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1700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1700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1700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1700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1700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1700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1700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1700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1700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1700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1700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1700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1700</v>
      </c>
      <c r="B10342" t="s">
        <v>389</v>
      </c>
      <c r="C10342" t="s">
        <v>1724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1700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1700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1700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1700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1700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1700</v>
      </c>
      <c r="B10348" t="s">
        <v>389</v>
      </c>
      <c r="C10348" t="s">
        <v>1725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1700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1700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1700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1700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1700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1700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1700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1700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1700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1700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1700</v>
      </c>
      <c r="B10359" t="s">
        <v>389</v>
      </c>
      <c r="C10359" t="s">
        <v>1726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1700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1700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1700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1700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1700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1700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1700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1700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1700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1700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1700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1700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1700</v>
      </c>
      <c r="B10372" t="s">
        <v>390</v>
      </c>
      <c r="C10372" t="s">
        <v>1701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1700</v>
      </c>
      <c r="B10373" t="s">
        <v>390</v>
      </c>
      <c r="C10373" t="s">
        <v>1702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1700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1700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1700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1700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1700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1700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1700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1700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1700</v>
      </c>
      <c r="B10382" t="s">
        <v>390</v>
      </c>
      <c r="C10382" t="s">
        <v>1703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1700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1700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1700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1700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1700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1700</v>
      </c>
      <c r="B10388" t="s">
        <v>390</v>
      </c>
      <c r="C10388" t="s">
        <v>1704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1700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1700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1700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1700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1700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1700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1700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1700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1700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1700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1700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1700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1700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1700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1700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1700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1700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1700</v>
      </c>
      <c r="B10406" t="s">
        <v>390</v>
      </c>
      <c r="C10406" t="s">
        <v>1705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1700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1700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1700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1700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1700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1700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1700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1700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1700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1700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1700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1700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1700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1700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1700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1700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1700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1700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1700</v>
      </c>
      <c r="B10425" t="s">
        <v>390</v>
      </c>
      <c r="C10425" t="s">
        <v>1706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1700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1700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1700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1700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1700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1700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1700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1700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1700</v>
      </c>
      <c r="B10434" t="s">
        <v>390</v>
      </c>
      <c r="C10434" t="s">
        <v>1707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1700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1700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1700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1700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1700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1700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1700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1700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1700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1700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1700</v>
      </c>
      <c r="B10445" t="s">
        <v>390</v>
      </c>
      <c r="C10445" t="s">
        <v>1708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1700</v>
      </c>
      <c r="B10446" t="s">
        <v>390</v>
      </c>
      <c r="C10446" t="s">
        <v>1709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1700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1700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1700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1700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1700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1700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1700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1700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1700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1700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1700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1700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1700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1700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1700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1700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1700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1700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1700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1700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1700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1700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1700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1700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1700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1700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1700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1700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1700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1700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1700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1700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1700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1700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1700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1700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1700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1700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1700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1700</v>
      </c>
      <c r="B10486" t="s">
        <v>390</v>
      </c>
      <c r="C10486" t="s">
        <v>1710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1700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1700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1700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1700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1700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1700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1700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1700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1700</v>
      </c>
      <c r="B10495" t="s">
        <v>390</v>
      </c>
      <c r="C10495" t="s">
        <v>1711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1700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1700</v>
      </c>
      <c r="B10497" t="s">
        <v>390</v>
      </c>
      <c r="C10497" t="s">
        <v>1712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1700</v>
      </c>
      <c r="B10498" t="s">
        <v>390</v>
      </c>
      <c r="C10498" t="s">
        <v>1713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1700</v>
      </c>
      <c r="B10499" t="s">
        <v>390</v>
      </c>
      <c r="C10499" t="s">
        <v>1714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1700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1700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1700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1700</v>
      </c>
      <c r="B10503" t="s">
        <v>390</v>
      </c>
      <c r="C10503" t="s">
        <v>1715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1700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1700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1700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1700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1700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1700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1700</v>
      </c>
      <c r="B10510" t="s">
        <v>390</v>
      </c>
      <c r="C10510" t="s">
        <v>1716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1700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1700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1700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1700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1700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1700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1700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1700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1700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1700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1700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1700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1700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1700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1700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1700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1700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1700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1700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1700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1700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1700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1700</v>
      </c>
      <c r="B10533" t="s">
        <v>390</v>
      </c>
      <c r="C10533" t="s">
        <v>1717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1700</v>
      </c>
      <c r="B10534" t="s">
        <v>390</v>
      </c>
      <c r="C10534" t="s">
        <v>1718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1700</v>
      </c>
      <c r="B10535" t="s">
        <v>390</v>
      </c>
      <c r="C10535" t="s">
        <v>1719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1700</v>
      </c>
      <c r="B10536" t="s">
        <v>390</v>
      </c>
      <c r="C10536" t="s">
        <v>1720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1700</v>
      </c>
      <c r="B10537" t="s">
        <v>390</v>
      </c>
      <c r="C10537" t="s">
        <v>1721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1700</v>
      </c>
      <c r="B10538" t="s">
        <v>390</v>
      </c>
      <c r="C10538" t="s">
        <v>1722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1700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1700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1700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1700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1700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1700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1700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1700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1700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1700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1700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1700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1700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1700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1700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1700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1700</v>
      </c>
      <c r="B10555" t="s">
        <v>390</v>
      </c>
      <c r="C10555" t="s">
        <v>1723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1700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1700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1700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1700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1700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1700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1700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1700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1700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1700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1700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1700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1700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1700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1700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1700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1700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1700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1700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1700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1700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1700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1700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1700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1700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1700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1700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1700</v>
      </c>
      <c r="B10583" t="s">
        <v>390</v>
      </c>
      <c r="C10583" t="s">
        <v>1724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1700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1700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1700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1700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1700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1700</v>
      </c>
      <c r="B10589" t="s">
        <v>390</v>
      </c>
      <c r="C10589" t="s">
        <v>1725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1700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1700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1700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1700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1700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1700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1700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1700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1700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1700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1700</v>
      </c>
      <c r="B10600" t="s">
        <v>390</v>
      </c>
      <c r="C10600" t="s">
        <v>1726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1700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1700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1700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1700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1700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1700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1700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1700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1700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1700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1700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1700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1700</v>
      </c>
      <c r="B10613" t="s">
        <v>391</v>
      </c>
      <c r="C10613" t="s">
        <v>1701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1700</v>
      </c>
      <c r="B10614" t="s">
        <v>391</v>
      </c>
      <c r="C10614" t="s">
        <v>1702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1700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1700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1700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1700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1700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1700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1700</v>
      </c>
      <c r="B10621" t="s">
        <v>391</v>
      </c>
      <c r="C10621" t="s">
        <v>1727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1700</v>
      </c>
      <c r="B10622" t="s">
        <v>391</v>
      </c>
      <c r="C10622" t="s">
        <v>1728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1700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1700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1700</v>
      </c>
      <c r="B10625" t="s">
        <v>391</v>
      </c>
      <c r="C10625" t="s">
        <v>1703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1700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1700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1700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1700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1700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1700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1700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1700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1700</v>
      </c>
      <c r="B10634" t="s">
        <v>391</v>
      </c>
      <c r="C10634" t="s">
        <v>1704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1700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1700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1700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1700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1700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1700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1700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1700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1700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1700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1700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1700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1700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1700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1700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1700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1700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1700</v>
      </c>
      <c r="B10652" t="s">
        <v>391</v>
      </c>
      <c r="C10652" t="s">
        <v>1705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1700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1700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1700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1700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1700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1700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1700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1700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1700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1700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1700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1700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1700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1700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1700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1700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1700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1700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1700</v>
      </c>
      <c r="B10671" t="s">
        <v>391</v>
      </c>
      <c r="C10671" t="s">
        <v>1706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1700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1700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1700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1700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1700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1700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1700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1700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1700</v>
      </c>
      <c r="B10680" t="s">
        <v>391</v>
      </c>
      <c r="C10680" t="s">
        <v>1707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1700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1700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1700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1700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1700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1700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1700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1700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1700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1700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1700</v>
      </c>
      <c r="B10691" t="s">
        <v>391</v>
      </c>
      <c r="C10691" t="s">
        <v>1708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1700</v>
      </c>
      <c r="B10692" t="s">
        <v>391</v>
      </c>
      <c r="C10692" t="s">
        <v>1709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1700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1700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1700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1700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1700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1700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1700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1700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1700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1700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1700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1700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1700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1700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1700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1700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1700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1700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1700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1700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1700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1700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1700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1700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1700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1700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1700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1700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1700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1700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1700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1700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1700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1700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1700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1700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1700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1700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1700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1700</v>
      </c>
      <c r="B10732" t="s">
        <v>391</v>
      </c>
      <c r="C10732" t="s">
        <v>1710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1700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1700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1700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1700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1700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1700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1700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1700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1700</v>
      </c>
      <c r="B10741" t="s">
        <v>391</v>
      </c>
      <c r="C10741" t="s">
        <v>1711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1700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1700</v>
      </c>
      <c r="B10743" t="s">
        <v>391</v>
      </c>
      <c r="C10743" t="s">
        <v>1712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1700</v>
      </c>
      <c r="B10744" t="s">
        <v>391</v>
      </c>
      <c r="C10744" t="s">
        <v>1713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1700</v>
      </c>
      <c r="B10745" t="s">
        <v>391</v>
      </c>
      <c r="C10745" t="s">
        <v>1714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1700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1700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1700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1700</v>
      </c>
      <c r="B10749" t="s">
        <v>391</v>
      </c>
      <c r="C10749" t="s">
        <v>1715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1700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1700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1700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1700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1700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1700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1700</v>
      </c>
      <c r="B10756" t="s">
        <v>391</v>
      </c>
      <c r="C10756" t="s">
        <v>1716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1700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1700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1700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1700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1700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1700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1700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1700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1700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1700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1700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1700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1700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1700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1700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1700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1700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1700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1700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1700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1700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1700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1700</v>
      </c>
      <c r="B10779" t="s">
        <v>391</v>
      </c>
      <c r="C10779" t="s">
        <v>1717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1700</v>
      </c>
      <c r="B10780" t="s">
        <v>391</v>
      </c>
      <c r="C10780" t="s">
        <v>1718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1700</v>
      </c>
      <c r="B10781" t="s">
        <v>391</v>
      </c>
      <c r="C10781" t="s">
        <v>1719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1700</v>
      </c>
      <c r="B10782" t="s">
        <v>391</v>
      </c>
      <c r="C10782" t="s">
        <v>1720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1700</v>
      </c>
      <c r="B10783" t="s">
        <v>391</v>
      </c>
      <c r="C10783" t="s">
        <v>1721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1700</v>
      </c>
      <c r="B10784" t="s">
        <v>391</v>
      </c>
      <c r="C10784" t="s">
        <v>1722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1700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1700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1700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1700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1700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1700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1700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1700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1700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1700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1700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1700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1700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1700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1700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1700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1700</v>
      </c>
      <c r="B10801" t="s">
        <v>391</v>
      </c>
      <c r="C10801" t="s">
        <v>1723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1700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1700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1700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1700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1700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1700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1700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1700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1700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1700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1700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1700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1700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1700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1700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1700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1700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1700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1700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1700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1700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1700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1700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1700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1700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1700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1700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1700</v>
      </c>
      <c r="B10829" t="s">
        <v>391</v>
      </c>
      <c r="C10829" t="s">
        <v>1724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1700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1700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1700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1700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1700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1700</v>
      </c>
      <c r="B10835" t="s">
        <v>391</v>
      </c>
      <c r="C10835" t="s">
        <v>1725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1700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1700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1700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1700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1700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1700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1700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1700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1700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1700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1700</v>
      </c>
      <c r="B10846" t="s">
        <v>391</v>
      </c>
      <c r="C10846" t="s">
        <v>1726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1700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1700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1700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1700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1700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1700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1700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1700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1700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1700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1700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1700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1700</v>
      </c>
      <c r="B10859" t="s">
        <v>395</v>
      </c>
      <c r="C10859" t="s">
        <v>1701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1700</v>
      </c>
      <c r="B10860" t="s">
        <v>395</v>
      </c>
      <c r="C10860" t="s">
        <v>1702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1700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1700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1700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1700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1700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1700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1700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1700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1700</v>
      </c>
      <c r="B10869" t="s">
        <v>395</v>
      </c>
      <c r="C10869" t="s">
        <v>1703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1700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1700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1700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1700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1700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1700</v>
      </c>
      <c r="B10875" t="s">
        <v>395</v>
      </c>
      <c r="C10875" t="s">
        <v>1704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1700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1700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1700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1700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1700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1700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1700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1700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1700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1700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1700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1700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1700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1700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1700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1700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1700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1700</v>
      </c>
      <c r="B10893" t="s">
        <v>395</v>
      </c>
      <c r="C10893" t="s">
        <v>1705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1700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1700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1700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1700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1700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1700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1700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1700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1700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1700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1700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1700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1700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1700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1700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1700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1700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1700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1700</v>
      </c>
      <c r="B10912" t="s">
        <v>395</v>
      </c>
      <c r="C10912" t="s">
        <v>1706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1700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1700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1700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1700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1700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1700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1700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1700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1700</v>
      </c>
      <c r="B10921" t="s">
        <v>395</v>
      </c>
      <c r="C10921" t="s">
        <v>1707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1700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1700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1700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1700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1700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1700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1700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1700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1700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1700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1700</v>
      </c>
      <c r="B10932" t="s">
        <v>395</v>
      </c>
      <c r="C10932" t="s">
        <v>1708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1700</v>
      </c>
      <c r="B10933" t="s">
        <v>395</v>
      </c>
      <c r="C10933" t="s">
        <v>1709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1700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1700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1700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1700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1700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1700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1700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1700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1700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1700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1700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1700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1700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1700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1700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1700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1700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1700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1700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1700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1700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1700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1700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1700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1700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1700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1700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1700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1700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1700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1700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1700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1700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1700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1700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1700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1700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1700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1700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1700</v>
      </c>
      <c r="B10973" t="s">
        <v>395</v>
      </c>
      <c r="C10973" t="s">
        <v>1710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1700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1700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1700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1700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1700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1700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1700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1700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1700</v>
      </c>
      <c r="B10982" t="s">
        <v>395</v>
      </c>
      <c r="C10982" t="s">
        <v>1711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1700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1700</v>
      </c>
      <c r="B10984" t="s">
        <v>395</v>
      </c>
      <c r="C10984" t="s">
        <v>1712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1700</v>
      </c>
      <c r="B10985" t="s">
        <v>395</v>
      </c>
      <c r="C10985" t="s">
        <v>1713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1700</v>
      </c>
      <c r="B10986" t="s">
        <v>395</v>
      </c>
      <c r="C10986" t="s">
        <v>1714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1700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1700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1700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1700</v>
      </c>
      <c r="B10990" t="s">
        <v>395</v>
      </c>
      <c r="C10990" t="s">
        <v>1715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1700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1700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1700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1700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1700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1700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1700</v>
      </c>
      <c r="B10997" t="s">
        <v>395</v>
      </c>
      <c r="C10997" t="s">
        <v>1716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1700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1700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1700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1700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1700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1700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1700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1700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1700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1700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1700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1700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1700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1700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1700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1700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1700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1700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1700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1700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1700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1700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1700</v>
      </c>
      <c r="B11020" t="s">
        <v>395</v>
      </c>
      <c r="C11020" t="s">
        <v>1717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1700</v>
      </c>
      <c r="B11021" t="s">
        <v>395</v>
      </c>
      <c r="C11021" t="s">
        <v>1718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1700</v>
      </c>
      <c r="B11022" t="s">
        <v>395</v>
      </c>
      <c r="C11022" t="s">
        <v>1719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1700</v>
      </c>
      <c r="B11023" t="s">
        <v>395</v>
      </c>
      <c r="C11023" t="s">
        <v>1720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1700</v>
      </c>
      <c r="B11024" t="s">
        <v>395</v>
      </c>
      <c r="C11024" t="s">
        <v>1721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1700</v>
      </c>
      <c r="B11025" t="s">
        <v>395</v>
      </c>
      <c r="C11025" t="s">
        <v>1722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1700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1700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1700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1700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1700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1700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1700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1700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1700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1700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1700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1700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1700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1700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1700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1700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1700</v>
      </c>
      <c r="B11042" t="s">
        <v>395</v>
      </c>
      <c r="C11042" t="s">
        <v>1723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1700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1700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1700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1700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1700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1700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1700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1700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1700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1700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1700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1700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1700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1700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1700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1700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1700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1700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1700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1700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1700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1700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1700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1700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1700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1700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1700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1700</v>
      </c>
      <c r="B11070" t="s">
        <v>395</v>
      </c>
      <c r="C11070" t="s">
        <v>1724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1700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1700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1700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1700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1700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1700</v>
      </c>
      <c r="B11076" t="s">
        <v>395</v>
      </c>
      <c r="C11076" t="s">
        <v>1725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1700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1700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1700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1700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1700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1700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1700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1700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1700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1700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1700</v>
      </c>
      <c r="B11087" t="s">
        <v>395</v>
      </c>
      <c r="C11087" t="s">
        <v>1726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1700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1700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1700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1700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1700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1700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1700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1700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1700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1700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1700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1700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1700</v>
      </c>
      <c r="B11100" t="s">
        <v>396</v>
      </c>
      <c r="C11100" t="s">
        <v>1701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1700</v>
      </c>
      <c r="B11101" t="s">
        <v>396</v>
      </c>
      <c r="C11101" t="s">
        <v>1702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1700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1700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1700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1700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1700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1700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1700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1700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1700</v>
      </c>
      <c r="B11110" t="s">
        <v>396</v>
      </c>
      <c r="C11110" t="s">
        <v>1703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1700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1700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1700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1700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1700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1700</v>
      </c>
      <c r="B11116" t="s">
        <v>396</v>
      </c>
      <c r="C11116" t="s">
        <v>1704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1700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1700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1700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1700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1700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1700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1700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1700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1700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1700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1700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1700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1700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1700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1700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1700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1700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1700</v>
      </c>
      <c r="B11134" t="s">
        <v>396</v>
      </c>
      <c r="C11134" t="s">
        <v>1705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1700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1700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1700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1700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1700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1700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1700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1700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1700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1700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1700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1700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1700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1700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1700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1700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1700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1700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1700</v>
      </c>
      <c r="B11153" t="s">
        <v>396</v>
      </c>
      <c r="C11153" t="s">
        <v>1706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1700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1700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1700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1700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1700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1700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1700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1700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1700</v>
      </c>
      <c r="B11162" t="s">
        <v>396</v>
      </c>
      <c r="C11162" t="s">
        <v>1707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1700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1700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1700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1700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1700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1700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1700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1700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1700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1700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1700</v>
      </c>
      <c r="B11173" t="s">
        <v>396</v>
      </c>
      <c r="C11173" t="s">
        <v>1708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1700</v>
      </c>
      <c r="B11174" t="s">
        <v>396</v>
      </c>
      <c r="C11174" t="s">
        <v>1709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1700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1700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1700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1700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1700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1700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1700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1700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1700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1700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1700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1700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1700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1700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1700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1700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1700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1700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1700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1700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1700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1700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1700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1700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1700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1700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1700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1700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1700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1700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1700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1700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1700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1700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1700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1700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1700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1700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1700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1700</v>
      </c>
      <c r="B11214" t="s">
        <v>396</v>
      </c>
      <c r="C11214" t="s">
        <v>1710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1700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1700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1700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1700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1700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1700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1700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1700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1700</v>
      </c>
      <c r="B11223" t="s">
        <v>396</v>
      </c>
      <c r="C11223" t="s">
        <v>1711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1700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1700</v>
      </c>
      <c r="B11225" t="s">
        <v>396</v>
      </c>
      <c r="C11225" t="s">
        <v>1712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1700</v>
      </c>
      <c r="B11226" t="s">
        <v>396</v>
      </c>
      <c r="C11226" t="s">
        <v>1713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1700</v>
      </c>
      <c r="B11227" t="s">
        <v>396</v>
      </c>
      <c r="C11227" t="s">
        <v>1714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1700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1700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1700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1700</v>
      </c>
      <c r="B11231" t="s">
        <v>396</v>
      </c>
      <c r="C11231" t="s">
        <v>1715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1700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1700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1700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1700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1700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1700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1700</v>
      </c>
      <c r="B11238" t="s">
        <v>396</v>
      </c>
      <c r="C11238" t="s">
        <v>1716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1700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1700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1700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1700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1700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1700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1700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1700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1700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1700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1700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1700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1700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1700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1700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1700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1700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1700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1700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1700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1700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1700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1700</v>
      </c>
      <c r="B11261" t="s">
        <v>396</v>
      </c>
      <c r="C11261" t="s">
        <v>1717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1700</v>
      </c>
      <c r="B11262" t="s">
        <v>396</v>
      </c>
      <c r="C11262" t="s">
        <v>1718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1700</v>
      </c>
      <c r="B11263" t="s">
        <v>396</v>
      </c>
      <c r="C11263" t="s">
        <v>1719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1700</v>
      </c>
      <c r="B11264" t="s">
        <v>396</v>
      </c>
      <c r="C11264" t="s">
        <v>1720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1700</v>
      </c>
      <c r="B11265" t="s">
        <v>396</v>
      </c>
      <c r="C11265" t="s">
        <v>1721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1700</v>
      </c>
      <c r="B11266" t="s">
        <v>396</v>
      </c>
      <c r="C11266" t="s">
        <v>1722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1700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1700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1700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1700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1700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1700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1700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1700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1700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1700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1700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1700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1700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1700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1700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1700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1700</v>
      </c>
      <c r="B11283" t="s">
        <v>396</v>
      </c>
      <c r="C11283" t="s">
        <v>1723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1700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1700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1700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1700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1700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1700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1700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1700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1700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1700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1700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1700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1700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1700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1700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1700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1700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1700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1700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1700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1700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1700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1700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1700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1700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1700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1700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1700</v>
      </c>
      <c r="B11311" t="s">
        <v>396</v>
      </c>
      <c r="C11311" t="s">
        <v>1724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1700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1700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1700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1700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1700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1700</v>
      </c>
      <c r="B11317" t="s">
        <v>396</v>
      </c>
      <c r="C11317" t="s">
        <v>1725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1700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1700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1700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1700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1700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1700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1700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1700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1700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1700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1700</v>
      </c>
      <c r="B11328" t="s">
        <v>396</v>
      </c>
      <c r="C11328" t="s">
        <v>1726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1700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1700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1700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1700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1700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1700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1700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1700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1700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1700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1700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1700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1700</v>
      </c>
      <c r="B11341" t="s">
        <v>397</v>
      </c>
      <c r="C11341" t="s">
        <v>1701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1700</v>
      </c>
      <c r="B11342" t="s">
        <v>397</v>
      </c>
      <c r="C11342" t="s">
        <v>1702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1700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1700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1700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1700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1700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1700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1700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1700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1700</v>
      </c>
      <c r="B11351" t="s">
        <v>397</v>
      </c>
      <c r="C11351" t="s">
        <v>1703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1700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1700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1700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1700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1700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1700</v>
      </c>
      <c r="B11357" t="s">
        <v>397</v>
      </c>
      <c r="C11357" t="s">
        <v>1704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1700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1700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1700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1700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1700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1700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1700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1700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1700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1700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1700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1700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1700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1700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1700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1700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1700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1700</v>
      </c>
      <c r="B11375" t="s">
        <v>397</v>
      </c>
      <c r="C11375" t="s">
        <v>1705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1700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1700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1700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1700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1700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1700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1700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1700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1700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1700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1700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1700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1700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1700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1700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1700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1700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1700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1700</v>
      </c>
      <c r="B11394" t="s">
        <v>397</v>
      </c>
      <c r="C11394" t="s">
        <v>1706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1700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1700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1700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1700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1700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1700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1700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1700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1700</v>
      </c>
      <c r="B11403" t="s">
        <v>397</v>
      </c>
      <c r="C11403" t="s">
        <v>1707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1700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1700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1700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1700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1700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1700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1700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1700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1700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1700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1700</v>
      </c>
      <c r="B11414" t="s">
        <v>397</v>
      </c>
      <c r="C11414" t="s">
        <v>1708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1700</v>
      </c>
      <c r="B11415" t="s">
        <v>397</v>
      </c>
      <c r="C11415" t="s">
        <v>1709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1700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1700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1700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1700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1700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1700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1700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1700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1700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1700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1700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1700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1700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1700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1700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1700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1700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1700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1700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1700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1700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1700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1700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1700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1700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1700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1700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1700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1700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1700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1700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1700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1700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1700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1700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1700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1700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1700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1700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1700</v>
      </c>
      <c r="B11455" t="s">
        <v>397</v>
      </c>
      <c r="C11455" t="s">
        <v>1710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1700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1700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1700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1700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1700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1700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1700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1700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1700</v>
      </c>
      <c r="B11464" t="s">
        <v>397</v>
      </c>
      <c r="C11464" t="s">
        <v>1711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1700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1700</v>
      </c>
      <c r="B11466" t="s">
        <v>397</v>
      </c>
      <c r="C11466" t="s">
        <v>1712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1700</v>
      </c>
      <c r="B11467" t="s">
        <v>397</v>
      </c>
      <c r="C11467" t="s">
        <v>1713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1700</v>
      </c>
      <c r="B11468" t="s">
        <v>397</v>
      </c>
      <c r="C11468" t="s">
        <v>1714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1700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1700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1700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1700</v>
      </c>
      <c r="B11472" t="s">
        <v>397</v>
      </c>
      <c r="C11472" t="s">
        <v>1715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1700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1700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1700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1700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1700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1700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1700</v>
      </c>
      <c r="B11479" t="s">
        <v>397</v>
      </c>
      <c r="C11479" t="s">
        <v>1716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1700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1700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1700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1700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1700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1700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1700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1700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1700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1700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1700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1700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1700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1700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1700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1700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1700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1700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1700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1700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1700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1700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1700</v>
      </c>
      <c r="B11502" t="s">
        <v>397</v>
      </c>
      <c r="C11502" t="s">
        <v>1717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1700</v>
      </c>
      <c r="B11503" t="s">
        <v>397</v>
      </c>
      <c r="C11503" t="s">
        <v>1718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1700</v>
      </c>
      <c r="B11504" t="s">
        <v>397</v>
      </c>
      <c r="C11504" t="s">
        <v>1719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1700</v>
      </c>
      <c r="B11505" t="s">
        <v>397</v>
      </c>
      <c r="C11505" t="s">
        <v>1720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1700</v>
      </c>
      <c r="B11506" t="s">
        <v>397</v>
      </c>
      <c r="C11506" t="s">
        <v>1721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1700</v>
      </c>
      <c r="B11507" t="s">
        <v>397</v>
      </c>
      <c r="C11507" t="s">
        <v>1722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1700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1700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1700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1700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1700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1700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1700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1700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1700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1700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1700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1700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1700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1700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1700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1700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1700</v>
      </c>
      <c r="B11524" t="s">
        <v>397</v>
      </c>
      <c r="C11524" t="s">
        <v>1723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1700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1700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1700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1700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1700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1700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1700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1700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1700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1700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1700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1700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1700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1700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1700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1700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1700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1700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1700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1700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1700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1700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1700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1700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1700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1700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1700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1700</v>
      </c>
      <c r="B11552" t="s">
        <v>397</v>
      </c>
      <c r="C11552" t="s">
        <v>1724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1700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1700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1700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1700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1700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1700</v>
      </c>
      <c r="B11558" t="s">
        <v>397</v>
      </c>
      <c r="C11558" t="s">
        <v>1725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1700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1700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1700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1700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1700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1700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1700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1700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1700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1700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1700</v>
      </c>
      <c r="B11569" t="s">
        <v>397</v>
      </c>
      <c r="C11569" t="s">
        <v>1726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1700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1700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1700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1700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1700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1700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1700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1700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1700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1700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1700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1700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1700</v>
      </c>
      <c r="B11582" t="s">
        <v>398</v>
      </c>
      <c r="C11582" t="s">
        <v>1701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1700</v>
      </c>
      <c r="B11583" t="s">
        <v>398</v>
      </c>
      <c r="C11583" t="s">
        <v>1702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1700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1700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1700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1700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1700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1700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1700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1700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1700</v>
      </c>
      <c r="B11592" t="s">
        <v>398</v>
      </c>
      <c r="C11592" t="s">
        <v>1703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1700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1700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1700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1700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1700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1700</v>
      </c>
      <c r="B11598" t="s">
        <v>398</v>
      </c>
      <c r="C11598" t="s">
        <v>1704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1700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1700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1700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1700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1700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1700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1700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1700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1700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1700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1700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1700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1700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1700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1700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1700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1700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1700</v>
      </c>
      <c r="B11616" t="s">
        <v>398</v>
      </c>
      <c r="C11616" t="s">
        <v>1705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1700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1700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1700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1700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1700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1700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1700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1700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1700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1700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1700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1700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1700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1700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1700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1700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1700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1700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1700</v>
      </c>
      <c r="B11635" t="s">
        <v>398</v>
      </c>
      <c r="C11635" t="s">
        <v>1706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1700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1700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1700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1700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1700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1700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1700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1700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1700</v>
      </c>
      <c r="B11644" t="s">
        <v>398</v>
      </c>
      <c r="C11644" t="s">
        <v>1707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1700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1700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1700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1700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1700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1700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1700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1700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1700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1700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1700</v>
      </c>
      <c r="B11655" t="s">
        <v>398</v>
      </c>
      <c r="C11655" t="s">
        <v>1708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1700</v>
      </c>
      <c r="B11656" t="s">
        <v>398</v>
      </c>
      <c r="C11656" t="s">
        <v>1709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1700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1700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1700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1700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1700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1700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1700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1700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1700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1700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1700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1700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1700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1700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1700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1700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1700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1700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1700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1700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1700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1700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1700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1700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1700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1700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1700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1700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1700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1700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1700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1700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1700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1700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1700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1700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1700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1700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1700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1700</v>
      </c>
      <c r="B11696" t="s">
        <v>398</v>
      </c>
      <c r="C11696" t="s">
        <v>1710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1700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1700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1700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1700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1700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1700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1700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1700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1700</v>
      </c>
      <c r="B11705" t="s">
        <v>398</v>
      </c>
      <c r="C11705" t="s">
        <v>1711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1700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1700</v>
      </c>
      <c r="B11707" t="s">
        <v>398</v>
      </c>
      <c r="C11707" t="s">
        <v>1712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1700</v>
      </c>
      <c r="B11708" t="s">
        <v>398</v>
      </c>
      <c r="C11708" t="s">
        <v>1713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1700</v>
      </c>
      <c r="B11709" t="s">
        <v>398</v>
      </c>
      <c r="C11709" t="s">
        <v>1714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1700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1700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1700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1700</v>
      </c>
      <c r="B11713" t="s">
        <v>398</v>
      </c>
      <c r="C11713" t="s">
        <v>1715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1700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1700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1700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1700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1700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1700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1700</v>
      </c>
      <c r="B11720" t="s">
        <v>398</v>
      </c>
      <c r="C11720" t="s">
        <v>1716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1700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1700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1700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1700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1700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1700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1700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1700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1700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1700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1700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1700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1700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1700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1700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1700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1700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1700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1700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1700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1700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1700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1700</v>
      </c>
      <c r="B11743" t="s">
        <v>398</v>
      </c>
      <c r="C11743" t="s">
        <v>1717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1700</v>
      </c>
      <c r="B11744" t="s">
        <v>398</v>
      </c>
      <c r="C11744" t="s">
        <v>1718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1700</v>
      </c>
      <c r="B11745" t="s">
        <v>398</v>
      </c>
      <c r="C11745" t="s">
        <v>1719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1700</v>
      </c>
      <c r="B11746" t="s">
        <v>398</v>
      </c>
      <c r="C11746" t="s">
        <v>1720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1700</v>
      </c>
      <c r="B11747" t="s">
        <v>398</v>
      </c>
      <c r="C11747" t="s">
        <v>1721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1700</v>
      </c>
      <c r="B11748" t="s">
        <v>398</v>
      </c>
      <c r="C11748" t="s">
        <v>1722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1700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1700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1700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1700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1700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1700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1700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1700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1700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1700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1700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1700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1700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1700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1700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1700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1700</v>
      </c>
      <c r="B11765" t="s">
        <v>398</v>
      </c>
      <c r="C11765" t="s">
        <v>1723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1700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1700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1700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1700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1700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1700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1700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1700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1700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1700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1700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1700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1700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1700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1700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1700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1700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1700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1700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1700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1700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1700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1700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1700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1700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1700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1700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1700</v>
      </c>
      <c r="B11793" t="s">
        <v>398</v>
      </c>
      <c r="C11793" t="s">
        <v>1724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1700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1700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1700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1700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1700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1700</v>
      </c>
      <c r="B11799" t="s">
        <v>398</v>
      </c>
      <c r="C11799" t="s">
        <v>1725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1700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1700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1700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1700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1700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1700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1700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1700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1700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1700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1700</v>
      </c>
      <c r="B11810" t="s">
        <v>398</v>
      </c>
      <c r="C11810" t="s">
        <v>1726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1700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1700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1700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1700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1700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1700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1700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1700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1700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1700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1700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1700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1700</v>
      </c>
      <c r="B11823" t="s">
        <v>399</v>
      </c>
      <c r="C11823" t="s">
        <v>1701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1700</v>
      </c>
      <c r="B11824" t="s">
        <v>399</v>
      </c>
      <c r="C11824" t="s">
        <v>1702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1700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1700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1700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1700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1700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1700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1700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1700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1700</v>
      </c>
      <c r="B11833" t="s">
        <v>399</v>
      </c>
      <c r="C11833" t="s">
        <v>1703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1700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1700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1700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1700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1700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1700</v>
      </c>
      <c r="B11839" t="s">
        <v>399</v>
      </c>
      <c r="C11839" t="s">
        <v>1704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1700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1700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1700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1700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1700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1700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1700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1700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1700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1700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1700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1700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1700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1700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1700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1700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1700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1700</v>
      </c>
      <c r="B11857" t="s">
        <v>399</v>
      </c>
      <c r="C11857" t="s">
        <v>1705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1700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1700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1700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1700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1700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1700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1700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1700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1700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1700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1700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1700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1700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1700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1700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1700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1700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1700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1700</v>
      </c>
      <c r="B11876" t="s">
        <v>399</v>
      </c>
      <c r="C11876" t="s">
        <v>1706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1700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1700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1700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1700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1700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1700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1700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1700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1700</v>
      </c>
      <c r="B11885" t="s">
        <v>399</v>
      </c>
      <c r="C11885" t="s">
        <v>1707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1700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1700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1700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1700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1700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1700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1700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1700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1700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1700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1700</v>
      </c>
      <c r="B11896" t="s">
        <v>399</v>
      </c>
      <c r="C11896" t="s">
        <v>1708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1700</v>
      </c>
      <c r="B11897" t="s">
        <v>399</v>
      </c>
      <c r="C11897" t="s">
        <v>1709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1700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1700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1700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1700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1700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1700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1700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1700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1700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1700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1700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1700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1700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1700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1700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1700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1700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1700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1700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1700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1700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1700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1700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1700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1700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1700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1700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1700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1700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1700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1700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1700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1700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1700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1700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1700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1700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1700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1700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1700</v>
      </c>
      <c r="B11937" t="s">
        <v>399</v>
      </c>
      <c r="C11937" t="s">
        <v>1710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1700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1700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1700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1700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1700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1700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1700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1700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1700</v>
      </c>
      <c r="B11946" t="s">
        <v>399</v>
      </c>
      <c r="C11946" t="s">
        <v>1711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1700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1700</v>
      </c>
      <c r="B11948" t="s">
        <v>399</v>
      </c>
      <c r="C11948" t="s">
        <v>1712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1700</v>
      </c>
      <c r="B11949" t="s">
        <v>399</v>
      </c>
      <c r="C11949" t="s">
        <v>1713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1700</v>
      </c>
      <c r="B11950" t="s">
        <v>399</v>
      </c>
      <c r="C11950" t="s">
        <v>1714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1700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1700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1700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1700</v>
      </c>
      <c r="B11954" t="s">
        <v>399</v>
      </c>
      <c r="C11954" t="s">
        <v>1715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1700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1700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1700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1700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1700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1700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1700</v>
      </c>
      <c r="B11961" t="s">
        <v>399</v>
      </c>
      <c r="C11961" t="s">
        <v>1716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1700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1700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1700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1700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1700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1700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1700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1700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1700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1700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1700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1700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1700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1700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1700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1700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1700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1700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1700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1700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1700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1700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1700</v>
      </c>
      <c r="B11984" t="s">
        <v>399</v>
      </c>
      <c r="C11984" t="s">
        <v>1717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1700</v>
      </c>
      <c r="B11985" t="s">
        <v>399</v>
      </c>
      <c r="C11985" t="s">
        <v>1718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1700</v>
      </c>
      <c r="B11986" t="s">
        <v>399</v>
      </c>
      <c r="C11986" t="s">
        <v>1719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1700</v>
      </c>
      <c r="B11987" t="s">
        <v>399</v>
      </c>
      <c r="C11987" t="s">
        <v>1720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1700</v>
      </c>
      <c r="B11988" t="s">
        <v>399</v>
      </c>
      <c r="C11988" t="s">
        <v>1721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1700</v>
      </c>
      <c r="B11989" t="s">
        <v>399</v>
      </c>
      <c r="C11989" t="s">
        <v>1722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1700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1700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1700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1700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1700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1700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1700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1700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1700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1700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1700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1700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1700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1700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1700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1700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1700</v>
      </c>
      <c r="B12006" t="s">
        <v>399</v>
      </c>
      <c r="C12006" t="s">
        <v>1723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1700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1700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1700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1700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1700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1700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1700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1700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1700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1700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1700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1700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1700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1700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1700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1700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1700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1700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1700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1700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1700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1700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1700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1700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1700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1700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1700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1700</v>
      </c>
      <c r="B12034" t="s">
        <v>399</v>
      </c>
      <c r="C12034" t="s">
        <v>1724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1700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1700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1700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1700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1700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1700</v>
      </c>
      <c r="B12040" t="s">
        <v>399</v>
      </c>
      <c r="C12040" t="s">
        <v>1725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1700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1700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1700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1700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1700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1700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1700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1700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1700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1700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1700</v>
      </c>
      <c r="B12051" t="s">
        <v>399</v>
      </c>
      <c r="C12051" t="s">
        <v>1726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1700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1700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1700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1700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1700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1700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1700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1700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1700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1700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1700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1700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1700</v>
      </c>
      <c r="B12064" t="s">
        <v>400</v>
      </c>
      <c r="C12064" t="s">
        <v>1701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1700</v>
      </c>
      <c r="B12065" t="s">
        <v>400</v>
      </c>
      <c r="C12065" t="s">
        <v>1702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1700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1700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1700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1700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1700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1700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1700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1700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1700</v>
      </c>
      <c r="B12074" t="s">
        <v>400</v>
      </c>
      <c r="C12074" t="s">
        <v>1703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1700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1700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1700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1700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1700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1700</v>
      </c>
      <c r="B12080" t="s">
        <v>400</v>
      </c>
      <c r="C12080" t="s">
        <v>1704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1700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1700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1700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1700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1700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1700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1700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1700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1700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1700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1700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1700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1700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1700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1700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1700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1700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1700</v>
      </c>
      <c r="B12098" t="s">
        <v>400</v>
      </c>
      <c r="C12098" t="s">
        <v>1705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1700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1700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1700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1700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1700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1700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1700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1700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1700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1700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1700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1700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1700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1700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1700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1700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1700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1700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1700</v>
      </c>
      <c r="B12117" t="s">
        <v>400</v>
      </c>
      <c r="C12117" t="s">
        <v>1706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1700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1700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1700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1700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1700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1700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1700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1700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1700</v>
      </c>
      <c r="B12126" t="s">
        <v>400</v>
      </c>
      <c r="C12126" t="s">
        <v>1707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1700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1700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1700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1700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1700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1700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1700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1700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1700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1700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1700</v>
      </c>
      <c r="B12137" t="s">
        <v>400</v>
      </c>
      <c r="C12137" t="s">
        <v>1708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1700</v>
      </c>
      <c r="B12138" t="s">
        <v>400</v>
      </c>
      <c r="C12138" t="s">
        <v>1709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1700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1700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1700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1700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1700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1700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1700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1700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1700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1700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1700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1700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1700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1700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1700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1700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1700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1700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1700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1700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1700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1700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1700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1700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1700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1700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1700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1700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1700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1700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1700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1700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1700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1700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1700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1700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1700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1700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1700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1700</v>
      </c>
      <c r="B12178" t="s">
        <v>400</v>
      </c>
      <c r="C12178" t="s">
        <v>1710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1700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1700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1700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1700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1700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1700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1700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1700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1700</v>
      </c>
      <c r="B12187" t="s">
        <v>400</v>
      </c>
      <c r="C12187" t="s">
        <v>1711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1700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1700</v>
      </c>
      <c r="B12189" t="s">
        <v>400</v>
      </c>
      <c r="C12189" t="s">
        <v>1712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1700</v>
      </c>
      <c r="B12190" t="s">
        <v>400</v>
      </c>
      <c r="C12190" t="s">
        <v>1713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1700</v>
      </c>
      <c r="B12191" t="s">
        <v>400</v>
      </c>
      <c r="C12191" t="s">
        <v>1714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1700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1700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1700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1700</v>
      </c>
      <c r="B12195" t="s">
        <v>400</v>
      </c>
      <c r="C12195" t="s">
        <v>1715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1700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1700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1700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1700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1700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1700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1700</v>
      </c>
      <c r="B12202" t="s">
        <v>400</v>
      </c>
      <c r="C12202" t="s">
        <v>1716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1700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1700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1700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1700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1700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1700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1700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1700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1700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1700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1700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1700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1700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1700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1700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1700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1700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1700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1700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1700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1700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1700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1700</v>
      </c>
      <c r="B12225" t="s">
        <v>400</v>
      </c>
      <c r="C12225" t="s">
        <v>1717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1700</v>
      </c>
      <c r="B12226" t="s">
        <v>400</v>
      </c>
      <c r="C12226" t="s">
        <v>1718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1700</v>
      </c>
      <c r="B12227" t="s">
        <v>400</v>
      </c>
      <c r="C12227" t="s">
        <v>1719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1700</v>
      </c>
      <c r="B12228" t="s">
        <v>400</v>
      </c>
      <c r="C12228" t="s">
        <v>1720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1700</v>
      </c>
      <c r="B12229" t="s">
        <v>400</v>
      </c>
      <c r="C12229" t="s">
        <v>1721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1700</v>
      </c>
      <c r="B12230" t="s">
        <v>400</v>
      </c>
      <c r="C12230" t="s">
        <v>1722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1700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1700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1700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1700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1700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1700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1700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1700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1700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1700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1700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1700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1700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1700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1700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1700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1700</v>
      </c>
      <c r="B12247" t="s">
        <v>400</v>
      </c>
      <c r="C12247" t="s">
        <v>1723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1700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1700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1700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1700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1700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1700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1700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1700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1700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1700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1700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1700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1700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1700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1700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1700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1700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1700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1700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1700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1700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1700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1700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1700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1700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1700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1700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1700</v>
      </c>
      <c r="B12275" t="s">
        <v>400</v>
      </c>
      <c r="C12275" t="s">
        <v>1724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1700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1700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1700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1700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1700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1700</v>
      </c>
      <c r="B12281" t="s">
        <v>400</v>
      </c>
      <c r="C12281" t="s">
        <v>1725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1700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1700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1700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1700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1700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1700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1700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1700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1700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1700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1700</v>
      </c>
      <c r="B12292" t="s">
        <v>400</v>
      </c>
      <c r="C12292" t="s">
        <v>1726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1700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1700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1700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1700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1700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1700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1700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1700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1700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1700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1700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1700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1700</v>
      </c>
      <c r="B12305" t="s">
        <v>401</v>
      </c>
      <c r="C12305" t="s">
        <v>1701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1700</v>
      </c>
      <c r="B12306" t="s">
        <v>401</v>
      </c>
      <c r="C12306" t="s">
        <v>1702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1700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1700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1700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1700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1700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1700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1700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1700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1700</v>
      </c>
      <c r="B12315" t="s">
        <v>401</v>
      </c>
      <c r="C12315" t="s">
        <v>1703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1700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1700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1700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1700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1700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1700</v>
      </c>
      <c r="B12321" t="s">
        <v>401</v>
      </c>
      <c r="C12321" t="s">
        <v>1704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1700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1700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1700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1700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1700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1700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1700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1700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1700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1700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1700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1700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1700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1700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1700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1700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1700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1700</v>
      </c>
      <c r="B12339" t="s">
        <v>401</v>
      </c>
      <c r="C12339" t="s">
        <v>1705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1700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1700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1700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1700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1700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1700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1700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1700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1700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1700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1700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1700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1700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1700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1700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1700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1700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1700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1700</v>
      </c>
      <c r="B12358" t="s">
        <v>401</v>
      </c>
      <c r="C12358" t="s">
        <v>1706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1700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1700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1700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1700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1700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1700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1700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1700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1700</v>
      </c>
      <c r="B12367" t="s">
        <v>401</v>
      </c>
      <c r="C12367" t="s">
        <v>1707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1700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1700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1700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1700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1700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1700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1700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1700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1700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1700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1700</v>
      </c>
      <c r="B12378" t="s">
        <v>401</v>
      </c>
      <c r="C12378" t="s">
        <v>1708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1700</v>
      </c>
      <c r="B12379" t="s">
        <v>401</v>
      </c>
      <c r="C12379" t="s">
        <v>1709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1700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1700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1700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1700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1700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1700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1700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1700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1700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1700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1700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1700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1700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1700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1700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1700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1700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1700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1700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1700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1700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1700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1700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1700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1700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1700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1700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1700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1700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1700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1700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1700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1700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1700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1700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1700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1700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1700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1700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1700</v>
      </c>
      <c r="B12419" t="s">
        <v>401</v>
      </c>
      <c r="C12419" t="s">
        <v>1710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1700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1700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1700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1700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1700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1700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1700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1700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1700</v>
      </c>
      <c r="B12428" t="s">
        <v>401</v>
      </c>
      <c r="C12428" t="s">
        <v>1711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1700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1700</v>
      </c>
      <c r="B12430" t="s">
        <v>401</v>
      </c>
      <c r="C12430" t="s">
        <v>1712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1700</v>
      </c>
      <c r="B12431" t="s">
        <v>401</v>
      </c>
      <c r="C12431" t="s">
        <v>1713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1700</v>
      </c>
      <c r="B12432" t="s">
        <v>401</v>
      </c>
      <c r="C12432" t="s">
        <v>1714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1700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1700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1700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1700</v>
      </c>
      <c r="B12436" t="s">
        <v>401</v>
      </c>
      <c r="C12436" t="s">
        <v>1715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1700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1700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1700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1700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1700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1700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1700</v>
      </c>
      <c r="B12443" t="s">
        <v>401</v>
      </c>
      <c r="C12443" t="s">
        <v>1716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1700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1700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1700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1700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1700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1700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1700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1700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1700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1700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1700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1700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1700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1700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1700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1700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1700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1700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1700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1700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1700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1700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1700</v>
      </c>
      <c r="B12466" t="s">
        <v>401</v>
      </c>
      <c r="C12466" t="s">
        <v>1717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1700</v>
      </c>
      <c r="B12467" t="s">
        <v>401</v>
      </c>
      <c r="C12467" t="s">
        <v>1718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1700</v>
      </c>
      <c r="B12468" t="s">
        <v>401</v>
      </c>
      <c r="C12468" t="s">
        <v>1719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1700</v>
      </c>
      <c r="B12469" t="s">
        <v>401</v>
      </c>
      <c r="C12469" t="s">
        <v>1720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1700</v>
      </c>
      <c r="B12470" t="s">
        <v>401</v>
      </c>
      <c r="C12470" t="s">
        <v>1721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1700</v>
      </c>
      <c r="B12471" t="s">
        <v>401</v>
      </c>
      <c r="C12471" t="s">
        <v>1722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1700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1700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1700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1700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1700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1700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1700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1700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1700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1700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1700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1700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1700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1700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1700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1700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1700</v>
      </c>
      <c r="B12488" t="s">
        <v>401</v>
      </c>
      <c r="C12488" t="s">
        <v>1723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1700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1700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1700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1700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1700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1700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1700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1700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1700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1700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1700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1700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1700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1700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1700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1700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1700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1700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1700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1700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1700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1700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1700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1700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1700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1700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1700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1700</v>
      </c>
      <c r="B12516" t="s">
        <v>401</v>
      </c>
      <c r="C12516" t="s">
        <v>1724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1700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1700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1700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1700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1700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1700</v>
      </c>
      <c r="B12522" t="s">
        <v>401</v>
      </c>
      <c r="C12522" t="s">
        <v>1725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1700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1700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1700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1700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1700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1700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1700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1700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1700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1700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1700</v>
      </c>
      <c r="B12533" t="s">
        <v>401</v>
      </c>
      <c r="C12533" t="s">
        <v>1726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1700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1700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1700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1700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1700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7"/>
  <sheetViews>
    <sheetView workbookViewId="0">
      <selection activeCell="E31" sqref="E31"/>
    </sheetView>
  </sheetViews>
  <sheetFormatPr defaultColWidth="11.40625" defaultRowHeight="14.75"/>
  <sheetData>
    <row r="1" spans="1:31">
      <c r="A1" t="s">
        <v>77</v>
      </c>
    </row>
    <row r="2" spans="1:31">
      <c r="A2" t="s">
        <v>78</v>
      </c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38</v>
      </c>
      <c r="B3">
        <v>10616</v>
      </c>
      <c r="C3">
        <v>10870</v>
      </c>
      <c r="D3">
        <v>11068</v>
      </c>
      <c r="E3">
        <v>11103</v>
      </c>
      <c r="F3">
        <v>11092</v>
      </c>
      <c r="G3">
        <v>11118</v>
      </c>
      <c r="H3">
        <v>11173</v>
      </c>
      <c r="I3">
        <v>11228</v>
      </c>
      <c r="J3">
        <v>11262</v>
      </c>
      <c r="K3">
        <v>11284</v>
      </c>
      <c r="L3">
        <v>11304</v>
      </c>
      <c r="M3">
        <v>11319</v>
      </c>
      <c r="N3">
        <v>11357</v>
      </c>
      <c r="O3">
        <v>11412</v>
      </c>
      <c r="P3">
        <v>11458</v>
      </c>
      <c r="Q3">
        <v>11483</v>
      </c>
      <c r="R3">
        <v>11511</v>
      </c>
      <c r="S3">
        <v>11538</v>
      </c>
      <c r="T3">
        <v>11559</v>
      </c>
      <c r="U3">
        <v>11581</v>
      </c>
      <c r="V3">
        <v>11602</v>
      </c>
      <c r="W3">
        <v>11623</v>
      </c>
      <c r="X3">
        <v>11640</v>
      </c>
      <c r="Y3">
        <v>11659</v>
      </c>
      <c r="Z3">
        <v>11681</v>
      </c>
      <c r="AA3">
        <v>11715</v>
      </c>
      <c r="AB3">
        <v>11758</v>
      </c>
      <c r="AC3">
        <v>11804</v>
      </c>
      <c r="AD3">
        <v>11849</v>
      </c>
      <c r="AE3">
        <v>11900</v>
      </c>
    </row>
    <row r="4" spans="1:31">
      <c r="A4" t="s">
        <v>39</v>
      </c>
      <c r="B4">
        <v>16680</v>
      </c>
      <c r="C4">
        <v>16680</v>
      </c>
      <c r="D4">
        <v>16680</v>
      </c>
      <c r="E4">
        <v>16680</v>
      </c>
      <c r="F4">
        <v>16680</v>
      </c>
      <c r="G4">
        <v>16680</v>
      </c>
      <c r="H4">
        <v>16680</v>
      </c>
      <c r="I4">
        <v>16680</v>
      </c>
      <c r="J4">
        <v>16680</v>
      </c>
      <c r="K4">
        <v>16680</v>
      </c>
      <c r="L4">
        <v>16680</v>
      </c>
      <c r="M4">
        <v>16680</v>
      </c>
      <c r="N4">
        <v>16680</v>
      </c>
      <c r="O4">
        <v>16680</v>
      </c>
      <c r="P4">
        <v>16680</v>
      </c>
      <c r="Q4">
        <v>16680</v>
      </c>
      <c r="R4">
        <v>16680</v>
      </c>
      <c r="S4">
        <v>16680</v>
      </c>
      <c r="T4">
        <v>16680</v>
      </c>
      <c r="U4">
        <v>16680</v>
      </c>
      <c r="V4">
        <v>16680</v>
      </c>
      <c r="W4">
        <v>16680</v>
      </c>
      <c r="X4">
        <v>16680</v>
      </c>
      <c r="Y4">
        <v>16680</v>
      </c>
      <c r="Z4">
        <v>16680</v>
      </c>
      <c r="AA4">
        <v>16680</v>
      </c>
      <c r="AB4">
        <v>16680</v>
      </c>
      <c r="AC4">
        <v>16680</v>
      </c>
      <c r="AD4">
        <v>16680</v>
      </c>
      <c r="AE4">
        <v>16680</v>
      </c>
    </row>
    <row r="5" spans="1:31">
      <c r="A5" t="s">
        <v>40</v>
      </c>
      <c r="B5">
        <v>1016608</v>
      </c>
      <c r="C5">
        <v>1016608</v>
      </c>
      <c r="D5">
        <v>1110041</v>
      </c>
      <c r="E5">
        <v>1162977</v>
      </c>
      <c r="F5">
        <v>1199530</v>
      </c>
      <c r="G5">
        <v>1213552</v>
      </c>
      <c r="H5">
        <v>1225958</v>
      </c>
      <c r="I5">
        <v>1237051</v>
      </c>
      <c r="J5">
        <v>1246843</v>
      </c>
      <c r="K5">
        <v>1255474</v>
      </c>
      <c r="L5">
        <v>1263531</v>
      </c>
      <c r="M5">
        <v>1271673</v>
      </c>
      <c r="N5">
        <v>1279629</v>
      </c>
      <c r="O5">
        <v>1287021</v>
      </c>
      <c r="P5">
        <v>1293964</v>
      </c>
      <c r="Q5">
        <v>1300742</v>
      </c>
      <c r="R5">
        <v>1307364</v>
      </c>
      <c r="S5">
        <v>1313712</v>
      </c>
      <c r="T5">
        <v>1319733</v>
      </c>
      <c r="U5">
        <v>1325852</v>
      </c>
      <c r="V5">
        <v>1331638</v>
      </c>
      <c r="W5">
        <v>1337197</v>
      </c>
      <c r="X5">
        <v>1342578</v>
      </c>
      <c r="Y5">
        <v>1347633</v>
      </c>
      <c r="Z5">
        <v>1352390</v>
      </c>
      <c r="AA5">
        <v>1356987</v>
      </c>
      <c r="AB5">
        <v>1361580</v>
      </c>
      <c r="AC5">
        <v>1366021</v>
      </c>
      <c r="AD5">
        <v>1370295</v>
      </c>
      <c r="AE5">
        <v>1374610</v>
      </c>
    </row>
    <row r="6" spans="1:31">
      <c r="A6" t="s">
        <v>41</v>
      </c>
      <c r="B6">
        <v>395569</v>
      </c>
      <c r="C6">
        <v>395569</v>
      </c>
      <c r="D6">
        <v>395569</v>
      </c>
      <c r="E6">
        <v>395569</v>
      </c>
      <c r="F6">
        <v>395569</v>
      </c>
      <c r="G6">
        <v>395569</v>
      </c>
      <c r="H6">
        <v>395569</v>
      </c>
      <c r="I6">
        <v>395569</v>
      </c>
      <c r="J6">
        <v>395569</v>
      </c>
      <c r="K6">
        <v>395569</v>
      </c>
      <c r="L6">
        <v>395569</v>
      </c>
      <c r="M6">
        <v>395569</v>
      </c>
      <c r="N6">
        <v>395569</v>
      </c>
      <c r="O6">
        <v>395569</v>
      </c>
      <c r="P6">
        <v>395569</v>
      </c>
      <c r="Q6">
        <v>395569</v>
      </c>
      <c r="R6">
        <v>395569</v>
      </c>
      <c r="S6">
        <v>395569</v>
      </c>
      <c r="T6">
        <v>395569</v>
      </c>
      <c r="U6">
        <v>395569</v>
      </c>
      <c r="V6">
        <v>395569</v>
      </c>
      <c r="W6">
        <v>395569</v>
      </c>
      <c r="X6">
        <v>395569</v>
      </c>
      <c r="Y6">
        <v>395569</v>
      </c>
      <c r="Z6">
        <v>395569</v>
      </c>
      <c r="AA6">
        <v>395569</v>
      </c>
      <c r="AB6">
        <v>395569</v>
      </c>
      <c r="AC6">
        <v>395569</v>
      </c>
      <c r="AD6">
        <v>395569</v>
      </c>
      <c r="AE6">
        <v>395569</v>
      </c>
    </row>
    <row r="7" spans="1:31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</row>
    <row r="8" spans="1:31">
      <c r="A8" t="s">
        <v>43</v>
      </c>
      <c r="B8">
        <v>2093</v>
      </c>
      <c r="C8">
        <v>2093</v>
      </c>
      <c r="D8">
        <v>2093</v>
      </c>
      <c r="E8">
        <v>2093</v>
      </c>
      <c r="F8">
        <v>2093</v>
      </c>
      <c r="G8">
        <v>2093</v>
      </c>
      <c r="H8">
        <v>2093</v>
      </c>
      <c r="I8">
        <v>2093</v>
      </c>
      <c r="J8">
        <v>2093</v>
      </c>
      <c r="K8">
        <v>2093</v>
      </c>
      <c r="L8">
        <v>2093</v>
      </c>
      <c r="M8">
        <v>2093</v>
      </c>
      <c r="N8">
        <v>2093</v>
      </c>
      <c r="O8">
        <v>2093</v>
      </c>
      <c r="P8">
        <v>2093</v>
      </c>
      <c r="Q8">
        <v>2093</v>
      </c>
      <c r="R8">
        <v>2093</v>
      </c>
      <c r="S8">
        <v>2093</v>
      </c>
      <c r="T8">
        <v>2093</v>
      </c>
      <c r="U8">
        <v>2093</v>
      </c>
      <c r="V8">
        <v>2093</v>
      </c>
      <c r="W8">
        <v>2093</v>
      </c>
      <c r="X8">
        <v>2093</v>
      </c>
      <c r="Y8">
        <v>2093</v>
      </c>
      <c r="Z8">
        <v>2093</v>
      </c>
      <c r="AA8">
        <v>2093</v>
      </c>
      <c r="AB8">
        <v>2093</v>
      </c>
      <c r="AC8">
        <v>2093</v>
      </c>
      <c r="AD8">
        <v>2093</v>
      </c>
      <c r="AE8">
        <v>2093</v>
      </c>
    </row>
    <row r="10" spans="1:31">
      <c r="A10" t="s">
        <v>79</v>
      </c>
    </row>
    <row r="11" spans="1:31">
      <c r="A11" t="s">
        <v>78</v>
      </c>
      <c r="B11">
        <v>2021</v>
      </c>
      <c r="C11">
        <v>2022</v>
      </c>
      <c r="D11">
        <v>2023</v>
      </c>
      <c r="E11">
        <v>2024</v>
      </c>
      <c r="F11">
        <v>2025</v>
      </c>
      <c r="G11">
        <v>2026</v>
      </c>
      <c r="H11">
        <v>2027</v>
      </c>
      <c r="I11">
        <v>2028</v>
      </c>
      <c r="J11">
        <v>2029</v>
      </c>
      <c r="K11">
        <v>2030</v>
      </c>
      <c r="L11">
        <v>2031</v>
      </c>
      <c r="M11">
        <v>2032</v>
      </c>
      <c r="N11">
        <v>2033</v>
      </c>
      <c r="O11">
        <v>2034</v>
      </c>
      <c r="P11">
        <v>2035</v>
      </c>
      <c r="Q11">
        <v>2036</v>
      </c>
      <c r="R11">
        <v>2037</v>
      </c>
      <c r="S11">
        <v>2038</v>
      </c>
      <c r="T11">
        <v>2039</v>
      </c>
      <c r="U11">
        <v>2040</v>
      </c>
      <c r="V11">
        <v>2041</v>
      </c>
      <c r="W11">
        <v>2042</v>
      </c>
      <c r="X11">
        <v>2043</v>
      </c>
      <c r="Y11">
        <v>2044</v>
      </c>
      <c r="Z11">
        <v>2045</v>
      </c>
      <c r="AA11">
        <v>2046</v>
      </c>
      <c r="AB11">
        <v>2047</v>
      </c>
      <c r="AC11">
        <v>2048</v>
      </c>
      <c r="AD11">
        <v>2049</v>
      </c>
      <c r="AE11">
        <v>2050</v>
      </c>
    </row>
    <row r="12" spans="1:31">
      <c r="A12" t="s">
        <v>38</v>
      </c>
      <c r="B12">
        <v>9581</v>
      </c>
      <c r="C12">
        <v>10233</v>
      </c>
      <c r="D12">
        <v>10156</v>
      </c>
      <c r="E12">
        <v>10051</v>
      </c>
      <c r="F12">
        <v>10004</v>
      </c>
      <c r="G12">
        <v>9997</v>
      </c>
      <c r="H12">
        <v>9982</v>
      </c>
      <c r="I12">
        <v>9964</v>
      </c>
      <c r="J12">
        <v>9944</v>
      </c>
      <c r="K12">
        <v>9929</v>
      </c>
      <c r="L12">
        <v>9937</v>
      </c>
      <c r="M12">
        <v>9974</v>
      </c>
      <c r="N12">
        <v>10010</v>
      </c>
      <c r="O12">
        <v>10052</v>
      </c>
      <c r="P12">
        <v>10102</v>
      </c>
      <c r="Q12">
        <v>10142</v>
      </c>
      <c r="R12">
        <v>10192</v>
      </c>
      <c r="S12">
        <v>10243</v>
      </c>
      <c r="T12">
        <v>10292</v>
      </c>
      <c r="U12">
        <v>10356</v>
      </c>
      <c r="V12">
        <v>10422</v>
      </c>
      <c r="W12">
        <v>10480</v>
      </c>
      <c r="X12">
        <v>10517</v>
      </c>
      <c r="Y12">
        <v>10539</v>
      </c>
      <c r="Z12">
        <v>10561</v>
      </c>
      <c r="AA12">
        <v>10604</v>
      </c>
      <c r="AB12">
        <v>10653</v>
      </c>
      <c r="AC12">
        <v>10690</v>
      </c>
      <c r="AD12">
        <v>10741</v>
      </c>
      <c r="AE12">
        <v>10830</v>
      </c>
    </row>
    <row r="13" spans="1:31">
      <c r="A13" t="s">
        <v>39</v>
      </c>
      <c r="B13">
        <v>33444</v>
      </c>
      <c r="C13">
        <v>35301</v>
      </c>
      <c r="D13">
        <v>34683</v>
      </c>
      <c r="E13">
        <v>34205</v>
      </c>
      <c r="F13">
        <v>33953</v>
      </c>
      <c r="G13">
        <v>33823</v>
      </c>
      <c r="H13">
        <v>33608</v>
      </c>
      <c r="I13">
        <v>33365</v>
      </c>
      <c r="J13">
        <v>33083</v>
      </c>
      <c r="K13">
        <v>32803</v>
      </c>
      <c r="L13">
        <v>32589</v>
      </c>
      <c r="M13">
        <v>32484</v>
      </c>
      <c r="N13">
        <v>32364</v>
      </c>
      <c r="O13">
        <v>32292</v>
      </c>
      <c r="P13">
        <v>32232</v>
      </c>
      <c r="Q13">
        <v>32101</v>
      </c>
      <c r="R13">
        <v>32009</v>
      </c>
      <c r="S13">
        <v>31925</v>
      </c>
      <c r="T13">
        <v>31871</v>
      </c>
      <c r="U13">
        <v>31871</v>
      </c>
      <c r="V13">
        <v>31942</v>
      </c>
      <c r="W13">
        <v>31958</v>
      </c>
      <c r="X13">
        <v>31919</v>
      </c>
      <c r="Y13">
        <v>31821</v>
      </c>
      <c r="Z13">
        <v>31696</v>
      </c>
      <c r="AA13">
        <v>31638</v>
      </c>
      <c r="AB13">
        <v>31611</v>
      </c>
      <c r="AC13">
        <v>31564</v>
      </c>
      <c r="AD13">
        <v>31573</v>
      </c>
      <c r="AE13">
        <v>31720</v>
      </c>
    </row>
    <row r="14" spans="1:31">
      <c r="A14" t="s">
        <v>40</v>
      </c>
      <c r="B14">
        <v>988086</v>
      </c>
      <c r="C14">
        <v>988086</v>
      </c>
      <c r="D14">
        <v>988086</v>
      </c>
      <c r="E14">
        <v>988086</v>
      </c>
      <c r="F14">
        <v>988086</v>
      </c>
      <c r="G14">
        <v>988086</v>
      </c>
      <c r="H14">
        <v>988086</v>
      </c>
      <c r="I14">
        <v>988086</v>
      </c>
      <c r="J14">
        <v>988086</v>
      </c>
      <c r="K14">
        <v>988086</v>
      </c>
      <c r="L14">
        <v>988086</v>
      </c>
      <c r="M14">
        <v>988086</v>
      </c>
      <c r="N14">
        <v>988086</v>
      </c>
      <c r="O14">
        <v>988086</v>
      </c>
      <c r="P14">
        <v>988086</v>
      </c>
      <c r="Q14">
        <v>988086</v>
      </c>
      <c r="R14">
        <v>988086</v>
      </c>
      <c r="S14">
        <v>988086</v>
      </c>
      <c r="T14">
        <v>988086</v>
      </c>
      <c r="U14">
        <v>988086</v>
      </c>
      <c r="V14">
        <v>988086</v>
      </c>
      <c r="W14">
        <v>988086</v>
      </c>
      <c r="X14">
        <v>988086</v>
      </c>
      <c r="Y14">
        <v>988086</v>
      </c>
      <c r="Z14">
        <v>988086</v>
      </c>
      <c r="AA14">
        <v>988086</v>
      </c>
      <c r="AB14">
        <v>988086</v>
      </c>
      <c r="AC14">
        <v>988086</v>
      </c>
      <c r="AD14">
        <v>988086</v>
      </c>
      <c r="AE14">
        <v>988086</v>
      </c>
    </row>
    <row r="15" spans="1:31">
      <c r="A15" t="s">
        <v>41</v>
      </c>
      <c r="B15">
        <v>18501</v>
      </c>
      <c r="C15">
        <v>18501</v>
      </c>
      <c r="D15">
        <v>18501</v>
      </c>
      <c r="E15">
        <v>18501</v>
      </c>
      <c r="F15">
        <v>18501</v>
      </c>
      <c r="G15">
        <v>18501</v>
      </c>
      <c r="H15">
        <v>18501</v>
      </c>
      <c r="I15">
        <v>18501</v>
      </c>
      <c r="J15">
        <v>18501</v>
      </c>
      <c r="K15">
        <v>18501</v>
      </c>
      <c r="L15">
        <v>18501</v>
      </c>
      <c r="M15">
        <v>18501</v>
      </c>
      <c r="N15">
        <v>18501</v>
      </c>
      <c r="O15">
        <v>18501</v>
      </c>
      <c r="P15">
        <v>18501</v>
      </c>
      <c r="Q15">
        <v>18501</v>
      </c>
      <c r="R15">
        <v>18501</v>
      </c>
      <c r="S15">
        <v>18501</v>
      </c>
      <c r="T15">
        <v>18501</v>
      </c>
      <c r="U15">
        <v>18501</v>
      </c>
      <c r="V15">
        <v>18501</v>
      </c>
      <c r="W15">
        <v>18501</v>
      </c>
      <c r="X15">
        <v>18501</v>
      </c>
      <c r="Y15">
        <v>18501</v>
      </c>
      <c r="Z15">
        <v>18501</v>
      </c>
      <c r="AA15">
        <v>18501</v>
      </c>
      <c r="AB15">
        <v>18501</v>
      </c>
      <c r="AC15">
        <v>18501</v>
      </c>
      <c r="AD15">
        <v>18501</v>
      </c>
      <c r="AE15">
        <v>18501</v>
      </c>
    </row>
    <row r="16" spans="1:31">
      <c r="A16" t="s">
        <v>42</v>
      </c>
      <c r="B16">
        <v>218680</v>
      </c>
      <c r="C16">
        <v>218680</v>
      </c>
      <c r="D16">
        <v>218680</v>
      </c>
      <c r="E16">
        <v>218680</v>
      </c>
      <c r="F16">
        <v>218680</v>
      </c>
      <c r="G16">
        <v>218680</v>
      </c>
      <c r="H16">
        <v>218680</v>
      </c>
      <c r="I16">
        <v>218680</v>
      </c>
      <c r="J16">
        <v>218680</v>
      </c>
      <c r="K16">
        <v>218680</v>
      </c>
      <c r="L16">
        <v>218680</v>
      </c>
      <c r="M16">
        <v>218680</v>
      </c>
      <c r="N16">
        <v>218680</v>
      </c>
      <c r="O16">
        <v>218680</v>
      </c>
      <c r="P16">
        <v>218680</v>
      </c>
      <c r="Q16">
        <v>218680</v>
      </c>
      <c r="R16">
        <v>218680</v>
      </c>
      <c r="S16">
        <v>218680</v>
      </c>
      <c r="T16">
        <v>218680</v>
      </c>
      <c r="U16">
        <v>218680</v>
      </c>
      <c r="V16">
        <v>218680</v>
      </c>
      <c r="W16">
        <v>218680</v>
      </c>
      <c r="X16">
        <v>218680</v>
      </c>
      <c r="Y16">
        <v>218680</v>
      </c>
      <c r="Z16">
        <v>218680</v>
      </c>
      <c r="AA16">
        <v>218680</v>
      </c>
      <c r="AB16">
        <v>218680</v>
      </c>
      <c r="AC16">
        <v>218680</v>
      </c>
      <c r="AD16">
        <v>218680</v>
      </c>
      <c r="AE16">
        <v>218680</v>
      </c>
    </row>
    <row r="17" spans="1:31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4.75"/>
  <cols>
    <col min="1" max="1" width="23.26953125" bestFit="1" customWidth="1"/>
  </cols>
  <sheetData>
    <row r="1" spans="1:2" ht="29.5">
      <c r="A1" s="5" t="s">
        <v>1731</v>
      </c>
      <c r="B1">
        <v>2021</v>
      </c>
    </row>
    <row r="2" spans="1:2">
      <c r="A2" t="s">
        <v>1732</v>
      </c>
      <c r="B2">
        <v>0</v>
      </c>
    </row>
    <row r="3" spans="1:2">
      <c r="A3" t="s">
        <v>1733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1734</v>
      </c>
      <c r="B6">
        <v>0</v>
      </c>
    </row>
    <row r="7" spans="1:2">
      <c r="A7" t="s">
        <v>1735</v>
      </c>
      <c r="B7">
        <v>0</v>
      </c>
    </row>
    <row r="8" spans="1:2">
      <c r="A8" t="s">
        <v>67</v>
      </c>
      <c r="B8">
        <v>0</v>
      </c>
    </row>
    <row r="9" spans="1:2">
      <c r="A9" t="s">
        <v>1736</v>
      </c>
      <c r="B9">
        <v>0.75</v>
      </c>
    </row>
    <row r="10" spans="1:2">
      <c r="A10" t="s">
        <v>1737</v>
      </c>
      <c r="B10">
        <v>0</v>
      </c>
    </row>
    <row r="11" spans="1:2">
      <c r="A11" t="s">
        <v>1738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workbookViewId="0">
      <selection activeCell="F1" sqref="F1"/>
    </sheetView>
  </sheetViews>
  <sheetFormatPr defaultColWidth="8.86328125" defaultRowHeight="14.75"/>
  <cols>
    <col min="2" max="4" width="16.7265625" customWidth="1"/>
    <col min="5" max="5" width="21.86328125" bestFit="1" customWidth="1"/>
    <col min="6" max="7" width="20.7265625" bestFit="1" customWidth="1"/>
    <col min="8" max="8" width="27.26953125" bestFit="1" customWidth="1"/>
    <col min="9" max="10" width="16.7265625" customWidth="1"/>
    <col min="11" max="11" width="22.726562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11923000000000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122570000000000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316422000000000</v>
      </c>
    </row>
    <row r="14" spans="1:7">
      <c r="B14" s="83" t="s">
        <v>286</v>
      </c>
      <c r="C14" t="s">
        <v>66</v>
      </c>
      <c r="D14" t="s">
        <v>1729</v>
      </c>
      <c r="E14" s="40">
        <f>SUMIFS(SEDS_use_all_btu!H:H,SEDS_use_all_btu!B:B,About!$B$2,SEDS_use_all_btu!C:C,$B14)*$D$5</f>
        <v>21000000000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255942166414809.84</v>
      </c>
      <c r="F21" s="26">
        <f t="shared" ref="F21" si="0">IFERROR(F101*F117*F132/F86,0)</f>
        <v>901177226099.86511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573398173386.31921</v>
      </c>
      <c r="F22" s="33">
        <f t="shared" si="1"/>
        <v>3755513190005.9126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7289154379552.709</v>
      </c>
    </row>
    <row r="24" spans="2:9">
      <c r="D24" s="21" t="s">
        <v>54</v>
      </c>
      <c r="E24" s="33">
        <f>IFERROR(E104*E120*E135/E89,0)</f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8409244065013.3506</v>
      </c>
      <c r="F25" s="93">
        <f t="shared" si="1"/>
        <v>1983061028177.3406</v>
      </c>
      <c r="G25" s="22"/>
    </row>
    <row r="26" spans="2:9">
      <c r="D26" s="23" t="s">
        <v>43</v>
      </c>
      <c r="E26" s="28">
        <f t="shared" si="1"/>
        <v>324220373740.67633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26177067209786.93</v>
      </c>
      <c r="F27" s="29">
        <f t="shared" si="1"/>
        <v>30034778791966.359</v>
      </c>
      <c r="G27" s="20"/>
    </row>
    <row r="28" spans="2:9">
      <c r="D28" s="21" t="s">
        <v>50</v>
      </c>
      <c r="E28" s="33">
        <f t="shared" si="1"/>
        <v>82791111370.711472</v>
      </c>
      <c r="F28" s="33">
        <f t="shared" si="1"/>
        <v>80632074345261.938</v>
      </c>
      <c r="G28" s="22"/>
    </row>
    <row r="29" spans="2:9">
      <c r="D29" s="21" t="s">
        <v>73</v>
      </c>
      <c r="E29" s="33"/>
      <c r="F29" s="33"/>
      <c r="G29" s="22">
        <f t="shared" si="1"/>
        <v>5723590080526.3105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5549619904370.0693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1256215813263.8047</v>
      </c>
      <c r="G31" s="24"/>
      <c r="H31" s="37"/>
      <c r="I31" s="37"/>
    </row>
    <row r="32" spans="2:9">
      <c r="D32" s="94" t="s">
        <v>1541</v>
      </c>
      <c r="E32" s="95">
        <f>SUM(E21:E31)</f>
        <v>291508887348107.81</v>
      </c>
      <c r="F32" s="95">
        <f t="shared" ref="F32:G32" si="2">SUM(F21:F31)</f>
        <v>124112440299145.28</v>
      </c>
      <c r="G32" s="95">
        <f t="shared" si="2"/>
        <v>13012744460079.02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0.87799095507223535</v>
      </c>
      <c r="F37" s="97">
        <f t="shared" ref="F37:G37" si="3">F21/F$32</f>
        <v>7.2609741934634344E-3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1.9670006585479878E-3</v>
      </c>
      <c r="F38" s="113">
        <f t="shared" ref="F38:G47" si="5">F22/F$32</f>
        <v>3.0258958577835452E-2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0.56015503892469776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2.8847299104714362E-2</v>
      </c>
      <c r="F41" s="37">
        <f t="shared" si="5"/>
        <v>1.5977939225089891E-2</v>
      </c>
      <c r="G41" s="99">
        <f t="shared" si="5"/>
        <v>0</v>
      </c>
    </row>
    <row r="42" spans="3:41">
      <c r="D42" s="23" t="s">
        <v>43</v>
      </c>
      <c r="E42" s="116">
        <f t="shared" si="4"/>
        <v>1.1122143708555473E-3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8.9798521917883636E-2</v>
      </c>
      <c r="F43" s="97">
        <f t="shared" si="5"/>
        <v>0.24199652121555457</v>
      </c>
      <c r="G43" s="98">
        <f t="shared" si="5"/>
        <v>0</v>
      </c>
    </row>
    <row r="44" spans="3:41">
      <c r="D44" s="21" t="s">
        <v>50</v>
      </c>
      <c r="E44" s="37">
        <f t="shared" si="4"/>
        <v>2.8400887576317962E-4</v>
      </c>
      <c r="F44" s="113">
        <f t="shared" si="5"/>
        <v>0.64966955891703004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0.43984496107530219</v>
      </c>
    </row>
    <row r="46" spans="3:41">
      <c r="D46" s="21" t="s">
        <v>55</v>
      </c>
      <c r="E46" s="37">
        <f t="shared" si="4"/>
        <v>0</v>
      </c>
      <c r="F46" s="113">
        <f t="shared" si="5"/>
        <v>4.4714453208670714E-2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1.0121594662355985E-2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1.0000000000000002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277815653985866.84</v>
      </c>
      <c r="F53" s="92">
        <f>F37*$E$12</f>
        <v>889977606892.81311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622402282379.07141</v>
      </c>
      <c r="F54" s="103">
        <f t="shared" ref="F54:F62" si="8">F38*$E$12</f>
        <v>3708840552885.2915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6678728529099.1709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9127920077311.9277</v>
      </c>
      <c r="F57" s="103">
        <f t="shared" si="8"/>
        <v>1958416010819.2681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351929095654.854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28414227902300.574</v>
      </c>
      <c r="F59" s="92">
        <f t="shared" si="8"/>
        <v>29661513605390.523</v>
      </c>
      <c r="G59" s="102">
        <f t="shared" si="9"/>
        <v>0</v>
      </c>
    </row>
    <row r="60" spans="3:41">
      <c r="D60" s="21" t="s">
        <v>50</v>
      </c>
      <c r="E60" s="103">
        <f t="shared" si="7"/>
        <v>89866656486.736816</v>
      </c>
      <c r="F60" s="103">
        <f t="shared" si="8"/>
        <v>79629997836460.375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5244271470900.8281</v>
      </c>
    </row>
    <row r="62" spans="3:41">
      <c r="D62" s="21" t="s">
        <v>55</v>
      </c>
      <c r="E62" s="103">
        <f t="shared" si="7"/>
        <v>0</v>
      </c>
      <c r="F62" s="103">
        <f t="shared" si="8"/>
        <v>5480650529786.7695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38">
        <f>F47*$E$12+E14</f>
        <v>1261603857764.9731</v>
      </c>
      <c r="G63" s="106">
        <f t="shared" si="9"/>
        <v>0</v>
      </c>
      <c r="H63" t="s">
        <v>1730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11523.271151553809</v>
      </c>
      <c r="F69" s="107">
        <f t="shared" si="10"/>
        <v>10484.066841839067</v>
      </c>
      <c r="G69" s="108">
        <f t="shared" si="10"/>
        <v>0</v>
      </c>
    </row>
    <row r="70" spans="2:41">
      <c r="D70" s="21" t="s">
        <v>51</v>
      </c>
      <c r="E70" s="78">
        <f t="shared" si="10"/>
        <v>18105.516466457946</v>
      </c>
      <c r="F70" s="120">
        <f t="shared" si="10"/>
        <v>16472.704872068163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931472.77433944121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210.57974787127344</v>
      </c>
      <c r="F73" s="78">
        <f t="shared" si="10"/>
        <v>191.58901350007341</v>
      </c>
      <c r="G73" s="109">
        <f t="shared" si="10"/>
        <v>0</v>
      </c>
    </row>
    <row r="74" spans="2:41">
      <c r="D74" s="23" t="s">
        <v>43</v>
      </c>
      <c r="E74" s="122">
        <f t="shared" si="10"/>
        <v>2271.8732592503884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10399.817342034386</v>
      </c>
      <c r="F75" s="107">
        <f t="shared" si="10"/>
        <v>9461.9295790938322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36302.211792818911</v>
      </c>
      <c r="F76" s="120">
        <f t="shared" si="10"/>
        <v>33028.365811837401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905339.33207879646</v>
      </c>
    </row>
    <row r="78" spans="2:41">
      <c r="D78" s="21" t="s">
        <v>55</v>
      </c>
      <c r="E78" s="78">
        <f t="shared" si="10"/>
        <v>0</v>
      </c>
      <c r="F78" s="120">
        <f t="shared" si="10"/>
        <v>18271.073911159059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50718.106355773212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2" t="s">
        <v>38</v>
      </c>
      <c r="D86" s="19" t="s">
        <v>52</v>
      </c>
      <c r="E86" s="26">
        <f>SUMIFS('all_csv_SYFAFE-psgr'!E:E,'all_csv_SYFAFE-psgr'!$B:$B,$C86,'all_csv_SYFAFE-psgr'!$J:$J,About!$B$2)</f>
        <v>3.1903543133530001E-4</v>
      </c>
      <c r="F86" s="26">
        <f>SUMIFS('all_csv_SYFAFE-psgr'!F:F,'all_csv_SYFAFE-psgr'!$B:$B,$C86,'all_csv_SYFAFE-psgr'!$J:$J,About!$B$2)</f>
        <v>3.8594187567879998E-4</v>
      </c>
      <c r="G86" s="20"/>
    </row>
    <row r="87" spans="2:7">
      <c r="C87" s="132" t="s">
        <v>39</v>
      </c>
      <c r="D87" s="21" t="s">
        <v>51</v>
      </c>
      <c r="E87" s="27">
        <f>SUMIFS('all_csv_SYFAFE-psgr'!E:E,'all_csv_SYFAFE-psgr'!$B:$B,$C87,'all_csv_SYFAFE-psgr'!$J:$J,About!$B$2)</f>
        <v>9.1563612345909999E-4</v>
      </c>
      <c r="F87" s="27">
        <f>SUMIFS('all_csv_SYFAFE-psgr'!F:F,'all_csv_SYFAFE-psgr'!$B:$B,$C87,'all_csv_SYFAFE-psgr'!$J:$J,About!$B$2)</f>
        <v>1.0581562199093999E-3</v>
      </c>
      <c r="G87" s="22"/>
    </row>
    <row r="88" spans="2:7">
      <c r="C88" s="132" t="s">
        <v>40</v>
      </c>
      <c r="D88" s="21" t="s">
        <v>72</v>
      </c>
      <c r="E88" s="27">
        <f>SUMIFS('all_csv_SYFAFE-psgr'!E:E,'all_csv_SYFAFE-psgr'!$B:$B,$C88,'all_csv_SYFAFE-psgr'!$J:$J,About!$B$2)</f>
        <v>5.1268752410850004E-4</v>
      </c>
      <c r="F88" s="27">
        <f>SUMIFS('all_csv_SYFAFE-psgr'!F:F,'all_csv_SYFAFE-psgr'!$B:$B,$C88,'all_csv_SYFAFE-psgr'!$J:$J,About!$B$2)</f>
        <v>5.1268752410850004E-4</v>
      </c>
      <c r="G88" s="22">
        <f>F88</f>
        <v>5.1268752410850004E-4</v>
      </c>
    </row>
    <row r="89" spans="2:7">
      <c r="C89" s="132" t="s">
        <v>41</v>
      </c>
      <c r="D89" s="21" t="s">
        <v>54</v>
      </c>
      <c r="E89" s="27">
        <f>SUMIFS('all_csv_SYFAFE-psgr'!E:E,'all_csv_SYFAFE-psgr'!$B:$B,$C89,'all_csv_SYFAFE-psgr'!$J:$J,About!$B$2)</f>
        <v>7.1745362435244995E-5</v>
      </c>
      <c r="F89" s="27">
        <f>SUMIFS('all_csv_SYFAFE-psgr'!F:F,'all_csv_SYFAFE-psgr'!$B:$B,$C89,'all_csv_SYFAFE-psgr'!$J:$J,About!$B$2)</f>
        <v>7.1745362435244995E-5</v>
      </c>
      <c r="G89" s="22"/>
    </row>
    <row r="90" spans="2:7">
      <c r="C90" s="132" t="s">
        <v>42</v>
      </c>
      <c r="D90" s="21" t="s">
        <v>53</v>
      </c>
      <c r="E90" s="27">
        <f>SUMIFS('all_csv_SYFAFE-psgr'!E:E,'all_csv_SYFAFE-psgr'!$B:$B,$C90,'all_csv_SYFAFE-psgr'!$J:$J,About!$B$2)</f>
        <v>1.25945463327246E-5</v>
      </c>
      <c r="F90" s="27">
        <f>SUMIFS('all_csv_SYFAFE-psgr'!F:F,'all_csv_SYFAFE-psgr'!$B:$B,$C90,'all_csv_SYFAFE-psgr'!$J:$J,About!$B$2)</f>
        <v>1.25945463327246E-5</v>
      </c>
      <c r="G90" s="22"/>
    </row>
    <row r="91" spans="2:7">
      <c r="C91" s="132" t="s">
        <v>43</v>
      </c>
      <c r="D91" s="23" t="s">
        <v>43</v>
      </c>
      <c r="E91" s="28">
        <f>SUMIFS('all_csv_SYFAFE-psgr'!E:E,'all_csv_SYFAFE-psgr'!$B:$B,$C91,'all_csv_SYFAFE-psgr'!$J:$J,About!$B$2)</f>
        <v>1.4345302324303001E-3</v>
      </c>
      <c r="F91" s="28">
        <f>SUMIFS('all_csv_SYFAFE-psgr'!F:F,'all_csv_SYFAFE-psgr'!$B:$B,$C91,'all_csv_SYFAFE-psgr'!$J:$J,About!$B$2)</f>
        <v>1.4345302324303001E-3</v>
      </c>
      <c r="G91" s="24"/>
    </row>
    <row r="92" spans="2:7">
      <c r="C92" s="132" t="s">
        <v>38</v>
      </c>
      <c r="D92" s="19" t="s">
        <v>49</v>
      </c>
      <c r="E92" s="29">
        <f>SUMIFS('all_csv_SYFAFE-frgt'!E:E,'all_csv_SYFAFE-frgt'!$B:$B,$C92,'all_csv_SYFAFE-frgt'!$J:$J,About!$B$2)</f>
        <v>9.6215656200719996E-5</v>
      </c>
      <c r="F92" s="29">
        <f>SUMIFS('all_csv_SYFAFE-frgt'!F:F,'all_csv_SYFAFE-frgt'!$B:$B,$C92,'all_csv_SYFAFE-frgt'!$J:$J,About!$B$2)</f>
        <v>6.8445241372973406E-5</v>
      </c>
      <c r="G92" s="20"/>
    </row>
    <row r="93" spans="2:7">
      <c r="C93" s="132" t="s">
        <v>39</v>
      </c>
      <c r="D93" s="21" t="s">
        <v>50</v>
      </c>
      <c r="E93" s="93">
        <f>SUMIFS('all_csv_SYFAFE-frgt'!E:E,'all_csv_SYFAFE-frgt'!$B:$B,$C93,'all_csv_SYFAFE-frgt'!$J:$J,About!$B$2)</f>
        <v>6.5279355603770003E-3</v>
      </c>
      <c r="F93" s="93">
        <f>SUMIFS('all_csv_SYFAFE-frgt'!F:F,'all_csv_SYFAFE-frgt'!$B:$B,$C93,'all_csv_SYFAFE-frgt'!$J:$J,About!$B$2)</f>
        <v>6.9342066672610004E-4</v>
      </c>
      <c r="G93" s="22"/>
    </row>
    <row r="94" spans="2:7">
      <c r="C94" s="132" t="s">
        <v>40</v>
      </c>
      <c r="D94" s="21" t="s">
        <v>73</v>
      </c>
      <c r="E94" s="93">
        <f>SUMIFS('all_csv_SYFAFE-frgt'!E:E,'all_csv_SYFAFE-frgt'!$B:$B,$C94,'all_csv_SYFAFE-frgt'!$J:$J,About!$B$2)</f>
        <v>4.34924834444919E-5</v>
      </c>
      <c r="F94" s="93">
        <f>SUMIFS('all_csv_SYFAFE-frgt'!F:F,'all_csv_SYFAFE-frgt'!$B:$B,$C94,'all_csv_SYFAFE-frgt'!$J:$J,About!$B$2)</f>
        <v>4.34924834444919E-5</v>
      </c>
      <c r="G94" s="22">
        <f>F94</f>
        <v>4.34924834444919E-5</v>
      </c>
    </row>
    <row r="95" spans="2:7">
      <c r="C95" s="132" t="s">
        <v>41</v>
      </c>
      <c r="D95" s="21" t="s">
        <v>55</v>
      </c>
      <c r="E95" s="93">
        <f>SUMIFS('all_csv_SYFAFE-frgt'!E:E,'all_csv_SYFAFE-frgt'!$B:$B,$C95,'all_csv_SYFAFE-frgt'!$J:$J,About!$B$2)</f>
        <v>3.4893709999999998E-3</v>
      </c>
      <c r="F95" s="93">
        <f>SUMIFS('all_csv_SYFAFE-frgt'!F:F,'all_csv_SYFAFE-frgt'!$B:$B,$C95,'all_csv_SYFAFE-frgt'!$J:$J,About!$B$2)</f>
        <v>3.4893709999999998E-3</v>
      </c>
      <c r="G95" s="22"/>
    </row>
    <row r="96" spans="2:7">
      <c r="C96" s="132" t="s">
        <v>42</v>
      </c>
      <c r="D96" s="23" t="s">
        <v>56</v>
      </c>
      <c r="E96" s="133">
        <f>SUMIFS('all_csv_SYFAFE-frgt'!E:E,'all_csv_SYFAFE-frgt'!$B:$B,$C96,'all_csv_SYFAFE-frgt'!$J:$J,About!$B$2)</f>
        <v>4.8419600000000002E-3</v>
      </c>
      <c r="F96" s="133">
        <f>SUMIFS('all_csv_SYFAFE-frgt'!F:F,'all_csv_SYFAFE-frgt'!$B:$B,$C96,'all_csv_SYFAFE-frgt'!$J:$J,About!$B$2)</f>
        <v>4.8419600000000002E-3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4605782</v>
      </c>
      <c r="F101" s="76">
        <f>SUMIFS('all_csv_SYVbT-passenger'!F:F,'all_csv_SYVbT-passenger'!$B:$B,$D101,'all_csv_SYVbT-passenger'!$J:$J,About!$B$2)</f>
        <v>19618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1485</v>
      </c>
      <c r="F102" s="78">
        <f>SUMIFS('all_csv_SYVbT-passenger'!F:F,'all_csv_SYVbT-passenger'!$B:$B,$D102,'all_csv_SYVbT-passenger'!$J:$J,About!$B$2)</f>
        <v>11240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33</v>
      </c>
      <c r="G103" s="79">
        <f>F103</f>
        <v>33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545931</v>
      </c>
      <c r="F105" s="78">
        <f>SUMIFS('all_csv_SYVbT-passenger'!F:F,'all_csv_SYVbT-passenger'!$B:$B,$D105,'all_csv_SYVbT-passenger'!$J:$J,About!$B$2)</f>
        <v>128741</v>
      </c>
      <c r="G105" s="79"/>
    </row>
    <row r="106" spans="3:7" ht="15.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174965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262879</v>
      </c>
      <c r="F107" s="76">
        <f>SUMIFS('all_csv_SYVbT-freight'!F:F,'all_csv_SYVbT-freight'!$B:$B,$D107,'all_csv_SYVbT-freight'!$J:$J,About!$B$2)</f>
        <v>214564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1010</v>
      </c>
      <c r="F108" s="78">
        <f>SUMIFS('all_csv_SYVbT-freight'!F:F,'all_csv_SYVbT-freight'!$B:$B,$D108,'all_csv_SYVbT-freight'!$J:$J,About!$B$2)</f>
        <v>104488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6</v>
      </c>
      <c r="G109" s="79">
        <f>F109</f>
        <v>6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298</v>
      </c>
      <c r="G110" s="79"/>
    </row>
    <row r="111" spans="3:7" ht="15.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61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34">
        <f>SUMIFS('all_csv_AVLo-passengers'!$C:$C,'all_csv_AVLo-passengers'!$B:$B,$C118,'all_csv_AVLo-passengers'!$D:$D,About!$B$2)</f>
        <v>21.196137259</v>
      </c>
      <c r="F118" s="134">
        <f t="shared" ref="F118:G122" si="11">E118</f>
        <v>21.196137259</v>
      </c>
      <c r="G118" s="88">
        <f t="shared" si="11"/>
        <v>21.196137259</v>
      </c>
    </row>
    <row r="119" spans="3:7">
      <c r="C119" t="s">
        <v>40</v>
      </c>
      <c r="D119" s="87" t="s">
        <v>40</v>
      </c>
      <c r="E119" s="134">
        <f>SUMIFS('all_csv_AVLo-passengers'!$C:$C,'all_csv_AVLo-passengers'!$B:$B,$C119,'all_csv_AVLo-passengers'!$D:$D,About!$B$2)</f>
        <v>111.394163064</v>
      </c>
      <c r="F119" s="134">
        <f t="shared" si="11"/>
        <v>111.394163064</v>
      </c>
      <c r="G119" s="88">
        <f t="shared" si="11"/>
        <v>111.394163064</v>
      </c>
    </row>
    <row r="120" spans="3:7">
      <c r="C120" t="s">
        <v>41</v>
      </c>
      <c r="D120" s="87" t="s">
        <v>54</v>
      </c>
      <c r="E120" s="134">
        <f>SUMIFS('all_csv_AVLo-passengers'!$C:$C,'all_csv_AVLo-passengers'!$B:$B,$C120,'all_csv_AVLo-passengers'!$D:$D,About!$B$2)</f>
        <v>15.34784043</v>
      </c>
      <c r="F120" s="134">
        <f t="shared" si="11"/>
        <v>15.34784043</v>
      </c>
      <c r="G120" s="88">
        <f t="shared" si="11"/>
        <v>15.34784043</v>
      </c>
    </row>
    <row r="121" spans="3:7">
      <c r="C121" t="s">
        <v>42</v>
      </c>
      <c r="D121" s="87" t="s">
        <v>53</v>
      </c>
      <c r="E121" s="134">
        <f>SUMIFS('all_csv_AVLo-passengers'!$C:$C,'all_csv_AVLo-passengers'!$B:$B,$C121,'all_csv_AVLo-passengers'!$D:$D,About!$B$2)</f>
        <v>1</v>
      </c>
      <c r="F121" s="134">
        <f t="shared" si="11"/>
        <v>1</v>
      </c>
      <c r="G121" s="88">
        <f t="shared" si="11"/>
        <v>1</v>
      </c>
    </row>
    <row r="122" spans="3:7">
      <c r="C122" t="s">
        <v>43</v>
      </c>
      <c r="D122" s="136" t="s">
        <v>43</v>
      </c>
      <c r="E122" s="135">
        <f>SUMIFS('all_csv_AVLo-passengers'!$C:$C,'all_csv_AVLo-passengers'!$B:$B,$C122,'all_csv_AVLo-passengers'!$D:$D,About!$B$2)</f>
        <v>1.2700756740000001</v>
      </c>
      <c r="F122" s="135">
        <f t="shared" si="11"/>
        <v>1.2700756740000001</v>
      </c>
      <c r="G122" s="137">
        <f t="shared" si="11"/>
        <v>1.2700756740000001</v>
      </c>
    </row>
    <row r="123" spans="3:7">
      <c r="C123" t="s">
        <v>38</v>
      </c>
      <c r="D123" s="87" t="s">
        <v>49</v>
      </c>
      <c r="E123" s="134">
        <f>SUMIFS('all_csv_AVLo-freight'!$C:$C,'all_csv_AVLo-freight'!$B:$B,$C123,'all_csv_AVLo-freight'!$D:$D,About!$B$2)</f>
        <v>1</v>
      </c>
      <c r="F123" s="134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34">
        <f>SUMIFS('all_csv_AVLo-freight'!$C:$C,'all_csv_AVLo-freight'!$B:$B,$C124,'all_csv_AVLo-freight'!$D:$D,About!$B$2)</f>
        <v>16</v>
      </c>
      <c r="F124" s="134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34">
        <f>SUMIFS('all_csv_AVLo-freight'!$C:$C,'all_csv_AVLo-freight'!$B:$B,$C125,'all_csv_AVLo-freight'!$D:$D,About!$B$2)</f>
        <v>41.989116133000003</v>
      </c>
      <c r="F125" s="134">
        <f t="shared" ref="F125:G125" si="14">E125</f>
        <v>41.989116133000003</v>
      </c>
      <c r="G125" s="88">
        <f t="shared" si="14"/>
        <v>41.989116133000003</v>
      </c>
    </row>
    <row r="126" spans="3:7">
      <c r="C126" t="s">
        <v>41</v>
      </c>
      <c r="D126" s="87" t="s">
        <v>55</v>
      </c>
      <c r="E126" s="134">
        <f>SUMIFS('all_csv_AVLo-freight'!$C:$C,'all_csv_AVLo-freight'!$B:$B,$C126,'all_csv_AVLo-freight'!$D:$D,About!$B$2)</f>
        <v>3512.359164212</v>
      </c>
      <c r="F126" s="134">
        <f t="shared" ref="F126:G126" si="15">E126</f>
        <v>3512.359164212</v>
      </c>
      <c r="G126" s="88">
        <f t="shared" si="15"/>
        <v>3512.359164212</v>
      </c>
    </row>
    <row r="127" spans="3:7" ht="15.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1974.4736422179999</v>
      </c>
      <c r="F127" s="90">
        <f t="shared" ref="F127:G127" si="16">E127</f>
        <v>1974.4736422179999</v>
      </c>
      <c r="G127" s="91">
        <f t="shared" si="16"/>
        <v>1974.4736422179999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10616</v>
      </c>
      <c r="F132" s="76">
        <f>E132</f>
        <v>10616</v>
      </c>
      <c r="G132" s="77">
        <f>F132</f>
        <v>10616</v>
      </c>
    </row>
    <row r="133" spans="3:9">
      <c r="D133" s="38" t="s">
        <v>51</v>
      </c>
      <c r="E133" s="78">
        <f>'BAADTBVT-USA'!B4</f>
        <v>16680</v>
      </c>
      <c r="F133" s="78">
        <f t="shared" ref="F133:G142" si="17">E133</f>
        <v>16680</v>
      </c>
      <c r="G133" s="79">
        <f t="shared" si="17"/>
        <v>16680</v>
      </c>
    </row>
    <row r="134" spans="3:9">
      <c r="D134" s="38" t="s">
        <v>72</v>
      </c>
      <c r="E134" s="78">
        <f>'BAADTBVT-USA'!B5</f>
        <v>1016608</v>
      </c>
      <c r="F134" s="78">
        <f t="shared" si="17"/>
        <v>1016608</v>
      </c>
      <c r="G134" s="79">
        <f t="shared" si="17"/>
        <v>1016608</v>
      </c>
    </row>
    <row r="135" spans="3:9">
      <c r="D135" s="38" t="s">
        <v>54</v>
      </c>
      <c r="E135" s="78">
        <v>0</v>
      </c>
      <c r="F135" s="78">
        <f>'BAADTBVT-USA'!B6</f>
        <v>395569</v>
      </c>
      <c r="G135" s="79"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5" thickBot="1">
      <c r="D137" s="36" t="s">
        <v>43</v>
      </c>
      <c r="E137" s="80">
        <f>'BAADTBVT-USA'!B8</f>
        <v>2093</v>
      </c>
      <c r="F137" s="80">
        <f t="shared" si="17"/>
        <v>2093</v>
      </c>
      <c r="G137" s="81">
        <f t="shared" si="17"/>
        <v>2093</v>
      </c>
    </row>
    <row r="138" spans="3:9">
      <c r="D138" s="39" t="s">
        <v>49</v>
      </c>
      <c r="E138" s="76">
        <f>'BAADTBVT-USA'!B12</f>
        <v>9581</v>
      </c>
      <c r="F138" s="76">
        <f t="shared" si="17"/>
        <v>9581</v>
      </c>
      <c r="G138" s="77">
        <f t="shared" si="17"/>
        <v>9581</v>
      </c>
    </row>
    <row r="139" spans="3:9">
      <c r="D139" s="38" t="s">
        <v>50</v>
      </c>
      <c r="E139" s="78">
        <f>'BAADTBVT-USA'!B13</f>
        <v>33444</v>
      </c>
      <c r="F139" s="78">
        <f t="shared" si="17"/>
        <v>33444</v>
      </c>
      <c r="G139" s="79">
        <f t="shared" si="17"/>
        <v>33444</v>
      </c>
    </row>
    <row r="140" spans="3:9">
      <c r="D140" s="38" t="s">
        <v>73</v>
      </c>
      <c r="E140" s="78">
        <f>'BAADTBVT-USA'!B14</f>
        <v>988086</v>
      </c>
      <c r="F140" s="78">
        <f t="shared" si="17"/>
        <v>988086</v>
      </c>
      <c r="G140" s="79">
        <f t="shared" si="17"/>
        <v>988086</v>
      </c>
      <c r="H140" s="34"/>
      <c r="I140" s="34"/>
    </row>
    <row r="141" spans="3:9">
      <c r="D141" s="38" t="s">
        <v>55</v>
      </c>
      <c r="E141" s="78">
        <f>'BAADTBVT-USA'!B15</f>
        <v>18501</v>
      </c>
      <c r="F141" s="78">
        <f t="shared" si="17"/>
        <v>18501</v>
      </c>
      <c r="G141" s="79">
        <f t="shared" si="17"/>
        <v>18501</v>
      </c>
    </row>
    <row r="142" spans="3:9" ht="15.5" thickBot="1">
      <c r="D142" s="36" t="s">
        <v>56</v>
      </c>
      <c r="E142" s="80">
        <f>'BAADTBVT-USA'!B16</f>
        <v>218680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277815653985866.84</v>
      </c>
      <c r="F149" s="26">
        <f t="shared" si="18"/>
        <v>889977606892.81323</v>
      </c>
      <c r="G149" s="20"/>
    </row>
    <row r="150" spans="2:7">
      <c r="D150" s="21" t="s">
        <v>51</v>
      </c>
      <c r="E150" s="33">
        <f t="shared" si="18"/>
        <v>622402282379.07141</v>
      </c>
      <c r="F150" s="33">
        <f t="shared" si="18"/>
        <v>3708840552885.291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6678728529099.1719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9127920077311.9277</v>
      </c>
      <c r="F153" s="93">
        <f t="shared" si="18"/>
        <v>1958416010819.2681</v>
      </c>
      <c r="G153" s="22"/>
    </row>
    <row r="154" spans="2:7">
      <c r="D154" s="23" t="s">
        <v>43</v>
      </c>
      <c r="E154" s="28">
        <f t="shared" si="18"/>
        <v>351929095654.85394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28414227902300.574</v>
      </c>
      <c r="F155" s="29">
        <f t="shared" si="18"/>
        <v>29661513605390.523</v>
      </c>
      <c r="G155" s="20"/>
    </row>
    <row r="156" spans="2:7">
      <c r="D156" s="21" t="s">
        <v>50</v>
      </c>
      <c r="E156" s="33">
        <f t="shared" si="18"/>
        <v>89866656486.736816</v>
      </c>
      <c r="F156" s="33">
        <f t="shared" si="18"/>
        <v>79629997836460.375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5244271470900.8281</v>
      </c>
    </row>
    <row r="158" spans="2:7">
      <c r="D158" s="21" t="s">
        <v>55</v>
      </c>
      <c r="E158" s="33">
        <f t="shared" si="18"/>
        <v>0</v>
      </c>
      <c r="F158" s="33">
        <f t="shared" si="18"/>
        <v>5480650529786.7676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1261603857764.9731</v>
      </c>
      <c r="G159" s="24"/>
    </row>
    <row r="160" spans="2:7">
      <c r="D160" s="94" t="s">
        <v>1548</v>
      </c>
      <c r="E160" s="95">
        <f>SUM(E149:E159)</f>
        <v>316422000000000</v>
      </c>
      <c r="F160" s="95">
        <f>SUM(F149:F159)</f>
        <v>122591000000000.02</v>
      </c>
      <c r="G160" s="95">
        <f t="shared" ref="G160" si="19">SUM(G149:G159)</f>
        <v>11923000000000</v>
      </c>
    </row>
    <row r="161" spans="5:7">
      <c r="E161" s="37">
        <f>E160/E13</f>
        <v>1</v>
      </c>
      <c r="F161" s="37">
        <f>F160/SUM(E12,E14)</f>
        <v>1.0000000000000002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A788F-B5AA-4B09-865C-8F40DE1FE0DD}">
  <dimension ref="A1:AX71"/>
  <sheetViews>
    <sheetView workbookViewId="0">
      <selection activeCell="N71" sqref="N71"/>
    </sheetView>
  </sheetViews>
  <sheetFormatPr defaultRowHeight="14.75"/>
  <cols>
    <col min="14" max="14" width="9.1328125" style="153"/>
    <col min="15" max="23" width="0" hidden="1" customWidth="1"/>
    <col min="24" max="24" width="11.40625" style="153" customWidth="1"/>
    <col min="25" max="45" width="0" hidden="1" customWidth="1"/>
    <col min="46" max="46" width="13.54296875" style="153" customWidth="1"/>
  </cols>
  <sheetData>
    <row r="1" spans="1:50" ht="64.2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41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42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43" t="s">
        <v>1577</v>
      </c>
      <c r="AD1" s="144" t="s">
        <v>1578</v>
      </c>
      <c r="AE1" s="143" t="s">
        <v>1579</v>
      </c>
      <c r="AF1" s="144" t="s">
        <v>1580</v>
      </c>
      <c r="AG1" s="143" t="s">
        <v>1581</v>
      </c>
      <c r="AH1" s="144" t="s">
        <v>1582</v>
      </c>
      <c r="AI1" s="143" t="s">
        <v>1583</v>
      </c>
      <c r="AJ1" s="144" t="s">
        <v>1584</v>
      </c>
      <c r="AK1" s="143" t="s">
        <v>1585</v>
      </c>
      <c r="AL1" s="144" t="s">
        <v>1586</v>
      </c>
      <c r="AM1" s="143" t="s">
        <v>1587</v>
      </c>
      <c r="AN1" s="144" t="s">
        <v>1588</v>
      </c>
      <c r="AO1" s="143" t="s">
        <v>1589</v>
      </c>
      <c r="AP1" s="144" t="s">
        <v>1590</v>
      </c>
      <c r="AQ1" s="143" t="s">
        <v>1591</v>
      </c>
      <c r="AR1" s="144" t="s">
        <v>1592</v>
      </c>
      <c r="AS1" s="143" t="s">
        <v>1593</v>
      </c>
      <c r="AT1" s="145" t="s">
        <v>1594</v>
      </c>
      <c r="AU1" s="124" t="s">
        <v>1595</v>
      </c>
      <c r="AV1" s="125" t="s">
        <v>1596</v>
      </c>
      <c r="AW1" s="124" t="s">
        <v>1597</v>
      </c>
      <c r="AX1" s="123" t="s">
        <v>1598</v>
      </c>
    </row>
    <row r="2" spans="1:50">
      <c r="A2" s="126" t="s">
        <v>1599</v>
      </c>
      <c r="B2" s="126" t="s">
        <v>1697</v>
      </c>
      <c r="C2" s="126" t="s">
        <v>381</v>
      </c>
      <c r="D2" s="127">
        <v>2008</v>
      </c>
      <c r="E2" s="128">
        <v>20008</v>
      </c>
      <c r="F2" s="126" t="s">
        <v>1600</v>
      </c>
      <c r="G2" s="126" t="s">
        <v>1601</v>
      </c>
      <c r="H2" s="146">
        <v>18351295</v>
      </c>
      <c r="I2" s="147">
        <v>10427</v>
      </c>
      <c r="J2" s="126" t="s">
        <v>1604</v>
      </c>
      <c r="K2" s="126" t="s">
        <v>1602</v>
      </c>
      <c r="L2" s="129">
        <v>5413</v>
      </c>
      <c r="M2" s="126"/>
      <c r="N2" s="148">
        <v>527</v>
      </c>
      <c r="O2" s="147"/>
      <c r="P2" s="149">
        <v>18.215599999999998</v>
      </c>
      <c r="Q2" s="147"/>
      <c r="R2" s="149">
        <v>4.2031999999999998</v>
      </c>
      <c r="S2" s="147"/>
      <c r="T2" s="149">
        <v>62.403700000000001</v>
      </c>
      <c r="U2" s="147"/>
      <c r="V2" s="146">
        <v>376401985</v>
      </c>
      <c r="W2" s="147"/>
      <c r="X2" s="150">
        <v>334949157</v>
      </c>
      <c r="Y2" s="147"/>
      <c r="Z2" s="146">
        <v>324782077</v>
      </c>
      <c r="AA2" s="147"/>
      <c r="AB2" s="146">
        <v>10167080</v>
      </c>
      <c r="AC2" s="147"/>
      <c r="AD2" s="146">
        <v>18782357</v>
      </c>
      <c r="AE2" s="147"/>
      <c r="AF2" s="146">
        <v>17829918</v>
      </c>
      <c r="AG2" s="147"/>
      <c r="AH2" s="146">
        <v>952439</v>
      </c>
      <c r="AI2" s="147"/>
      <c r="AJ2" s="146">
        <v>36770774</v>
      </c>
      <c r="AK2" s="147"/>
      <c r="AL2" s="146">
        <v>35625281</v>
      </c>
      <c r="AM2" s="147"/>
      <c r="AN2" s="146">
        <v>2060234</v>
      </c>
      <c r="AO2" s="147"/>
      <c r="AP2" s="151">
        <v>1955760</v>
      </c>
      <c r="AQ2" s="147"/>
      <c r="AR2" s="146">
        <v>1112653405</v>
      </c>
      <c r="AS2" s="147"/>
      <c r="AT2" s="150">
        <v>4676670633</v>
      </c>
      <c r="AU2" s="126"/>
      <c r="AV2" s="130">
        <v>493.68</v>
      </c>
      <c r="AW2" s="126" t="s">
        <v>1603</v>
      </c>
      <c r="AX2" s="126" t="s">
        <v>1746</v>
      </c>
    </row>
    <row r="3" spans="1:50">
      <c r="A3" s="126" t="s">
        <v>1606</v>
      </c>
      <c r="B3" s="126" t="s">
        <v>1607</v>
      </c>
      <c r="C3" s="126" t="s">
        <v>378</v>
      </c>
      <c r="D3" s="127">
        <v>2080</v>
      </c>
      <c r="E3" s="128">
        <v>20080</v>
      </c>
      <c r="F3" s="126" t="s">
        <v>1608</v>
      </c>
      <c r="G3" s="126" t="s">
        <v>1601</v>
      </c>
      <c r="H3" s="146">
        <v>18351295</v>
      </c>
      <c r="I3" s="147">
        <v>3646</v>
      </c>
      <c r="J3" s="126" t="s">
        <v>1609</v>
      </c>
      <c r="K3" s="126" t="s">
        <v>1605</v>
      </c>
      <c r="L3" s="129">
        <v>42</v>
      </c>
      <c r="M3" s="126"/>
      <c r="N3" s="148">
        <v>20</v>
      </c>
      <c r="O3" s="147"/>
      <c r="P3" s="149">
        <v>16.576499999999999</v>
      </c>
      <c r="Q3" s="147"/>
      <c r="R3" s="149">
        <v>3.7544</v>
      </c>
      <c r="S3" s="147"/>
      <c r="T3" s="149">
        <v>104.70910000000001</v>
      </c>
      <c r="U3" s="147"/>
      <c r="V3" s="146">
        <v>1809860</v>
      </c>
      <c r="W3" s="147"/>
      <c r="X3" s="150">
        <v>1929113</v>
      </c>
      <c r="Y3" s="147"/>
      <c r="Z3" s="146">
        <v>1893039</v>
      </c>
      <c r="AA3" s="147"/>
      <c r="AB3" s="146">
        <v>36074</v>
      </c>
      <c r="AC3" s="147"/>
      <c r="AD3" s="146">
        <v>115699</v>
      </c>
      <c r="AE3" s="147"/>
      <c r="AF3" s="146">
        <v>114200</v>
      </c>
      <c r="AG3" s="147"/>
      <c r="AH3" s="146">
        <v>1499</v>
      </c>
      <c r="AI3" s="147"/>
      <c r="AJ3" s="146">
        <v>1096779</v>
      </c>
      <c r="AK3" s="147"/>
      <c r="AL3" s="146">
        <v>1076347</v>
      </c>
      <c r="AM3" s="147"/>
      <c r="AN3" s="146">
        <v>64689</v>
      </c>
      <c r="AO3" s="147"/>
      <c r="AP3" s="151">
        <v>63804</v>
      </c>
      <c r="AQ3" s="147"/>
      <c r="AR3" s="146">
        <v>11957780</v>
      </c>
      <c r="AS3" s="147"/>
      <c r="AT3" s="150">
        <v>44894834</v>
      </c>
      <c r="AU3" s="126"/>
      <c r="AV3" s="130">
        <v>34.08</v>
      </c>
      <c r="AW3" s="126" t="s">
        <v>1603</v>
      </c>
      <c r="AX3" s="126" t="s">
        <v>1746</v>
      </c>
    </row>
    <row r="4" spans="1:50">
      <c r="A4" s="126" t="s">
        <v>1606</v>
      </c>
      <c r="B4" s="126" t="s">
        <v>1607</v>
      </c>
      <c r="C4" s="126" t="s">
        <v>378</v>
      </c>
      <c r="D4" s="127">
        <v>2080</v>
      </c>
      <c r="E4" s="128">
        <v>20080</v>
      </c>
      <c r="F4" s="126" t="s">
        <v>1608</v>
      </c>
      <c r="G4" s="126" t="s">
        <v>1601</v>
      </c>
      <c r="H4" s="146">
        <v>18351295</v>
      </c>
      <c r="I4" s="147">
        <v>3646</v>
      </c>
      <c r="J4" s="126" t="s">
        <v>1609</v>
      </c>
      <c r="K4" s="126" t="s">
        <v>1602</v>
      </c>
      <c r="L4" s="129">
        <v>15</v>
      </c>
      <c r="M4" s="126"/>
      <c r="N4" s="148">
        <v>15</v>
      </c>
      <c r="O4" s="147"/>
      <c r="P4" s="149">
        <v>9.3912999999999993</v>
      </c>
      <c r="Q4" s="147"/>
      <c r="R4" s="149">
        <v>2.2517</v>
      </c>
      <c r="S4" s="147"/>
      <c r="T4" s="149">
        <v>88.662099999999995</v>
      </c>
      <c r="U4" s="147"/>
      <c r="V4" s="146">
        <v>458806</v>
      </c>
      <c r="W4" s="147"/>
      <c r="X4" s="150">
        <v>481308</v>
      </c>
      <c r="Y4" s="147"/>
      <c r="Z4" s="146">
        <v>470004</v>
      </c>
      <c r="AA4" s="147"/>
      <c r="AB4" s="146">
        <v>11304</v>
      </c>
      <c r="AC4" s="147"/>
      <c r="AD4" s="146">
        <v>55608</v>
      </c>
      <c r="AE4" s="147"/>
      <c r="AF4" s="146">
        <v>50047</v>
      </c>
      <c r="AG4" s="147"/>
      <c r="AH4" s="146">
        <v>5561</v>
      </c>
      <c r="AI4" s="147"/>
      <c r="AJ4" s="146">
        <v>481308</v>
      </c>
      <c r="AK4" s="147"/>
      <c r="AL4" s="146">
        <v>470004</v>
      </c>
      <c r="AM4" s="147"/>
      <c r="AN4" s="146">
        <v>55608</v>
      </c>
      <c r="AO4" s="147"/>
      <c r="AP4" s="151">
        <v>50047</v>
      </c>
      <c r="AQ4" s="147"/>
      <c r="AR4" s="146">
        <v>4437270</v>
      </c>
      <c r="AS4" s="147"/>
      <c r="AT4" s="150">
        <v>9991369</v>
      </c>
      <c r="AU4" s="126"/>
      <c r="AV4" s="130">
        <v>12.42</v>
      </c>
      <c r="AW4" s="126" t="s">
        <v>1603</v>
      </c>
      <c r="AX4" s="126" t="s">
        <v>1746</v>
      </c>
    </row>
    <row r="5" spans="1:50">
      <c r="A5" s="126" t="s">
        <v>1606</v>
      </c>
      <c r="B5" s="126" t="s">
        <v>1607</v>
      </c>
      <c r="C5" s="126" t="s">
        <v>378</v>
      </c>
      <c r="D5" s="127">
        <v>2080</v>
      </c>
      <c r="E5" s="128">
        <v>20080</v>
      </c>
      <c r="F5" s="126" t="s">
        <v>1608</v>
      </c>
      <c r="G5" s="126" t="s">
        <v>1601</v>
      </c>
      <c r="H5" s="146">
        <v>18351295</v>
      </c>
      <c r="I5" s="147">
        <v>3646</v>
      </c>
      <c r="J5" s="126" t="s">
        <v>1610</v>
      </c>
      <c r="K5" s="126" t="s">
        <v>1602</v>
      </c>
      <c r="L5" s="129">
        <v>904</v>
      </c>
      <c r="M5" s="126"/>
      <c r="N5" s="148">
        <v>105</v>
      </c>
      <c r="O5" s="147"/>
      <c r="P5" s="149">
        <v>32.758000000000003</v>
      </c>
      <c r="Q5" s="147"/>
      <c r="R5" s="149">
        <v>22.010100000000001</v>
      </c>
      <c r="S5" s="147"/>
      <c r="T5" s="149">
        <v>40.014699999999998</v>
      </c>
      <c r="U5" s="147"/>
      <c r="V5" s="146">
        <v>54847772</v>
      </c>
      <c r="W5" s="147"/>
      <c r="X5" s="150">
        <v>57155030</v>
      </c>
      <c r="Y5" s="147"/>
      <c r="Z5" s="146">
        <v>54301350</v>
      </c>
      <c r="AA5" s="147"/>
      <c r="AB5" s="146">
        <v>2853680</v>
      </c>
      <c r="AC5" s="147"/>
      <c r="AD5" s="146">
        <v>1953118</v>
      </c>
      <c r="AE5" s="147"/>
      <c r="AF5" s="146">
        <v>1657653</v>
      </c>
      <c r="AG5" s="147"/>
      <c r="AH5" s="146">
        <v>295465</v>
      </c>
      <c r="AI5" s="147"/>
      <c r="AJ5" s="146">
        <v>8422625</v>
      </c>
      <c r="AK5" s="147"/>
      <c r="AL5" s="146">
        <v>7942892</v>
      </c>
      <c r="AM5" s="147"/>
      <c r="AN5" s="146">
        <v>287491</v>
      </c>
      <c r="AO5" s="147"/>
      <c r="AP5" s="151">
        <v>248272</v>
      </c>
      <c r="AQ5" s="147"/>
      <c r="AR5" s="146">
        <v>66330426</v>
      </c>
      <c r="AS5" s="147"/>
      <c r="AT5" s="150">
        <v>1459936301</v>
      </c>
      <c r="AU5" s="126"/>
      <c r="AV5" s="130">
        <v>920.4</v>
      </c>
      <c r="AW5" s="126" t="s">
        <v>1603</v>
      </c>
      <c r="AX5" s="126" t="s">
        <v>1746</v>
      </c>
    </row>
    <row r="6" spans="1:50">
      <c r="A6" s="126" t="s">
        <v>1747</v>
      </c>
      <c r="B6" s="126" t="s">
        <v>1611</v>
      </c>
      <c r="C6" s="126" t="s">
        <v>351</v>
      </c>
      <c r="D6" s="127">
        <v>9154</v>
      </c>
      <c r="E6" s="128">
        <v>90154</v>
      </c>
      <c r="F6" s="126" t="s">
        <v>1612</v>
      </c>
      <c r="G6" s="126" t="s">
        <v>1601</v>
      </c>
      <c r="H6" s="146">
        <v>12150996</v>
      </c>
      <c r="I6" s="147">
        <v>3482</v>
      </c>
      <c r="J6" s="126" t="s">
        <v>1609</v>
      </c>
      <c r="K6" s="126" t="s">
        <v>1602</v>
      </c>
      <c r="L6" s="129">
        <v>203</v>
      </c>
      <c r="M6" s="126"/>
      <c r="N6" s="148">
        <v>74</v>
      </c>
      <c r="O6" s="147"/>
      <c r="P6" s="149">
        <v>20.558</v>
      </c>
      <c r="Q6" s="147"/>
      <c r="R6" s="149">
        <v>7.5712999999999999</v>
      </c>
      <c r="S6" s="147"/>
      <c r="T6" s="149">
        <v>55.704000000000001</v>
      </c>
      <c r="U6" s="147"/>
      <c r="V6" s="146">
        <v>15592469</v>
      </c>
      <c r="W6" s="147"/>
      <c r="X6" s="150">
        <v>16090545</v>
      </c>
      <c r="Y6" s="147"/>
      <c r="Z6" s="146">
        <v>15536688</v>
      </c>
      <c r="AA6" s="147"/>
      <c r="AB6" s="146">
        <v>553857</v>
      </c>
      <c r="AC6" s="147"/>
      <c r="AD6" s="146">
        <v>792734</v>
      </c>
      <c r="AE6" s="147"/>
      <c r="AF6" s="146">
        <v>755749</v>
      </c>
      <c r="AG6" s="147"/>
      <c r="AH6" s="146">
        <v>36985</v>
      </c>
      <c r="AI6" s="147"/>
      <c r="AJ6" s="146">
        <v>6384468</v>
      </c>
      <c r="AK6" s="147"/>
      <c r="AL6" s="146">
        <v>6156417</v>
      </c>
      <c r="AM6" s="147"/>
      <c r="AN6" s="146">
        <v>309440</v>
      </c>
      <c r="AO6" s="147"/>
      <c r="AP6" s="151">
        <v>294220</v>
      </c>
      <c r="AQ6" s="147"/>
      <c r="AR6" s="146">
        <v>42098255</v>
      </c>
      <c r="AS6" s="147"/>
      <c r="AT6" s="150">
        <v>318737668</v>
      </c>
      <c r="AU6" s="126"/>
      <c r="AV6" s="130">
        <v>171.92</v>
      </c>
      <c r="AW6" s="126" t="s">
        <v>1603</v>
      </c>
      <c r="AX6" s="126" t="s">
        <v>1746</v>
      </c>
    </row>
    <row r="7" spans="1:50">
      <c r="A7" s="126" t="s">
        <v>1747</v>
      </c>
      <c r="B7" s="126" t="s">
        <v>1611</v>
      </c>
      <c r="C7" s="126" t="s">
        <v>351</v>
      </c>
      <c r="D7" s="127">
        <v>9154</v>
      </c>
      <c r="E7" s="128">
        <v>90154</v>
      </c>
      <c r="F7" s="126" t="s">
        <v>1612</v>
      </c>
      <c r="G7" s="126" t="s">
        <v>1601</v>
      </c>
      <c r="H7" s="146">
        <v>12150996</v>
      </c>
      <c r="I7" s="147">
        <v>3482</v>
      </c>
      <c r="J7" s="126" t="s">
        <v>1604</v>
      </c>
      <c r="K7" s="126" t="s">
        <v>1602</v>
      </c>
      <c r="L7" s="129">
        <v>68</v>
      </c>
      <c r="M7" s="126"/>
      <c r="N7" s="148">
        <v>13</v>
      </c>
      <c r="O7" s="147"/>
      <c r="P7" s="149">
        <v>21.8993</v>
      </c>
      <c r="Q7" s="147"/>
      <c r="R7" s="149">
        <v>4.8391999999999999</v>
      </c>
      <c r="S7" s="147"/>
      <c r="T7" s="149">
        <v>108.40730000000001</v>
      </c>
      <c r="U7" s="147"/>
      <c r="V7" s="146">
        <v>6821561</v>
      </c>
      <c r="W7" s="147"/>
      <c r="X7" s="150">
        <v>6973555</v>
      </c>
      <c r="Y7" s="147"/>
      <c r="Z7" s="146">
        <v>6801301</v>
      </c>
      <c r="AA7" s="147"/>
      <c r="AB7" s="146">
        <v>172254</v>
      </c>
      <c r="AC7" s="147"/>
      <c r="AD7" s="146">
        <v>327668</v>
      </c>
      <c r="AE7" s="147"/>
      <c r="AF7" s="146">
        <v>310572</v>
      </c>
      <c r="AG7" s="147"/>
      <c r="AH7" s="146">
        <v>17096</v>
      </c>
      <c r="AI7" s="147"/>
      <c r="AJ7" s="146">
        <v>1383514</v>
      </c>
      <c r="AK7" s="147"/>
      <c r="AL7" s="146">
        <v>1350454</v>
      </c>
      <c r="AM7" s="147"/>
      <c r="AN7" s="146">
        <v>66480</v>
      </c>
      <c r="AO7" s="147"/>
      <c r="AP7" s="151">
        <v>63158</v>
      </c>
      <c r="AQ7" s="147"/>
      <c r="AR7" s="146">
        <v>33668265</v>
      </c>
      <c r="AS7" s="147"/>
      <c r="AT7" s="150">
        <v>162927528</v>
      </c>
      <c r="AU7" s="126"/>
      <c r="AV7" s="130">
        <v>31.9</v>
      </c>
      <c r="AW7" s="126" t="s">
        <v>1603</v>
      </c>
      <c r="AX7" s="126" t="s">
        <v>1746</v>
      </c>
    </row>
    <row r="8" spans="1:50">
      <c r="A8" s="126" t="s">
        <v>1613</v>
      </c>
      <c r="B8" s="126" t="s">
        <v>128</v>
      </c>
      <c r="C8" s="126" t="s">
        <v>354</v>
      </c>
      <c r="D8" s="127">
        <v>3030</v>
      </c>
      <c r="E8" s="128">
        <v>30030</v>
      </c>
      <c r="F8" s="126" t="s">
        <v>1612</v>
      </c>
      <c r="G8" s="126" t="s">
        <v>1601</v>
      </c>
      <c r="H8" s="146">
        <v>4586770</v>
      </c>
      <c r="I8" s="147">
        <v>3304</v>
      </c>
      <c r="J8" s="126" t="s">
        <v>1604</v>
      </c>
      <c r="K8" s="126" t="s">
        <v>1602</v>
      </c>
      <c r="L8" s="129">
        <v>998</v>
      </c>
      <c r="M8" s="126"/>
      <c r="N8" s="148">
        <v>129</v>
      </c>
      <c r="O8" s="147"/>
      <c r="P8" s="149">
        <v>23.3386</v>
      </c>
      <c r="Q8" s="147"/>
      <c r="R8" s="149">
        <v>5.6486999999999998</v>
      </c>
      <c r="S8" s="147"/>
      <c r="T8" s="149">
        <v>51.016399999999997</v>
      </c>
      <c r="U8" s="147"/>
      <c r="V8" s="146">
        <v>81860566</v>
      </c>
      <c r="W8" s="147"/>
      <c r="X8" s="150">
        <v>82234530</v>
      </c>
      <c r="Y8" s="147"/>
      <c r="Z8" s="146">
        <v>79847615</v>
      </c>
      <c r="AA8" s="147"/>
      <c r="AB8" s="146">
        <v>2386915</v>
      </c>
      <c r="AC8" s="147"/>
      <c r="AD8" s="146">
        <v>3524685</v>
      </c>
      <c r="AE8" s="147"/>
      <c r="AF8" s="146">
        <v>3421264</v>
      </c>
      <c r="AG8" s="147"/>
      <c r="AH8" s="146">
        <v>103421</v>
      </c>
      <c r="AI8" s="147"/>
      <c r="AJ8" s="146">
        <v>11770449</v>
      </c>
      <c r="AK8" s="147"/>
      <c r="AL8" s="146">
        <v>11432619</v>
      </c>
      <c r="AM8" s="147"/>
      <c r="AN8" s="146">
        <v>505929</v>
      </c>
      <c r="AO8" s="147"/>
      <c r="AP8" s="151">
        <v>489793</v>
      </c>
      <c r="AQ8" s="147"/>
      <c r="AR8" s="146">
        <v>174540714</v>
      </c>
      <c r="AS8" s="147"/>
      <c r="AT8" s="150">
        <v>985922295</v>
      </c>
      <c r="AU8" s="126"/>
      <c r="AV8" s="130">
        <v>234.2</v>
      </c>
      <c r="AW8" s="126" t="s">
        <v>1603</v>
      </c>
      <c r="AX8" s="126" t="s">
        <v>1746</v>
      </c>
    </row>
    <row r="9" spans="1:50">
      <c r="A9" s="126" t="s">
        <v>1617</v>
      </c>
      <c r="B9" s="126" t="s">
        <v>1618</v>
      </c>
      <c r="C9" s="126" t="s">
        <v>361</v>
      </c>
      <c r="D9" s="127">
        <v>5066</v>
      </c>
      <c r="E9" s="128">
        <v>50066</v>
      </c>
      <c r="F9" s="126" t="s">
        <v>1612</v>
      </c>
      <c r="G9" s="126" t="s">
        <v>1601</v>
      </c>
      <c r="H9" s="146">
        <v>8608208</v>
      </c>
      <c r="I9" s="147">
        <v>2703</v>
      </c>
      <c r="J9" s="126" t="s">
        <v>1604</v>
      </c>
      <c r="K9" s="126" t="s">
        <v>1602</v>
      </c>
      <c r="L9" s="129">
        <v>1148</v>
      </c>
      <c r="M9" s="126"/>
      <c r="N9" s="148">
        <v>158</v>
      </c>
      <c r="O9" s="147"/>
      <c r="P9" s="149">
        <v>18.0276</v>
      </c>
      <c r="Q9" s="147"/>
      <c r="R9" s="149">
        <v>6.3144</v>
      </c>
      <c r="S9" s="147" t="s">
        <v>1616</v>
      </c>
      <c r="T9" s="149">
        <v>19.723500000000001</v>
      </c>
      <c r="U9" s="147"/>
      <c r="V9" s="146">
        <v>82996946</v>
      </c>
      <c r="W9" s="147"/>
      <c r="X9" s="150">
        <v>70519745</v>
      </c>
      <c r="Y9" s="147"/>
      <c r="Z9" s="146">
        <v>69510641</v>
      </c>
      <c r="AA9" s="147"/>
      <c r="AB9" s="146">
        <v>1009104</v>
      </c>
      <c r="AC9" s="147"/>
      <c r="AD9" s="146">
        <v>4177041</v>
      </c>
      <c r="AE9" s="147"/>
      <c r="AF9" s="146">
        <v>3855798</v>
      </c>
      <c r="AG9" s="147"/>
      <c r="AH9" s="146">
        <v>321243</v>
      </c>
      <c r="AI9" s="147"/>
      <c r="AJ9" s="146">
        <v>10533049</v>
      </c>
      <c r="AK9" s="147"/>
      <c r="AL9" s="146">
        <v>10388783</v>
      </c>
      <c r="AM9" s="147"/>
      <c r="AN9" s="146">
        <v>631507</v>
      </c>
      <c r="AO9" s="147"/>
      <c r="AP9" s="151">
        <v>582079</v>
      </c>
      <c r="AQ9" s="147"/>
      <c r="AR9" s="146">
        <v>76049871</v>
      </c>
      <c r="AS9" s="147"/>
      <c r="AT9" s="150">
        <v>480210760</v>
      </c>
      <c r="AU9" s="126" t="s">
        <v>1616</v>
      </c>
      <c r="AV9" s="130">
        <v>207.84</v>
      </c>
      <c r="AW9" s="126" t="s">
        <v>1603</v>
      </c>
      <c r="AX9" s="126" t="s">
        <v>1748</v>
      </c>
    </row>
    <row r="10" spans="1:50">
      <c r="A10" s="126" t="s">
        <v>1619</v>
      </c>
      <c r="B10" s="126" t="s">
        <v>1620</v>
      </c>
      <c r="C10" s="126" t="s">
        <v>366</v>
      </c>
      <c r="D10" s="127">
        <v>1003</v>
      </c>
      <c r="E10" s="128">
        <v>10003</v>
      </c>
      <c r="F10" s="126" t="s">
        <v>1612</v>
      </c>
      <c r="G10" s="126" t="s">
        <v>1601</v>
      </c>
      <c r="H10" s="146">
        <v>4181019</v>
      </c>
      <c r="I10" s="147">
        <v>2428</v>
      </c>
      <c r="J10" s="126" t="s">
        <v>1609</v>
      </c>
      <c r="K10" s="126" t="s">
        <v>1602</v>
      </c>
      <c r="L10" s="129">
        <v>154</v>
      </c>
      <c r="M10" s="126"/>
      <c r="N10" s="148">
        <v>86</v>
      </c>
      <c r="O10" s="147"/>
      <c r="P10" s="149">
        <v>7.3029000000000002</v>
      </c>
      <c r="Q10" s="147"/>
      <c r="R10" s="149">
        <v>2.3538000000000001</v>
      </c>
      <c r="S10" s="147"/>
      <c r="T10" s="149">
        <v>57.774500000000003</v>
      </c>
      <c r="U10" s="147"/>
      <c r="V10" s="146">
        <v>5714964</v>
      </c>
      <c r="W10" s="147"/>
      <c r="X10" s="150">
        <v>5260506</v>
      </c>
      <c r="Y10" s="147"/>
      <c r="Z10" s="146">
        <v>5241369</v>
      </c>
      <c r="AA10" s="147"/>
      <c r="AB10" s="146">
        <v>19137</v>
      </c>
      <c r="AC10" s="147"/>
      <c r="AD10" s="146">
        <v>726323</v>
      </c>
      <c r="AE10" s="147"/>
      <c r="AF10" s="146">
        <v>717709</v>
      </c>
      <c r="AG10" s="147"/>
      <c r="AH10" s="146">
        <v>8614</v>
      </c>
      <c r="AI10" s="147" t="s">
        <v>1653</v>
      </c>
      <c r="AJ10" s="146">
        <v>2876932</v>
      </c>
      <c r="AK10" s="147"/>
      <c r="AL10" s="146">
        <v>2870560</v>
      </c>
      <c r="AM10" s="147"/>
      <c r="AN10" s="146">
        <v>321018</v>
      </c>
      <c r="AO10" s="147"/>
      <c r="AP10" s="151">
        <v>315916</v>
      </c>
      <c r="AQ10" s="147"/>
      <c r="AR10" s="146">
        <v>41465243</v>
      </c>
      <c r="AS10" s="147"/>
      <c r="AT10" s="150">
        <v>97602251</v>
      </c>
      <c r="AU10" s="126"/>
      <c r="AV10" s="130">
        <v>51</v>
      </c>
      <c r="AW10" s="126" t="s">
        <v>1603</v>
      </c>
      <c r="AX10" s="126" t="s">
        <v>1748</v>
      </c>
    </row>
    <row r="11" spans="1:50">
      <c r="A11" s="126" t="s">
        <v>1619</v>
      </c>
      <c r="B11" s="126" t="s">
        <v>1620</v>
      </c>
      <c r="C11" s="126" t="s">
        <v>366</v>
      </c>
      <c r="D11" s="127">
        <v>1003</v>
      </c>
      <c r="E11" s="128">
        <v>10003</v>
      </c>
      <c r="F11" s="126" t="s">
        <v>1612</v>
      </c>
      <c r="G11" s="126" t="s">
        <v>1601</v>
      </c>
      <c r="H11" s="146">
        <v>4181019</v>
      </c>
      <c r="I11" s="147">
        <v>2428</v>
      </c>
      <c r="J11" s="126" t="s">
        <v>1604</v>
      </c>
      <c r="K11" s="126" t="s">
        <v>1602</v>
      </c>
      <c r="L11" s="129">
        <v>338</v>
      </c>
      <c r="M11" s="126"/>
      <c r="N11" s="148">
        <v>56</v>
      </c>
      <c r="O11" s="147"/>
      <c r="P11" s="149">
        <v>16.707100000000001</v>
      </c>
      <c r="Q11" s="147"/>
      <c r="R11" s="149">
        <v>3.5198</v>
      </c>
      <c r="S11" s="147"/>
      <c r="T11" s="149">
        <v>87.046400000000006</v>
      </c>
      <c r="U11" s="147"/>
      <c r="V11" s="146">
        <v>23317516</v>
      </c>
      <c r="W11" s="147"/>
      <c r="X11" s="150">
        <v>22746421</v>
      </c>
      <c r="Y11" s="147"/>
      <c r="Z11" s="146">
        <v>22203578</v>
      </c>
      <c r="AA11" s="147"/>
      <c r="AB11" s="146">
        <v>542843</v>
      </c>
      <c r="AC11" s="147"/>
      <c r="AD11" s="146">
        <v>1393950</v>
      </c>
      <c r="AE11" s="147"/>
      <c r="AF11" s="146">
        <v>1328990</v>
      </c>
      <c r="AG11" s="147"/>
      <c r="AH11" s="146">
        <v>64960</v>
      </c>
      <c r="AI11" s="147"/>
      <c r="AJ11" s="146">
        <v>3791070</v>
      </c>
      <c r="AK11" s="147"/>
      <c r="AL11" s="146">
        <v>3700596</v>
      </c>
      <c r="AM11" s="147"/>
      <c r="AN11" s="146">
        <v>253575</v>
      </c>
      <c r="AO11" s="147"/>
      <c r="AP11" s="151">
        <v>242748</v>
      </c>
      <c r="AQ11" s="147"/>
      <c r="AR11" s="146">
        <v>115683733</v>
      </c>
      <c r="AS11" s="147"/>
      <c r="AT11" s="150">
        <v>407181618</v>
      </c>
      <c r="AU11" s="126"/>
      <c r="AV11" s="130">
        <v>76.3</v>
      </c>
      <c r="AW11" s="126" t="s">
        <v>1603</v>
      </c>
      <c r="AX11" s="126" t="s">
        <v>1746</v>
      </c>
    </row>
    <row r="12" spans="1:50">
      <c r="A12" s="126" t="s">
        <v>1619</v>
      </c>
      <c r="B12" s="126" t="s">
        <v>1620</v>
      </c>
      <c r="C12" s="126" t="s">
        <v>366</v>
      </c>
      <c r="D12" s="127">
        <v>1003</v>
      </c>
      <c r="E12" s="128">
        <v>10003</v>
      </c>
      <c r="F12" s="126" t="s">
        <v>1612</v>
      </c>
      <c r="G12" s="126" t="s">
        <v>1601</v>
      </c>
      <c r="H12" s="146">
        <v>4181019</v>
      </c>
      <c r="I12" s="147">
        <v>2428</v>
      </c>
      <c r="J12" s="126" t="s">
        <v>1610</v>
      </c>
      <c r="K12" s="126" t="s">
        <v>1605</v>
      </c>
      <c r="L12" s="129">
        <v>436</v>
      </c>
      <c r="M12" s="126"/>
      <c r="N12" s="148">
        <v>67</v>
      </c>
      <c r="O12" s="147"/>
      <c r="P12" s="149">
        <v>29.729199999999999</v>
      </c>
      <c r="Q12" s="147"/>
      <c r="R12" s="149">
        <v>20.751000000000001</v>
      </c>
      <c r="S12" s="147"/>
      <c r="T12" s="149">
        <v>33.01</v>
      </c>
      <c r="U12" s="147"/>
      <c r="V12" s="146">
        <v>22195183</v>
      </c>
      <c r="W12" s="147"/>
      <c r="X12" s="150">
        <v>22810502</v>
      </c>
      <c r="Y12" s="147"/>
      <c r="Z12" s="146">
        <v>22300695</v>
      </c>
      <c r="AA12" s="147"/>
      <c r="AB12" s="146">
        <v>509807</v>
      </c>
      <c r="AC12" s="147"/>
      <c r="AD12" s="146">
        <v>768699</v>
      </c>
      <c r="AE12" s="147"/>
      <c r="AF12" s="146">
        <v>750128</v>
      </c>
      <c r="AG12" s="147"/>
      <c r="AH12" s="146">
        <v>18571</v>
      </c>
      <c r="AI12" s="147"/>
      <c r="AJ12" s="146">
        <v>4189947</v>
      </c>
      <c r="AK12" s="147"/>
      <c r="AL12" s="146">
        <v>4093393</v>
      </c>
      <c r="AM12" s="147"/>
      <c r="AN12" s="146">
        <v>141215</v>
      </c>
      <c r="AO12" s="147"/>
      <c r="AP12" s="151">
        <v>137738</v>
      </c>
      <c r="AQ12" s="147"/>
      <c r="AR12" s="146">
        <v>24761705</v>
      </c>
      <c r="AS12" s="147"/>
      <c r="AT12" s="150">
        <v>513830968</v>
      </c>
      <c r="AU12" s="126"/>
      <c r="AV12" s="130">
        <v>776.08</v>
      </c>
      <c r="AW12" s="126" t="s">
        <v>1603</v>
      </c>
      <c r="AX12" s="126" t="s">
        <v>1746</v>
      </c>
    </row>
    <row r="13" spans="1:50">
      <c r="A13" s="126" t="s">
        <v>1621</v>
      </c>
      <c r="B13" s="126" t="s">
        <v>1622</v>
      </c>
      <c r="C13" s="126" t="s">
        <v>385</v>
      </c>
      <c r="D13" s="127">
        <v>3019</v>
      </c>
      <c r="E13" s="128">
        <v>30019</v>
      </c>
      <c r="F13" s="126" t="s">
        <v>1612</v>
      </c>
      <c r="G13" s="126" t="s">
        <v>1601</v>
      </c>
      <c r="H13" s="146">
        <v>5441567</v>
      </c>
      <c r="I13" s="147">
        <v>2406</v>
      </c>
      <c r="J13" s="126" t="s">
        <v>1604</v>
      </c>
      <c r="K13" s="126" t="s">
        <v>1602</v>
      </c>
      <c r="L13" s="129">
        <v>286</v>
      </c>
      <c r="M13" s="126"/>
      <c r="N13" s="148">
        <v>61</v>
      </c>
      <c r="O13" s="147"/>
      <c r="P13" s="149">
        <v>17.097100000000001</v>
      </c>
      <c r="Q13" s="147"/>
      <c r="R13" s="149">
        <v>4.4253999999999998</v>
      </c>
      <c r="S13" s="147" t="s">
        <v>1616</v>
      </c>
      <c r="T13" s="149">
        <v>75.514099999999999</v>
      </c>
      <c r="U13" s="147" t="s">
        <v>1616</v>
      </c>
      <c r="V13" s="146">
        <v>16431036</v>
      </c>
      <c r="W13" s="147"/>
      <c r="X13" s="150">
        <v>16168711</v>
      </c>
      <c r="Y13" s="147"/>
      <c r="Z13" s="146">
        <v>16089713</v>
      </c>
      <c r="AA13" s="147"/>
      <c r="AB13" s="146">
        <v>78998</v>
      </c>
      <c r="AC13" s="147"/>
      <c r="AD13" s="146">
        <v>945947</v>
      </c>
      <c r="AE13" s="147"/>
      <c r="AF13" s="146">
        <v>941080</v>
      </c>
      <c r="AG13" s="147"/>
      <c r="AH13" s="146">
        <v>4867</v>
      </c>
      <c r="AI13" s="147"/>
      <c r="AJ13" s="146">
        <v>3121305</v>
      </c>
      <c r="AK13" s="147"/>
      <c r="AL13" s="146">
        <v>3101700</v>
      </c>
      <c r="AM13" s="147"/>
      <c r="AN13" s="146">
        <v>182557</v>
      </c>
      <c r="AO13" s="147"/>
      <c r="AP13" s="151">
        <v>181391</v>
      </c>
      <c r="AQ13" s="147"/>
      <c r="AR13" s="146">
        <v>71064786</v>
      </c>
      <c r="AS13" s="147" t="s">
        <v>1616</v>
      </c>
      <c r="AT13" s="150">
        <v>314489396</v>
      </c>
      <c r="AU13" s="126" t="s">
        <v>1616</v>
      </c>
      <c r="AV13" s="130">
        <v>74.900000000000006</v>
      </c>
      <c r="AW13" s="126" t="s">
        <v>1603</v>
      </c>
      <c r="AX13" s="126" t="s">
        <v>1748</v>
      </c>
    </row>
    <row r="14" spans="1:50">
      <c r="A14" s="126" t="s">
        <v>1621</v>
      </c>
      <c r="B14" s="126" t="s">
        <v>1622</v>
      </c>
      <c r="C14" s="126" t="s">
        <v>385</v>
      </c>
      <c r="D14" s="127">
        <v>3019</v>
      </c>
      <c r="E14" s="128">
        <v>30019</v>
      </c>
      <c r="F14" s="126" t="s">
        <v>1612</v>
      </c>
      <c r="G14" s="126" t="s">
        <v>1601</v>
      </c>
      <c r="H14" s="146">
        <v>5441567</v>
      </c>
      <c r="I14" s="147">
        <v>2406</v>
      </c>
      <c r="J14" s="126" t="s">
        <v>1610</v>
      </c>
      <c r="K14" s="126" t="s">
        <v>1602</v>
      </c>
      <c r="L14" s="129">
        <v>357</v>
      </c>
      <c r="M14" s="126"/>
      <c r="N14" s="148">
        <v>84</v>
      </c>
      <c r="O14" s="147"/>
      <c r="P14" s="149">
        <v>19.690899999999999</v>
      </c>
      <c r="Q14" s="147"/>
      <c r="R14" s="149">
        <v>13.449400000000001</v>
      </c>
      <c r="S14" s="147" t="s">
        <v>1616</v>
      </c>
      <c r="T14" s="149">
        <v>29.793900000000001</v>
      </c>
      <c r="U14" s="147" t="s">
        <v>1616</v>
      </c>
      <c r="V14" s="146">
        <v>16896038</v>
      </c>
      <c r="W14" s="147"/>
      <c r="X14" s="150">
        <v>17498310</v>
      </c>
      <c r="Y14" s="147"/>
      <c r="Z14" s="146">
        <v>16621821</v>
      </c>
      <c r="AA14" s="147"/>
      <c r="AB14" s="146">
        <v>876489</v>
      </c>
      <c r="AC14" s="147"/>
      <c r="AD14" s="146">
        <v>882766</v>
      </c>
      <c r="AE14" s="147"/>
      <c r="AF14" s="146">
        <v>844136</v>
      </c>
      <c r="AG14" s="147"/>
      <c r="AH14" s="146">
        <v>38630</v>
      </c>
      <c r="AI14" s="147"/>
      <c r="AJ14" s="146">
        <v>4453116</v>
      </c>
      <c r="AK14" s="147"/>
      <c r="AL14" s="146">
        <v>4225898</v>
      </c>
      <c r="AM14" s="147"/>
      <c r="AN14" s="146">
        <v>224140</v>
      </c>
      <c r="AO14" s="147"/>
      <c r="AP14" s="151">
        <v>214329</v>
      </c>
      <c r="AQ14" s="147"/>
      <c r="AR14" s="146">
        <v>25150117</v>
      </c>
      <c r="AS14" s="147" t="s">
        <v>1616</v>
      </c>
      <c r="AT14" s="150">
        <v>338253606</v>
      </c>
      <c r="AU14" s="126" t="s">
        <v>1616</v>
      </c>
      <c r="AV14" s="130">
        <v>446.94</v>
      </c>
      <c r="AW14" s="126" t="s">
        <v>1603</v>
      </c>
      <c r="AX14" s="126" t="s">
        <v>1748</v>
      </c>
    </row>
    <row r="15" spans="1:50">
      <c r="A15" s="126" t="s">
        <v>1749</v>
      </c>
      <c r="B15" s="126" t="s">
        <v>1623</v>
      </c>
      <c r="C15" s="126" t="s">
        <v>390</v>
      </c>
      <c r="D15" s="127">
        <v>6008</v>
      </c>
      <c r="E15" s="128">
        <v>60008</v>
      </c>
      <c r="F15" s="126" t="s">
        <v>1612</v>
      </c>
      <c r="G15" s="126" t="s">
        <v>1601</v>
      </c>
      <c r="H15" s="146">
        <v>4944332</v>
      </c>
      <c r="I15" s="147">
        <v>2157</v>
      </c>
      <c r="J15" s="126" t="s">
        <v>1609</v>
      </c>
      <c r="K15" s="126" t="s">
        <v>1602</v>
      </c>
      <c r="L15" s="129">
        <v>56</v>
      </c>
      <c r="M15" s="126"/>
      <c r="N15" s="148">
        <v>29</v>
      </c>
      <c r="O15" s="147"/>
      <c r="P15" s="149">
        <v>12.147399999999999</v>
      </c>
      <c r="Q15" s="147"/>
      <c r="R15" s="149">
        <v>2.9095</v>
      </c>
      <c r="S15" s="147"/>
      <c r="T15" s="149">
        <v>48.3795</v>
      </c>
      <c r="U15" s="147"/>
      <c r="V15" s="146">
        <v>3257209</v>
      </c>
      <c r="W15" s="147"/>
      <c r="X15" s="150">
        <v>3247125</v>
      </c>
      <c r="Y15" s="147"/>
      <c r="Z15" s="146">
        <v>3236011</v>
      </c>
      <c r="AA15" s="147"/>
      <c r="AB15" s="146">
        <v>11114</v>
      </c>
      <c r="AC15" s="147"/>
      <c r="AD15" s="146">
        <v>268268</v>
      </c>
      <c r="AE15" s="147"/>
      <c r="AF15" s="146">
        <v>266396</v>
      </c>
      <c r="AG15" s="147"/>
      <c r="AH15" s="146">
        <v>1872</v>
      </c>
      <c r="AI15" s="147"/>
      <c r="AJ15" s="146">
        <v>1940638</v>
      </c>
      <c r="AK15" s="147"/>
      <c r="AL15" s="146">
        <v>1929524</v>
      </c>
      <c r="AM15" s="147"/>
      <c r="AN15" s="146">
        <v>176143</v>
      </c>
      <c r="AO15" s="147"/>
      <c r="AP15" s="151">
        <v>174271</v>
      </c>
      <c r="AQ15" s="147"/>
      <c r="AR15" s="146">
        <v>12888105</v>
      </c>
      <c r="AS15" s="147"/>
      <c r="AT15" s="150">
        <v>37497523</v>
      </c>
      <c r="AU15" s="126"/>
      <c r="AV15" s="130">
        <v>43.59</v>
      </c>
      <c r="AW15" s="126" t="s">
        <v>1603</v>
      </c>
      <c r="AX15" s="126" t="s">
        <v>1746</v>
      </c>
    </row>
    <row r="16" spans="1:50">
      <c r="A16" s="126" t="s">
        <v>1624</v>
      </c>
      <c r="B16" s="126" t="s">
        <v>1625</v>
      </c>
      <c r="C16" s="126" t="s">
        <v>367</v>
      </c>
      <c r="D16" s="127">
        <v>3034</v>
      </c>
      <c r="E16" s="128">
        <v>30034</v>
      </c>
      <c r="F16" s="126" t="s">
        <v>1626</v>
      </c>
      <c r="G16" s="126" t="s">
        <v>1601</v>
      </c>
      <c r="H16" s="146">
        <v>2203663</v>
      </c>
      <c r="I16" s="147">
        <v>1888</v>
      </c>
      <c r="J16" s="126" t="s">
        <v>1609</v>
      </c>
      <c r="K16" s="126" t="s">
        <v>1602</v>
      </c>
      <c r="L16" s="129">
        <v>38</v>
      </c>
      <c r="M16" s="126"/>
      <c r="N16" s="148">
        <v>18</v>
      </c>
      <c r="O16" s="147"/>
      <c r="P16" s="149">
        <v>19.6769</v>
      </c>
      <c r="Q16" s="147"/>
      <c r="R16" s="149">
        <v>5.7127999999999997</v>
      </c>
      <c r="S16" s="147" t="s">
        <v>1616</v>
      </c>
      <c r="T16" s="149">
        <v>35.373800000000003</v>
      </c>
      <c r="U16" s="147"/>
      <c r="V16" s="146">
        <v>2774375</v>
      </c>
      <c r="W16" s="147"/>
      <c r="X16" s="150">
        <v>2676810</v>
      </c>
      <c r="Y16" s="147"/>
      <c r="Z16" s="146">
        <v>2588105</v>
      </c>
      <c r="AA16" s="147"/>
      <c r="AB16" s="146">
        <v>88705</v>
      </c>
      <c r="AC16" s="147"/>
      <c r="AD16" s="146">
        <v>138492</v>
      </c>
      <c r="AE16" s="147"/>
      <c r="AF16" s="146">
        <v>131530</v>
      </c>
      <c r="AG16" s="147"/>
      <c r="AH16" s="146">
        <v>6962</v>
      </c>
      <c r="AI16" s="147"/>
      <c r="AJ16" s="146">
        <v>1046361</v>
      </c>
      <c r="AK16" s="147"/>
      <c r="AL16" s="146">
        <v>1044905</v>
      </c>
      <c r="AM16" s="147"/>
      <c r="AN16" s="146">
        <v>58730</v>
      </c>
      <c r="AO16" s="147"/>
      <c r="AP16" s="151">
        <v>58193</v>
      </c>
      <c r="AQ16" s="147"/>
      <c r="AR16" s="146">
        <v>4652718</v>
      </c>
      <c r="AS16" s="147"/>
      <c r="AT16" s="150">
        <v>26579844</v>
      </c>
      <c r="AU16" s="126" t="s">
        <v>1616</v>
      </c>
      <c r="AV16" s="130">
        <v>57.6</v>
      </c>
      <c r="AW16" s="126" t="s">
        <v>1603</v>
      </c>
      <c r="AX16" s="126" t="s">
        <v>1748</v>
      </c>
    </row>
    <row r="17" spans="1:50">
      <c r="A17" s="126" t="s">
        <v>1624</v>
      </c>
      <c r="B17" s="126" t="s">
        <v>1625</v>
      </c>
      <c r="C17" s="126" t="s">
        <v>367</v>
      </c>
      <c r="D17" s="127">
        <v>3034</v>
      </c>
      <c r="E17" s="128">
        <v>30034</v>
      </c>
      <c r="F17" s="126" t="s">
        <v>1626</v>
      </c>
      <c r="G17" s="126" t="s">
        <v>1601</v>
      </c>
      <c r="H17" s="146">
        <v>2203663</v>
      </c>
      <c r="I17" s="147">
        <v>1888</v>
      </c>
      <c r="J17" s="126" t="s">
        <v>1604</v>
      </c>
      <c r="K17" s="126" t="s">
        <v>1602</v>
      </c>
      <c r="L17" s="129">
        <v>54</v>
      </c>
      <c r="M17" s="126"/>
      <c r="N17" s="148">
        <v>9</v>
      </c>
      <c r="O17" s="147"/>
      <c r="P17" s="149">
        <v>26.092600000000001</v>
      </c>
      <c r="Q17" s="147"/>
      <c r="R17" s="149">
        <v>4.7674000000000003</v>
      </c>
      <c r="S17" s="147" t="s">
        <v>1616</v>
      </c>
      <c r="T17" s="149">
        <v>36.698</v>
      </c>
      <c r="U17" s="147"/>
      <c r="V17" s="146">
        <v>4289979</v>
      </c>
      <c r="W17" s="147"/>
      <c r="X17" s="150">
        <v>4659371</v>
      </c>
      <c r="Y17" s="147"/>
      <c r="Z17" s="146">
        <v>4169492</v>
      </c>
      <c r="AA17" s="147"/>
      <c r="AB17" s="146">
        <v>489879</v>
      </c>
      <c r="AC17" s="147"/>
      <c r="AD17" s="146">
        <v>180401</v>
      </c>
      <c r="AE17" s="147"/>
      <c r="AF17" s="146">
        <v>159796</v>
      </c>
      <c r="AG17" s="147"/>
      <c r="AH17" s="146">
        <v>20605</v>
      </c>
      <c r="AI17" s="147"/>
      <c r="AJ17" s="146">
        <v>845652</v>
      </c>
      <c r="AK17" s="147"/>
      <c r="AL17" s="146">
        <v>734915</v>
      </c>
      <c r="AM17" s="147"/>
      <c r="AN17" s="146">
        <v>32887</v>
      </c>
      <c r="AO17" s="147"/>
      <c r="AP17" s="151">
        <v>28462</v>
      </c>
      <c r="AQ17" s="147"/>
      <c r="AR17" s="146">
        <v>5864191</v>
      </c>
      <c r="AS17" s="147"/>
      <c r="AT17" s="150">
        <v>27957087</v>
      </c>
      <c r="AU17" s="126" t="s">
        <v>1616</v>
      </c>
      <c r="AV17" s="130">
        <v>29.4</v>
      </c>
      <c r="AW17" s="126" t="s">
        <v>1603</v>
      </c>
      <c r="AX17" s="126" t="s">
        <v>1748</v>
      </c>
    </row>
    <row r="18" spans="1:50">
      <c r="A18" s="126" t="s">
        <v>1624</v>
      </c>
      <c r="B18" s="126" t="s">
        <v>1625</v>
      </c>
      <c r="C18" s="126" t="s">
        <v>367</v>
      </c>
      <c r="D18" s="127">
        <v>3034</v>
      </c>
      <c r="E18" s="128">
        <v>30034</v>
      </c>
      <c r="F18" s="126" t="s">
        <v>1626</v>
      </c>
      <c r="G18" s="126" t="s">
        <v>1601</v>
      </c>
      <c r="H18" s="146">
        <v>2203663</v>
      </c>
      <c r="I18" s="147">
        <v>1888</v>
      </c>
      <c r="J18" s="126" t="s">
        <v>1610</v>
      </c>
      <c r="K18" s="126" t="s">
        <v>1605</v>
      </c>
      <c r="L18" s="129">
        <v>149</v>
      </c>
      <c r="M18" s="126"/>
      <c r="N18" s="148">
        <v>28</v>
      </c>
      <c r="O18" s="147"/>
      <c r="P18" s="149">
        <v>38.328299999999999</v>
      </c>
      <c r="Q18" s="147"/>
      <c r="R18" s="149">
        <v>29.584599999999998</v>
      </c>
      <c r="S18" s="147" t="s">
        <v>1616</v>
      </c>
      <c r="T18" s="149">
        <v>45.747900000000001</v>
      </c>
      <c r="U18" s="147"/>
      <c r="V18" s="146">
        <v>6001808</v>
      </c>
      <c r="W18" s="147"/>
      <c r="X18" s="150">
        <v>5996542</v>
      </c>
      <c r="Y18" s="147"/>
      <c r="Z18" s="146">
        <v>5596811</v>
      </c>
      <c r="AA18" s="147"/>
      <c r="AB18" s="146">
        <v>399731</v>
      </c>
      <c r="AC18" s="147"/>
      <c r="AD18" s="146">
        <v>155174</v>
      </c>
      <c r="AE18" s="147"/>
      <c r="AF18" s="146">
        <v>146023</v>
      </c>
      <c r="AG18" s="147"/>
      <c r="AH18" s="146">
        <v>9151</v>
      </c>
      <c r="AI18" s="147"/>
      <c r="AJ18" s="146">
        <v>1094365</v>
      </c>
      <c r="AK18" s="147"/>
      <c r="AL18" s="146">
        <v>1036558</v>
      </c>
      <c r="AM18" s="147"/>
      <c r="AN18" s="146">
        <v>30902</v>
      </c>
      <c r="AO18" s="147"/>
      <c r="AP18" s="151">
        <v>28513</v>
      </c>
      <c r="AQ18" s="147"/>
      <c r="AR18" s="146">
        <v>6680248</v>
      </c>
      <c r="AS18" s="147"/>
      <c r="AT18" s="150">
        <v>197632189</v>
      </c>
      <c r="AU18" s="126" t="s">
        <v>1616</v>
      </c>
      <c r="AV18" s="130">
        <v>400.4</v>
      </c>
      <c r="AW18" s="126" t="s">
        <v>1603</v>
      </c>
      <c r="AX18" s="126" t="s">
        <v>1748</v>
      </c>
    </row>
    <row r="19" spans="1:50">
      <c r="A19" s="126" t="s">
        <v>1750</v>
      </c>
      <c r="B19" s="126" t="s">
        <v>1630</v>
      </c>
      <c r="C19" s="126" t="s">
        <v>356</v>
      </c>
      <c r="D19" s="127">
        <v>4034</v>
      </c>
      <c r="E19" s="128">
        <v>40034</v>
      </c>
      <c r="F19" s="126" t="s">
        <v>1615</v>
      </c>
      <c r="G19" s="126" t="s">
        <v>1601</v>
      </c>
      <c r="H19" s="146">
        <v>5502379</v>
      </c>
      <c r="I19" s="147">
        <v>1452</v>
      </c>
      <c r="J19" s="126" t="s">
        <v>1604</v>
      </c>
      <c r="K19" s="126" t="s">
        <v>1602</v>
      </c>
      <c r="L19" s="129">
        <v>76</v>
      </c>
      <c r="M19" s="126"/>
      <c r="N19" s="148">
        <v>18</v>
      </c>
      <c r="O19" s="147"/>
      <c r="P19" s="149">
        <v>21.7622</v>
      </c>
      <c r="Q19" s="147"/>
      <c r="R19" s="149">
        <v>7.3830999999999998</v>
      </c>
      <c r="S19" s="147" t="s">
        <v>1616</v>
      </c>
      <c r="T19" s="149">
        <v>35.960099999999997</v>
      </c>
      <c r="U19" s="147"/>
      <c r="V19" s="146">
        <v>7212362</v>
      </c>
      <c r="W19" s="147"/>
      <c r="X19" s="150">
        <v>7598157</v>
      </c>
      <c r="Y19" s="147"/>
      <c r="Z19" s="146">
        <v>7178627</v>
      </c>
      <c r="AA19" s="147"/>
      <c r="AB19" s="146">
        <v>419530</v>
      </c>
      <c r="AC19" s="147"/>
      <c r="AD19" s="146">
        <v>362201</v>
      </c>
      <c r="AE19" s="147"/>
      <c r="AF19" s="146">
        <v>329867</v>
      </c>
      <c r="AG19" s="147"/>
      <c r="AH19" s="146">
        <v>32334</v>
      </c>
      <c r="AI19" s="147"/>
      <c r="AJ19" s="146">
        <v>1899556</v>
      </c>
      <c r="AK19" s="147"/>
      <c r="AL19" s="146">
        <v>1794673</v>
      </c>
      <c r="AM19" s="147"/>
      <c r="AN19" s="146">
        <v>90549</v>
      </c>
      <c r="AO19" s="147"/>
      <c r="AP19" s="151">
        <v>82465</v>
      </c>
      <c r="AQ19" s="147"/>
      <c r="AR19" s="146">
        <v>11862059</v>
      </c>
      <c r="AS19" s="147"/>
      <c r="AT19" s="150">
        <v>87578321</v>
      </c>
      <c r="AU19" s="126" t="s">
        <v>1616</v>
      </c>
      <c r="AV19" s="130">
        <v>49.84</v>
      </c>
      <c r="AW19" s="126" t="s">
        <v>1603</v>
      </c>
      <c r="AX19" s="126" t="s">
        <v>1748</v>
      </c>
    </row>
    <row r="20" spans="1:50">
      <c r="A20" s="126" t="s">
        <v>1627</v>
      </c>
      <c r="B20" s="126" t="s">
        <v>1628</v>
      </c>
      <c r="C20" s="126" t="s">
        <v>352</v>
      </c>
      <c r="D20" s="127">
        <v>8006</v>
      </c>
      <c r="E20" s="128">
        <v>80006</v>
      </c>
      <c r="F20" s="126" t="s">
        <v>1612</v>
      </c>
      <c r="G20" s="126" t="s">
        <v>1601</v>
      </c>
      <c r="H20" s="146">
        <v>2374203</v>
      </c>
      <c r="I20" s="147">
        <v>1431</v>
      </c>
      <c r="J20" s="126" t="s">
        <v>1609</v>
      </c>
      <c r="K20" s="126" t="s">
        <v>1602</v>
      </c>
      <c r="L20" s="129">
        <v>156</v>
      </c>
      <c r="M20" s="126"/>
      <c r="N20" s="148">
        <v>41</v>
      </c>
      <c r="O20" s="147"/>
      <c r="P20" s="149">
        <v>17.200199999999999</v>
      </c>
      <c r="Q20" s="147"/>
      <c r="R20" s="149">
        <v>6.9672999999999998</v>
      </c>
      <c r="S20" s="147"/>
      <c r="T20" s="149">
        <v>19.858599999999999</v>
      </c>
      <c r="U20" s="147"/>
      <c r="V20" s="146">
        <v>9004264</v>
      </c>
      <c r="W20" s="147"/>
      <c r="X20" s="150">
        <v>9327859</v>
      </c>
      <c r="Y20" s="147"/>
      <c r="Z20" s="146">
        <v>9063803</v>
      </c>
      <c r="AA20" s="147"/>
      <c r="AB20" s="146">
        <v>264056</v>
      </c>
      <c r="AC20" s="147"/>
      <c r="AD20" s="146">
        <v>590892</v>
      </c>
      <c r="AE20" s="147"/>
      <c r="AF20" s="146">
        <v>526960</v>
      </c>
      <c r="AG20" s="147"/>
      <c r="AH20" s="146">
        <v>63932</v>
      </c>
      <c r="AI20" s="147"/>
      <c r="AJ20" s="146">
        <v>3900081</v>
      </c>
      <c r="AK20" s="147"/>
      <c r="AL20" s="146">
        <v>3745938</v>
      </c>
      <c r="AM20" s="147"/>
      <c r="AN20" s="146">
        <v>267096</v>
      </c>
      <c r="AO20" s="147"/>
      <c r="AP20" s="151">
        <v>226007</v>
      </c>
      <c r="AQ20" s="147"/>
      <c r="AR20" s="146">
        <v>10464678</v>
      </c>
      <c r="AS20" s="147"/>
      <c r="AT20" s="150">
        <v>72910951</v>
      </c>
      <c r="AU20" s="126"/>
      <c r="AV20" s="130">
        <v>119.78</v>
      </c>
      <c r="AW20" s="126" t="s">
        <v>1603</v>
      </c>
      <c r="AX20" s="126" t="s">
        <v>1746</v>
      </c>
    </row>
    <row r="21" spans="1:50">
      <c r="A21" s="126" t="s">
        <v>1627</v>
      </c>
      <c r="B21" s="126" t="s">
        <v>1628</v>
      </c>
      <c r="C21" s="126" t="s">
        <v>352</v>
      </c>
      <c r="D21" s="127">
        <v>8006</v>
      </c>
      <c r="E21" s="128">
        <v>80006</v>
      </c>
      <c r="F21" s="126" t="s">
        <v>1612</v>
      </c>
      <c r="G21" s="126" t="s">
        <v>1601</v>
      </c>
      <c r="H21" s="146">
        <v>2374203</v>
      </c>
      <c r="I21" s="147">
        <v>1431</v>
      </c>
      <c r="J21" s="126" t="s">
        <v>1610</v>
      </c>
      <c r="K21" s="126" t="s">
        <v>1605</v>
      </c>
      <c r="L21" s="129">
        <v>44</v>
      </c>
      <c r="M21" s="126"/>
      <c r="N21" s="148">
        <v>12</v>
      </c>
      <c r="O21" s="147"/>
      <c r="P21" s="149">
        <v>27.563099999999999</v>
      </c>
      <c r="Q21" s="147"/>
      <c r="R21" s="149">
        <v>11.5166</v>
      </c>
      <c r="S21" s="147"/>
      <c r="T21" s="149">
        <v>21.7837</v>
      </c>
      <c r="U21" s="147"/>
      <c r="V21" s="146">
        <v>6222945</v>
      </c>
      <c r="W21" s="147"/>
      <c r="X21" s="150">
        <v>6197643</v>
      </c>
      <c r="Y21" s="147"/>
      <c r="Z21" s="146">
        <v>6048702</v>
      </c>
      <c r="AA21" s="147"/>
      <c r="AB21" s="146">
        <v>148941</v>
      </c>
      <c r="AC21" s="147"/>
      <c r="AD21" s="146">
        <v>228257</v>
      </c>
      <c r="AE21" s="147"/>
      <c r="AF21" s="146">
        <v>219449</v>
      </c>
      <c r="AG21" s="147"/>
      <c r="AH21" s="146">
        <v>8808</v>
      </c>
      <c r="AI21" s="147"/>
      <c r="AJ21" s="146">
        <v>2010537</v>
      </c>
      <c r="AK21" s="147"/>
      <c r="AL21" s="146">
        <v>1917204</v>
      </c>
      <c r="AM21" s="147"/>
      <c r="AN21" s="146">
        <v>74540</v>
      </c>
      <c r="AO21" s="147"/>
      <c r="AP21" s="151">
        <v>70293</v>
      </c>
      <c r="AQ21" s="147"/>
      <c r="AR21" s="146">
        <v>4780402</v>
      </c>
      <c r="AS21" s="147"/>
      <c r="AT21" s="150">
        <v>55053882</v>
      </c>
      <c r="AU21" s="126"/>
      <c r="AV21" s="130">
        <v>72.760000000000005</v>
      </c>
      <c r="AW21" s="126" t="s">
        <v>1603</v>
      </c>
      <c r="AX21" s="126" t="s">
        <v>1746</v>
      </c>
    </row>
    <row r="22" spans="1:50">
      <c r="A22" s="126" t="s">
        <v>1627</v>
      </c>
      <c r="B22" s="126" t="s">
        <v>1628</v>
      </c>
      <c r="C22" s="126" t="s">
        <v>352</v>
      </c>
      <c r="D22" s="127">
        <v>8006</v>
      </c>
      <c r="E22" s="128">
        <v>80006</v>
      </c>
      <c r="F22" s="126" t="s">
        <v>1612</v>
      </c>
      <c r="G22" s="126" t="s">
        <v>1601</v>
      </c>
      <c r="H22" s="146">
        <v>2374203</v>
      </c>
      <c r="I22" s="147">
        <v>1431</v>
      </c>
      <c r="J22" s="126" t="s">
        <v>1610</v>
      </c>
      <c r="K22" s="126" t="s">
        <v>1602</v>
      </c>
      <c r="L22" s="129">
        <v>8</v>
      </c>
      <c r="M22" s="126"/>
      <c r="N22" s="148">
        <v>3</v>
      </c>
      <c r="O22" s="147"/>
      <c r="P22" s="149">
        <v>20.484200000000001</v>
      </c>
      <c r="Q22" s="147"/>
      <c r="R22" s="149">
        <v>8.6130999999999993</v>
      </c>
      <c r="S22" s="147"/>
      <c r="T22" s="149">
        <v>18.016100000000002</v>
      </c>
      <c r="U22" s="147"/>
      <c r="V22" s="146">
        <v>203262</v>
      </c>
      <c r="W22" s="147"/>
      <c r="X22" s="150">
        <v>223786</v>
      </c>
      <c r="Y22" s="147"/>
      <c r="Z22" s="146">
        <v>197570</v>
      </c>
      <c r="AA22" s="147"/>
      <c r="AB22" s="146">
        <v>26216</v>
      </c>
      <c r="AC22" s="147"/>
      <c r="AD22" s="146">
        <v>12511</v>
      </c>
      <c r="AE22" s="147"/>
      <c r="AF22" s="146">
        <v>9645</v>
      </c>
      <c r="AG22" s="147"/>
      <c r="AH22" s="146">
        <v>2866</v>
      </c>
      <c r="AI22" s="147"/>
      <c r="AJ22" s="146">
        <v>115030</v>
      </c>
      <c r="AK22" s="147"/>
      <c r="AL22" s="146">
        <v>98743</v>
      </c>
      <c r="AM22" s="147"/>
      <c r="AN22" s="146">
        <v>6243</v>
      </c>
      <c r="AO22" s="147"/>
      <c r="AP22" s="151">
        <v>4937</v>
      </c>
      <c r="AQ22" s="147"/>
      <c r="AR22" s="146">
        <v>173765</v>
      </c>
      <c r="AS22" s="147"/>
      <c r="AT22" s="150">
        <v>1496661</v>
      </c>
      <c r="AU22" s="126"/>
      <c r="AV22" s="130">
        <v>26.32</v>
      </c>
      <c r="AW22" s="126" t="s">
        <v>1603</v>
      </c>
      <c r="AX22" s="126" t="s">
        <v>1746</v>
      </c>
    </row>
    <row r="23" spans="1:50">
      <c r="A23" s="126" t="s">
        <v>1631</v>
      </c>
      <c r="B23" s="126" t="s">
        <v>89</v>
      </c>
      <c r="C23" s="126" t="s">
        <v>381</v>
      </c>
      <c r="D23" s="127">
        <v>2078</v>
      </c>
      <c r="E23" s="128">
        <v>20078</v>
      </c>
      <c r="F23" s="126" t="s">
        <v>1600</v>
      </c>
      <c r="G23" s="126" t="s">
        <v>1601</v>
      </c>
      <c r="H23" s="146">
        <v>18351295</v>
      </c>
      <c r="I23" s="147">
        <v>1133</v>
      </c>
      <c r="J23" s="126" t="s">
        <v>1610</v>
      </c>
      <c r="K23" s="126" t="s">
        <v>1602</v>
      </c>
      <c r="L23" s="129">
        <v>1122</v>
      </c>
      <c r="M23" s="126"/>
      <c r="N23" s="148">
        <v>135</v>
      </c>
      <c r="O23" s="147"/>
      <c r="P23" s="149">
        <v>31.299700000000001</v>
      </c>
      <c r="Q23" s="147"/>
      <c r="R23" s="149">
        <v>22.852399999999999</v>
      </c>
      <c r="S23" s="147" t="s">
        <v>1616</v>
      </c>
      <c r="T23" s="149">
        <v>18.882400000000001</v>
      </c>
      <c r="U23" s="147"/>
      <c r="V23" s="146">
        <v>47488237</v>
      </c>
      <c r="W23" s="147"/>
      <c r="X23" s="150">
        <v>53139671</v>
      </c>
      <c r="Y23" s="147"/>
      <c r="Z23" s="146">
        <v>48719168</v>
      </c>
      <c r="AA23" s="147"/>
      <c r="AB23" s="146">
        <v>4420503</v>
      </c>
      <c r="AC23" s="147"/>
      <c r="AD23" s="146">
        <v>1709469</v>
      </c>
      <c r="AE23" s="147"/>
      <c r="AF23" s="146">
        <v>1556539</v>
      </c>
      <c r="AG23" s="147"/>
      <c r="AH23" s="146">
        <v>152930</v>
      </c>
      <c r="AI23" s="147"/>
      <c r="AJ23" s="146">
        <v>7201726</v>
      </c>
      <c r="AK23" s="147"/>
      <c r="AL23" s="146">
        <v>6564652</v>
      </c>
      <c r="AM23" s="147"/>
      <c r="AN23" s="146">
        <v>225218</v>
      </c>
      <c r="AO23" s="147"/>
      <c r="AP23" s="151">
        <v>203440</v>
      </c>
      <c r="AQ23" s="147"/>
      <c r="AR23" s="146">
        <v>29391259</v>
      </c>
      <c r="AS23" s="147"/>
      <c r="AT23" s="150">
        <v>671661254</v>
      </c>
      <c r="AU23" s="126" t="s">
        <v>1616</v>
      </c>
      <c r="AV23" s="130">
        <v>545.74</v>
      </c>
      <c r="AW23" s="126" t="s">
        <v>1603</v>
      </c>
      <c r="AX23" s="126" t="s">
        <v>1748</v>
      </c>
    </row>
    <row r="24" spans="1:50">
      <c r="A24" s="126" t="s">
        <v>1634</v>
      </c>
      <c r="B24" s="126" t="s">
        <v>1635</v>
      </c>
      <c r="C24" s="126" t="s">
        <v>390</v>
      </c>
      <c r="D24" s="127">
        <v>6056</v>
      </c>
      <c r="E24" s="128">
        <v>60056</v>
      </c>
      <c r="F24" s="126" t="s">
        <v>1612</v>
      </c>
      <c r="G24" s="126" t="s">
        <v>1601</v>
      </c>
      <c r="H24" s="146">
        <v>5121892</v>
      </c>
      <c r="I24" s="147">
        <v>1082</v>
      </c>
      <c r="J24" s="126" t="s">
        <v>1609</v>
      </c>
      <c r="K24" s="126" t="s">
        <v>1602</v>
      </c>
      <c r="L24" s="129">
        <v>117</v>
      </c>
      <c r="M24" s="126"/>
      <c r="N24" s="148">
        <v>44</v>
      </c>
      <c r="O24" s="147"/>
      <c r="P24" s="149">
        <v>20.510100000000001</v>
      </c>
      <c r="Q24" s="147"/>
      <c r="R24" s="149">
        <v>8.1821999999999999</v>
      </c>
      <c r="S24" s="147"/>
      <c r="T24" s="149">
        <v>41.742400000000004</v>
      </c>
      <c r="U24" s="147"/>
      <c r="V24" s="146">
        <v>9953657</v>
      </c>
      <c r="W24" s="147"/>
      <c r="X24" s="150">
        <v>9937246</v>
      </c>
      <c r="Y24" s="147"/>
      <c r="Z24" s="146">
        <v>9866803</v>
      </c>
      <c r="AA24" s="147"/>
      <c r="AB24" s="146">
        <v>70443</v>
      </c>
      <c r="AC24" s="147"/>
      <c r="AD24" s="146">
        <v>486886</v>
      </c>
      <c r="AE24" s="147"/>
      <c r="AF24" s="146">
        <v>481071</v>
      </c>
      <c r="AG24" s="147"/>
      <c r="AH24" s="146">
        <v>5815</v>
      </c>
      <c r="AI24" s="147"/>
      <c r="AJ24" s="146">
        <v>5348975</v>
      </c>
      <c r="AK24" s="147"/>
      <c r="AL24" s="146">
        <v>5310292</v>
      </c>
      <c r="AM24" s="147"/>
      <c r="AN24" s="146">
        <v>261692</v>
      </c>
      <c r="AO24" s="147"/>
      <c r="AP24" s="151">
        <v>258495</v>
      </c>
      <c r="AQ24" s="147"/>
      <c r="AR24" s="146">
        <v>20081036</v>
      </c>
      <c r="AS24" s="147"/>
      <c r="AT24" s="150">
        <v>164306746</v>
      </c>
      <c r="AU24" s="126"/>
      <c r="AV24" s="130">
        <v>182.44</v>
      </c>
      <c r="AW24" s="126" t="s">
        <v>1603</v>
      </c>
      <c r="AX24" s="126" t="s">
        <v>1746</v>
      </c>
    </row>
    <row r="25" spans="1:50">
      <c r="A25" s="126" t="s">
        <v>1634</v>
      </c>
      <c r="B25" s="126" t="s">
        <v>1635</v>
      </c>
      <c r="C25" s="126" t="s">
        <v>390</v>
      </c>
      <c r="D25" s="127">
        <v>6056</v>
      </c>
      <c r="E25" s="128">
        <v>60056</v>
      </c>
      <c r="F25" s="126" t="s">
        <v>1612</v>
      </c>
      <c r="G25" s="126" t="s">
        <v>1601</v>
      </c>
      <c r="H25" s="146">
        <v>5121892</v>
      </c>
      <c r="I25" s="147">
        <v>1082</v>
      </c>
      <c r="J25" s="126" t="s">
        <v>1610</v>
      </c>
      <c r="K25" s="126" t="s">
        <v>1605</v>
      </c>
      <c r="L25" s="129">
        <v>23</v>
      </c>
      <c r="M25" s="126"/>
      <c r="N25" s="148">
        <v>3</v>
      </c>
      <c r="O25" s="147"/>
      <c r="P25" s="149">
        <v>22.474</v>
      </c>
      <c r="Q25" s="147"/>
      <c r="R25" s="149">
        <v>17.300799999999999</v>
      </c>
      <c r="S25" s="147"/>
      <c r="T25" s="149">
        <v>20.252400000000002</v>
      </c>
      <c r="U25" s="147"/>
      <c r="V25" s="146">
        <v>1390207</v>
      </c>
      <c r="W25" s="147"/>
      <c r="X25" s="150">
        <v>1437340</v>
      </c>
      <c r="Y25" s="147"/>
      <c r="Z25" s="146">
        <v>1404961</v>
      </c>
      <c r="AA25" s="147"/>
      <c r="AB25" s="146">
        <v>32379</v>
      </c>
      <c r="AC25" s="147"/>
      <c r="AD25" s="146">
        <v>63773</v>
      </c>
      <c r="AE25" s="147"/>
      <c r="AF25" s="146">
        <v>62515</v>
      </c>
      <c r="AG25" s="147"/>
      <c r="AH25" s="146">
        <v>1258</v>
      </c>
      <c r="AI25" s="147"/>
      <c r="AJ25" s="146">
        <v>506768</v>
      </c>
      <c r="AK25" s="147"/>
      <c r="AL25" s="146">
        <v>495677</v>
      </c>
      <c r="AM25" s="147"/>
      <c r="AN25" s="146">
        <v>22535</v>
      </c>
      <c r="AO25" s="147"/>
      <c r="AP25" s="151">
        <v>22090</v>
      </c>
      <c r="AQ25" s="147"/>
      <c r="AR25" s="146">
        <v>1266076</v>
      </c>
      <c r="AS25" s="147"/>
      <c r="AT25" s="150">
        <v>21904126</v>
      </c>
      <c r="AU25" s="126"/>
      <c r="AV25" s="130">
        <v>72.3</v>
      </c>
      <c r="AW25" s="126" t="s">
        <v>1603</v>
      </c>
      <c r="AX25" s="126" t="s">
        <v>1746</v>
      </c>
    </row>
    <row r="26" spans="1:50">
      <c r="A26" s="126" t="s">
        <v>1632</v>
      </c>
      <c r="B26" s="126" t="s">
        <v>1633</v>
      </c>
      <c r="C26" s="126" t="s">
        <v>395</v>
      </c>
      <c r="D26" s="127">
        <v>8001</v>
      </c>
      <c r="E26" s="128">
        <v>80001</v>
      </c>
      <c r="F26" s="126" t="s">
        <v>1612</v>
      </c>
      <c r="G26" s="126" t="s">
        <v>1601</v>
      </c>
      <c r="H26" s="146">
        <v>1021243</v>
      </c>
      <c r="I26" s="147">
        <v>1081</v>
      </c>
      <c r="J26" s="126" t="s">
        <v>1609</v>
      </c>
      <c r="K26" s="126" t="s">
        <v>1602</v>
      </c>
      <c r="L26" s="129">
        <v>89</v>
      </c>
      <c r="M26" s="126"/>
      <c r="N26" s="148">
        <v>22</v>
      </c>
      <c r="O26" s="147"/>
      <c r="P26" s="149">
        <v>17.192799999999998</v>
      </c>
      <c r="Q26" s="147"/>
      <c r="R26" s="149">
        <v>4.7436999999999996</v>
      </c>
      <c r="S26" s="147"/>
      <c r="T26" s="149">
        <v>23.191400000000002</v>
      </c>
      <c r="U26" s="147"/>
      <c r="V26" s="146">
        <v>6112222</v>
      </c>
      <c r="W26" s="147"/>
      <c r="X26" s="150">
        <v>6204641</v>
      </c>
      <c r="Y26" s="147"/>
      <c r="Z26" s="146">
        <v>6114108</v>
      </c>
      <c r="AA26" s="147"/>
      <c r="AB26" s="146">
        <v>90533</v>
      </c>
      <c r="AC26" s="147"/>
      <c r="AD26" s="146">
        <v>367255</v>
      </c>
      <c r="AE26" s="147"/>
      <c r="AF26" s="146">
        <v>355621</v>
      </c>
      <c r="AG26" s="147"/>
      <c r="AH26" s="146">
        <v>11634</v>
      </c>
      <c r="AI26" s="147"/>
      <c r="AJ26" s="146">
        <v>2255583</v>
      </c>
      <c r="AK26" s="147"/>
      <c r="AL26" s="146">
        <v>2223959</v>
      </c>
      <c r="AM26" s="147"/>
      <c r="AN26" s="146">
        <v>136213</v>
      </c>
      <c r="AO26" s="147"/>
      <c r="AP26" s="151">
        <v>131989</v>
      </c>
      <c r="AQ26" s="147"/>
      <c r="AR26" s="146">
        <v>8247364</v>
      </c>
      <c r="AS26" s="147"/>
      <c r="AT26" s="150">
        <v>39122864</v>
      </c>
      <c r="AU26" s="126"/>
      <c r="AV26" s="130">
        <v>93.91</v>
      </c>
      <c r="AW26" s="126" t="s">
        <v>1603</v>
      </c>
      <c r="AX26" s="126" t="s">
        <v>1746</v>
      </c>
    </row>
    <row r="27" spans="1:50">
      <c r="A27" s="126" t="s">
        <v>1632</v>
      </c>
      <c r="B27" s="126" t="s">
        <v>1633</v>
      </c>
      <c r="C27" s="126" t="s">
        <v>395</v>
      </c>
      <c r="D27" s="127">
        <v>8001</v>
      </c>
      <c r="E27" s="128">
        <v>80001</v>
      </c>
      <c r="F27" s="126" t="s">
        <v>1612</v>
      </c>
      <c r="G27" s="126" t="s">
        <v>1601</v>
      </c>
      <c r="H27" s="146">
        <v>1021243</v>
      </c>
      <c r="I27" s="147">
        <v>1081</v>
      </c>
      <c r="J27" s="126" t="s">
        <v>1610</v>
      </c>
      <c r="K27" s="126" t="s">
        <v>1602</v>
      </c>
      <c r="L27" s="129">
        <v>50</v>
      </c>
      <c r="M27" s="126"/>
      <c r="N27" s="148">
        <v>9</v>
      </c>
      <c r="O27" s="147"/>
      <c r="P27" s="149">
        <v>32.473599999999998</v>
      </c>
      <c r="Q27" s="147"/>
      <c r="R27" s="149">
        <v>25.643899999999999</v>
      </c>
      <c r="S27" s="147"/>
      <c r="T27" s="149">
        <v>16.274799999999999</v>
      </c>
      <c r="U27" s="147"/>
      <c r="V27" s="146">
        <v>4053946</v>
      </c>
      <c r="W27" s="147"/>
      <c r="X27" s="150">
        <v>4051779</v>
      </c>
      <c r="Y27" s="147"/>
      <c r="Z27" s="146">
        <v>4039581</v>
      </c>
      <c r="AA27" s="147"/>
      <c r="AB27" s="146">
        <v>12198</v>
      </c>
      <c r="AC27" s="147"/>
      <c r="AD27" s="146">
        <v>128674</v>
      </c>
      <c r="AE27" s="147"/>
      <c r="AF27" s="146">
        <v>124396</v>
      </c>
      <c r="AG27" s="147"/>
      <c r="AH27" s="146">
        <v>4278</v>
      </c>
      <c r="AI27" s="147"/>
      <c r="AJ27" s="146">
        <v>1067699</v>
      </c>
      <c r="AK27" s="147"/>
      <c r="AL27" s="146">
        <v>1064546</v>
      </c>
      <c r="AM27" s="147"/>
      <c r="AN27" s="146">
        <v>33846</v>
      </c>
      <c r="AO27" s="147"/>
      <c r="AP27" s="151">
        <v>32741</v>
      </c>
      <c r="AQ27" s="147"/>
      <c r="AR27" s="146">
        <v>2024524</v>
      </c>
      <c r="AS27" s="147"/>
      <c r="AT27" s="150">
        <v>51916777</v>
      </c>
      <c r="AU27" s="126"/>
      <c r="AV27" s="130">
        <v>174.46</v>
      </c>
      <c r="AW27" s="126" t="s">
        <v>1603</v>
      </c>
      <c r="AX27" s="126" t="s">
        <v>1746</v>
      </c>
    </row>
    <row r="28" spans="1:50">
      <c r="A28" s="126" t="s">
        <v>1636</v>
      </c>
      <c r="B28" s="126" t="s">
        <v>1618</v>
      </c>
      <c r="C28" s="126" t="s">
        <v>361</v>
      </c>
      <c r="D28" s="127">
        <v>5118</v>
      </c>
      <c r="E28" s="128">
        <v>50118</v>
      </c>
      <c r="F28" s="126" t="s">
        <v>1612</v>
      </c>
      <c r="G28" s="126" t="s">
        <v>1601</v>
      </c>
      <c r="H28" s="146">
        <v>8608208</v>
      </c>
      <c r="I28" s="147">
        <v>1066</v>
      </c>
      <c r="J28" s="126" t="s">
        <v>1610</v>
      </c>
      <c r="K28" s="126" t="s">
        <v>1605</v>
      </c>
      <c r="L28" s="129">
        <v>527</v>
      </c>
      <c r="M28" s="126"/>
      <c r="N28" s="148">
        <v>40</v>
      </c>
      <c r="O28" s="147"/>
      <c r="P28" s="149">
        <v>30.932500000000001</v>
      </c>
      <c r="Q28" s="147"/>
      <c r="R28" s="149">
        <v>21.712499999999999</v>
      </c>
      <c r="S28" s="147"/>
      <c r="T28" s="149">
        <v>18.979099999999999</v>
      </c>
      <c r="U28" s="147"/>
      <c r="V28" s="146">
        <v>16284231</v>
      </c>
      <c r="W28" s="147"/>
      <c r="X28" s="150">
        <v>16302662</v>
      </c>
      <c r="Y28" s="147"/>
      <c r="Z28" s="146">
        <v>15388572</v>
      </c>
      <c r="AA28" s="147"/>
      <c r="AB28" s="146">
        <v>914090</v>
      </c>
      <c r="AC28" s="147"/>
      <c r="AD28" s="146">
        <v>520340</v>
      </c>
      <c r="AE28" s="147"/>
      <c r="AF28" s="146">
        <v>497488</v>
      </c>
      <c r="AG28" s="147"/>
      <c r="AH28" s="146">
        <v>22852</v>
      </c>
      <c r="AI28" s="147"/>
      <c r="AJ28" s="146">
        <v>2394714</v>
      </c>
      <c r="AK28" s="147"/>
      <c r="AL28" s="146">
        <v>2258067</v>
      </c>
      <c r="AM28" s="147"/>
      <c r="AN28" s="146">
        <v>76862</v>
      </c>
      <c r="AO28" s="147"/>
      <c r="AP28" s="151">
        <v>73504</v>
      </c>
      <c r="AQ28" s="147"/>
      <c r="AR28" s="146">
        <v>9441882</v>
      </c>
      <c r="AS28" s="147"/>
      <c r="AT28" s="150">
        <v>205006670</v>
      </c>
      <c r="AU28" s="126"/>
      <c r="AV28" s="130">
        <v>399.6</v>
      </c>
      <c r="AW28" s="126" t="s">
        <v>1603</v>
      </c>
      <c r="AX28" s="126" t="s">
        <v>1746</v>
      </c>
    </row>
    <row r="29" spans="1:50">
      <c r="A29" s="126" t="s">
        <v>1636</v>
      </c>
      <c r="B29" s="126" t="s">
        <v>1618</v>
      </c>
      <c r="C29" s="126" t="s">
        <v>361</v>
      </c>
      <c r="D29" s="127">
        <v>5118</v>
      </c>
      <c r="E29" s="128">
        <v>50118</v>
      </c>
      <c r="F29" s="126" t="s">
        <v>1612</v>
      </c>
      <c r="G29" s="126" t="s">
        <v>1601</v>
      </c>
      <c r="H29" s="146">
        <v>8608208</v>
      </c>
      <c r="I29" s="147">
        <v>1066</v>
      </c>
      <c r="J29" s="126" t="s">
        <v>1610</v>
      </c>
      <c r="K29" s="126" t="s">
        <v>1602</v>
      </c>
      <c r="L29" s="129">
        <v>539</v>
      </c>
      <c r="M29" s="126"/>
      <c r="N29" s="148">
        <v>53</v>
      </c>
      <c r="O29" s="147"/>
      <c r="P29" s="149">
        <v>29.0824</v>
      </c>
      <c r="Q29" s="147"/>
      <c r="R29" s="149">
        <v>21.172499999999999</v>
      </c>
      <c r="S29" s="147"/>
      <c r="T29" s="149">
        <v>13.8796</v>
      </c>
      <c r="U29" s="147"/>
      <c r="V29" s="146">
        <v>16028080</v>
      </c>
      <c r="W29" s="147"/>
      <c r="X29" s="150">
        <v>15585872</v>
      </c>
      <c r="Y29" s="147"/>
      <c r="Z29" s="146">
        <v>15273179</v>
      </c>
      <c r="AA29" s="147"/>
      <c r="AB29" s="146">
        <v>312693</v>
      </c>
      <c r="AC29" s="147"/>
      <c r="AD29" s="146">
        <v>535954</v>
      </c>
      <c r="AE29" s="147"/>
      <c r="AF29" s="146">
        <v>525169</v>
      </c>
      <c r="AG29" s="147"/>
      <c r="AH29" s="146">
        <v>10785</v>
      </c>
      <c r="AI29" s="147"/>
      <c r="AJ29" s="146">
        <v>2545102</v>
      </c>
      <c r="AK29" s="147"/>
      <c r="AL29" s="146">
        <v>2494601</v>
      </c>
      <c r="AM29" s="147"/>
      <c r="AN29" s="146">
        <v>89035</v>
      </c>
      <c r="AO29" s="147"/>
      <c r="AP29" s="151">
        <v>87312</v>
      </c>
      <c r="AQ29" s="147"/>
      <c r="AR29" s="146">
        <v>7289149</v>
      </c>
      <c r="AS29" s="147"/>
      <c r="AT29" s="150">
        <v>154329520</v>
      </c>
      <c r="AU29" s="126"/>
      <c r="AV29" s="130">
        <v>575.4</v>
      </c>
      <c r="AW29" s="126" t="s">
        <v>1603</v>
      </c>
      <c r="AX29" s="126" t="s">
        <v>1746</v>
      </c>
    </row>
    <row r="30" spans="1:50">
      <c r="A30" s="126" t="s">
        <v>1637</v>
      </c>
      <c r="B30" s="126" t="s">
        <v>1638</v>
      </c>
      <c r="C30" s="126" t="s">
        <v>381</v>
      </c>
      <c r="D30" s="127">
        <v>2100</v>
      </c>
      <c r="E30" s="128">
        <v>20100</v>
      </c>
      <c r="F30" s="126" t="s">
        <v>1600</v>
      </c>
      <c r="G30" s="126" t="s">
        <v>1601</v>
      </c>
      <c r="H30" s="146">
        <v>18351295</v>
      </c>
      <c r="I30" s="147">
        <v>1022</v>
      </c>
      <c r="J30" s="126" t="s">
        <v>1610</v>
      </c>
      <c r="K30" s="126" t="s">
        <v>1602</v>
      </c>
      <c r="L30" s="129">
        <v>1022</v>
      </c>
      <c r="M30" s="126"/>
      <c r="N30" s="148">
        <v>107</v>
      </c>
      <c r="O30" s="147"/>
      <c r="P30" s="149">
        <v>29.212299999999999</v>
      </c>
      <c r="Q30" s="147"/>
      <c r="R30" s="149">
        <v>28.269200000000001</v>
      </c>
      <c r="S30" s="147" t="s">
        <v>1616</v>
      </c>
      <c r="T30" s="149">
        <v>20.565999999999999</v>
      </c>
      <c r="U30" s="147" t="s">
        <v>1616</v>
      </c>
      <c r="V30" s="146">
        <v>61301708</v>
      </c>
      <c r="W30" s="147"/>
      <c r="X30" s="150">
        <v>68469245</v>
      </c>
      <c r="Y30" s="147"/>
      <c r="Z30" s="146">
        <v>61766650</v>
      </c>
      <c r="AA30" s="147"/>
      <c r="AB30" s="146">
        <v>6702595</v>
      </c>
      <c r="AC30" s="147"/>
      <c r="AD30" s="146">
        <v>2305899</v>
      </c>
      <c r="AE30" s="147"/>
      <c r="AF30" s="146">
        <v>2114409</v>
      </c>
      <c r="AG30" s="147"/>
      <c r="AH30" s="146">
        <v>191490</v>
      </c>
      <c r="AI30" s="147"/>
      <c r="AJ30" s="146">
        <v>7765181</v>
      </c>
      <c r="AK30" s="147"/>
      <c r="AL30" s="146">
        <v>6968685</v>
      </c>
      <c r="AM30" s="147"/>
      <c r="AN30" s="146">
        <v>266731</v>
      </c>
      <c r="AO30" s="147"/>
      <c r="AP30" s="151">
        <v>199752</v>
      </c>
      <c r="AQ30" s="147"/>
      <c r="AR30" s="146">
        <v>43484907</v>
      </c>
      <c r="AS30" s="147" t="s">
        <v>1616</v>
      </c>
      <c r="AT30" s="150">
        <v>1229284540</v>
      </c>
      <c r="AU30" s="126" t="s">
        <v>1616</v>
      </c>
      <c r="AV30" s="130">
        <v>638.20000000000005</v>
      </c>
      <c r="AW30" s="126" t="s">
        <v>1603</v>
      </c>
      <c r="AX30" s="126" t="s">
        <v>1748</v>
      </c>
    </row>
    <row r="31" spans="1:50">
      <c r="A31" s="126" t="s">
        <v>1751</v>
      </c>
      <c r="B31" s="126" t="s">
        <v>1640</v>
      </c>
      <c r="C31" s="126" t="s">
        <v>351</v>
      </c>
      <c r="D31" s="127">
        <v>9015</v>
      </c>
      <c r="E31" s="128">
        <v>90015</v>
      </c>
      <c r="F31" s="126" t="s">
        <v>1615</v>
      </c>
      <c r="G31" s="126" t="s">
        <v>1601</v>
      </c>
      <c r="H31" s="146">
        <v>3281212</v>
      </c>
      <c r="I31" s="147">
        <v>996</v>
      </c>
      <c r="J31" s="126" t="s">
        <v>1609</v>
      </c>
      <c r="K31" s="126" t="s">
        <v>1602</v>
      </c>
      <c r="L31" s="129">
        <v>149</v>
      </c>
      <c r="M31" s="126"/>
      <c r="N31" s="148">
        <v>141</v>
      </c>
      <c r="O31" s="147"/>
      <c r="P31" s="149">
        <v>9.4969999999999999</v>
      </c>
      <c r="Q31" s="147"/>
      <c r="R31" s="149">
        <v>2.7421000000000002</v>
      </c>
      <c r="S31" s="147"/>
      <c r="T31" s="149">
        <v>76.584800000000001</v>
      </c>
      <c r="U31" s="147"/>
      <c r="V31" s="146">
        <v>4944335</v>
      </c>
      <c r="W31" s="147"/>
      <c r="X31" s="150">
        <v>4660934</v>
      </c>
      <c r="Y31" s="147"/>
      <c r="Z31" s="146">
        <v>4640244</v>
      </c>
      <c r="AA31" s="147"/>
      <c r="AB31" s="146">
        <v>20690</v>
      </c>
      <c r="AC31" s="147"/>
      <c r="AD31" s="146">
        <v>491748</v>
      </c>
      <c r="AE31" s="147"/>
      <c r="AF31" s="146">
        <v>488601</v>
      </c>
      <c r="AG31" s="147"/>
      <c r="AH31" s="146">
        <v>3147</v>
      </c>
      <c r="AI31" s="147"/>
      <c r="AJ31" s="146">
        <v>3097363</v>
      </c>
      <c r="AK31" s="147"/>
      <c r="AL31" s="146">
        <v>3084167</v>
      </c>
      <c r="AM31" s="147"/>
      <c r="AN31" s="146">
        <v>326422</v>
      </c>
      <c r="AO31" s="147"/>
      <c r="AP31" s="151">
        <v>324323</v>
      </c>
      <c r="AQ31" s="147"/>
      <c r="AR31" s="146">
        <v>37419416</v>
      </c>
      <c r="AS31" s="147"/>
      <c r="AT31" s="150">
        <v>102607757</v>
      </c>
      <c r="AU31" s="126"/>
      <c r="AV31" s="130">
        <v>64.400000000000006</v>
      </c>
      <c r="AW31" s="126" t="s">
        <v>1603</v>
      </c>
      <c r="AX31" s="126" t="s">
        <v>1746</v>
      </c>
    </row>
    <row r="32" spans="1:50">
      <c r="A32" s="126" t="s">
        <v>1752</v>
      </c>
      <c r="B32" s="126" t="s">
        <v>1641</v>
      </c>
      <c r="C32" s="126" t="s">
        <v>384</v>
      </c>
      <c r="D32" s="127">
        <v>8</v>
      </c>
      <c r="E32" s="128">
        <v>8</v>
      </c>
      <c r="F32" s="126" t="s">
        <v>1612</v>
      </c>
      <c r="G32" s="126" t="s">
        <v>1601</v>
      </c>
      <c r="H32" s="146">
        <v>1849898</v>
      </c>
      <c r="I32" s="147">
        <v>982</v>
      </c>
      <c r="J32" s="126" t="s">
        <v>1609</v>
      </c>
      <c r="K32" s="126" t="s">
        <v>1602</v>
      </c>
      <c r="L32" s="129">
        <v>116</v>
      </c>
      <c r="M32" s="126"/>
      <c r="N32" s="148">
        <v>55</v>
      </c>
      <c r="O32" s="147"/>
      <c r="P32" s="149">
        <v>14.136900000000001</v>
      </c>
      <c r="Q32" s="147"/>
      <c r="R32" s="149">
        <v>5.2552000000000003</v>
      </c>
      <c r="S32" s="147"/>
      <c r="T32" s="149">
        <v>48.392400000000002</v>
      </c>
      <c r="U32" s="147"/>
      <c r="V32" s="146">
        <v>8977599</v>
      </c>
      <c r="W32" s="147"/>
      <c r="X32" s="150">
        <v>8981104</v>
      </c>
      <c r="Y32" s="147"/>
      <c r="Z32" s="146">
        <v>8864217</v>
      </c>
      <c r="AA32" s="147"/>
      <c r="AB32" s="146">
        <v>116887</v>
      </c>
      <c r="AC32" s="147"/>
      <c r="AD32" s="146">
        <v>636882</v>
      </c>
      <c r="AE32" s="147"/>
      <c r="AF32" s="146">
        <v>627025</v>
      </c>
      <c r="AG32" s="147"/>
      <c r="AH32" s="146">
        <v>9857</v>
      </c>
      <c r="AI32" s="147"/>
      <c r="AJ32" s="146">
        <v>4501055</v>
      </c>
      <c r="AK32" s="147"/>
      <c r="AL32" s="146">
        <v>4442373</v>
      </c>
      <c r="AM32" s="147"/>
      <c r="AN32" s="146">
        <v>319090</v>
      </c>
      <c r="AO32" s="147"/>
      <c r="AP32" s="151">
        <v>314140</v>
      </c>
      <c r="AQ32" s="147"/>
      <c r="AR32" s="146">
        <v>30343267</v>
      </c>
      <c r="AS32" s="147"/>
      <c r="AT32" s="150">
        <v>159458488</v>
      </c>
      <c r="AU32" s="126"/>
      <c r="AV32" s="130">
        <v>118.91</v>
      </c>
      <c r="AW32" s="126" t="s">
        <v>1603</v>
      </c>
      <c r="AX32" s="126" t="s">
        <v>1746</v>
      </c>
    </row>
    <row r="33" spans="1:50">
      <c r="A33" s="126" t="s">
        <v>1647</v>
      </c>
      <c r="B33" s="126" t="s">
        <v>1648</v>
      </c>
      <c r="C33" s="126" t="s">
        <v>357</v>
      </c>
      <c r="D33" s="127">
        <v>4022</v>
      </c>
      <c r="E33" s="128">
        <v>40022</v>
      </c>
      <c r="F33" s="126" t="s">
        <v>1612</v>
      </c>
      <c r="G33" s="126" t="s">
        <v>1601</v>
      </c>
      <c r="H33" s="146">
        <v>4515419</v>
      </c>
      <c r="I33" s="147">
        <v>943</v>
      </c>
      <c r="J33" s="126" t="s">
        <v>1604</v>
      </c>
      <c r="K33" s="126" t="s">
        <v>1602</v>
      </c>
      <c r="L33" s="129">
        <v>212</v>
      </c>
      <c r="M33" s="126"/>
      <c r="N33" s="148">
        <v>39</v>
      </c>
      <c r="O33" s="147"/>
      <c r="P33" s="149">
        <v>26.494</v>
      </c>
      <c r="Q33" s="147"/>
      <c r="R33" s="149">
        <v>7.2762000000000002</v>
      </c>
      <c r="S33" s="147"/>
      <c r="T33" s="149">
        <v>58.747300000000003</v>
      </c>
      <c r="U33" s="147"/>
      <c r="V33" s="146">
        <v>20499724</v>
      </c>
      <c r="W33" s="147"/>
      <c r="X33" s="150">
        <v>21145309</v>
      </c>
      <c r="Y33" s="147"/>
      <c r="Z33" s="146">
        <v>20430752</v>
      </c>
      <c r="AA33" s="147"/>
      <c r="AB33" s="146">
        <v>714557</v>
      </c>
      <c r="AC33" s="147"/>
      <c r="AD33" s="146">
        <v>794602</v>
      </c>
      <c r="AE33" s="147"/>
      <c r="AF33" s="146">
        <v>771146</v>
      </c>
      <c r="AG33" s="147"/>
      <c r="AH33" s="146">
        <v>23456</v>
      </c>
      <c r="AI33" s="147"/>
      <c r="AJ33" s="146">
        <v>3715370</v>
      </c>
      <c r="AK33" s="147"/>
      <c r="AL33" s="146">
        <v>3628801</v>
      </c>
      <c r="AM33" s="147"/>
      <c r="AN33" s="146">
        <v>143614</v>
      </c>
      <c r="AO33" s="147"/>
      <c r="AP33" s="151">
        <v>139086</v>
      </c>
      <c r="AQ33" s="147"/>
      <c r="AR33" s="146">
        <v>45302714</v>
      </c>
      <c r="AS33" s="147"/>
      <c r="AT33" s="150">
        <v>329631085</v>
      </c>
      <c r="AU33" s="126"/>
      <c r="AV33" s="130">
        <v>96.06</v>
      </c>
      <c r="AW33" s="126" t="s">
        <v>1603</v>
      </c>
      <c r="AX33" s="126" t="s">
        <v>1746</v>
      </c>
    </row>
    <row r="34" spans="1:50">
      <c r="A34" s="126" t="s">
        <v>1644</v>
      </c>
      <c r="B34" s="126" t="s">
        <v>1645</v>
      </c>
      <c r="C34" s="126" t="s">
        <v>385</v>
      </c>
      <c r="D34" s="127">
        <v>3022</v>
      </c>
      <c r="E34" s="128">
        <v>30022</v>
      </c>
      <c r="F34" s="126" t="s">
        <v>1612</v>
      </c>
      <c r="G34" s="126" t="s">
        <v>1601</v>
      </c>
      <c r="H34" s="146">
        <v>1733853</v>
      </c>
      <c r="I34" s="147">
        <v>930</v>
      </c>
      <c r="J34" s="126" t="s">
        <v>1609</v>
      </c>
      <c r="K34" s="126" t="s">
        <v>1602</v>
      </c>
      <c r="L34" s="129">
        <v>58</v>
      </c>
      <c r="M34" s="126"/>
      <c r="N34" s="148">
        <v>29</v>
      </c>
      <c r="O34" s="147"/>
      <c r="P34" s="149">
        <v>12.909700000000001</v>
      </c>
      <c r="Q34" s="147"/>
      <c r="R34" s="149">
        <v>4.0317999999999996</v>
      </c>
      <c r="S34" s="147"/>
      <c r="T34" s="149">
        <v>37.530500000000004</v>
      </c>
      <c r="U34" s="147"/>
      <c r="V34" s="146">
        <v>2027777</v>
      </c>
      <c r="W34" s="147"/>
      <c r="X34" s="150">
        <v>1999310</v>
      </c>
      <c r="Y34" s="147"/>
      <c r="Z34" s="146">
        <v>1916792</v>
      </c>
      <c r="AA34" s="147"/>
      <c r="AB34" s="146">
        <v>82518</v>
      </c>
      <c r="AC34" s="147"/>
      <c r="AD34" s="146">
        <v>155486</v>
      </c>
      <c r="AE34" s="147"/>
      <c r="AF34" s="146">
        <v>148477</v>
      </c>
      <c r="AG34" s="147"/>
      <c r="AH34" s="146">
        <v>7009</v>
      </c>
      <c r="AI34" s="147"/>
      <c r="AJ34" s="146">
        <v>1497766</v>
      </c>
      <c r="AK34" s="147"/>
      <c r="AL34" s="146">
        <v>1442245</v>
      </c>
      <c r="AM34" s="147"/>
      <c r="AN34" s="146">
        <v>116738</v>
      </c>
      <c r="AO34" s="147"/>
      <c r="AP34" s="151">
        <v>112071</v>
      </c>
      <c r="AQ34" s="147"/>
      <c r="AR34" s="146">
        <v>5572417</v>
      </c>
      <c r="AS34" s="147"/>
      <c r="AT34" s="150">
        <v>22466673</v>
      </c>
      <c r="AU34" s="126"/>
      <c r="AV34" s="130">
        <v>49.64</v>
      </c>
      <c r="AW34" s="126" t="s">
        <v>1603</v>
      </c>
      <c r="AX34" s="126" t="s">
        <v>1746</v>
      </c>
    </row>
    <row r="35" spans="1:50">
      <c r="A35" s="126" t="s">
        <v>1642</v>
      </c>
      <c r="B35" s="126" t="s">
        <v>1643</v>
      </c>
      <c r="C35" s="126" t="s">
        <v>351</v>
      </c>
      <c r="D35" s="127">
        <v>9026</v>
      </c>
      <c r="E35" s="128">
        <v>90026</v>
      </c>
      <c r="F35" s="126" t="s">
        <v>1612</v>
      </c>
      <c r="G35" s="126" t="s">
        <v>1601</v>
      </c>
      <c r="H35" s="146">
        <v>2956746</v>
      </c>
      <c r="I35" s="147">
        <v>906</v>
      </c>
      <c r="J35" s="126" t="s">
        <v>1609</v>
      </c>
      <c r="K35" s="126" t="s">
        <v>1602</v>
      </c>
      <c r="L35" s="129">
        <v>103</v>
      </c>
      <c r="M35" s="126"/>
      <c r="N35" s="148">
        <v>35</v>
      </c>
      <c r="O35" s="147"/>
      <c r="P35" s="149">
        <v>18.120799999999999</v>
      </c>
      <c r="Q35" s="147"/>
      <c r="R35" s="149">
        <v>6.0708000000000002</v>
      </c>
      <c r="S35" s="147"/>
      <c r="T35" s="149">
        <v>62.966000000000001</v>
      </c>
      <c r="U35" s="147"/>
      <c r="V35" s="146">
        <v>9662505</v>
      </c>
      <c r="W35" s="147"/>
      <c r="X35" s="150">
        <v>9410942</v>
      </c>
      <c r="Y35" s="147"/>
      <c r="Z35" s="146">
        <v>9210076</v>
      </c>
      <c r="AA35" s="147"/>
      <c r="AB35" s="146">
        <v>200866</v>
      </c>
      <c r="AC35" s="147"/>
      <c r="AD35" s="146">
        <v>527144</v>
      </c>
      <c r="AE35" s="147"/>
      <c r="AF35" s="146">
        <v>508259</v>
      </c>
      <c r="AG35" s="147"/>
      <c r="AH35" s="146">
        <v>18885</v>
      </c>
      <c r="AI35" s="147"/>
      <c r="AJ35" s="146">
        <v>3279625</v>
      </c>
      <c r="AK35" s="147"/>
      <c r="AL35" s="146">
        <v>3207856</v>
      </c>
      <c r="AM35" s="147"/>
      <c r="AN35" s="146">
        <v>183992</v>
      </c>
      <c r="AO35" s="147"/>
      <c r="AP35" s="151">
        <v>177429</v>
      </c>
      <c r="AQ35" s="147"/>
      <c r="AR35" s="146">
        <v>32003027</v>
      </c>
      <c r="AS35" s="147"/>
      <c r="AT35" s="150">
        <v>194284885</v>
      </c>
      <c r="AU35" s="126"/>
      <c r="AV35" s="130">
        <v>108.4</v>
      </c>
      <c r="AW35" s="126" t="s">
        <v>1603</v>
      </c>
      <c r="AX35" s="126" t="s">
        <v>1746</v>
      </c>
    </row>
    <row r="36" spans="1:50">
      <c r="A36" s="126" t="s">
        <v>1753</v>
      </c>
      <c r="B36" s="126" t="s">
        <v>1646</v>
      </c>
      <c r="C36" s="126" t="s">
        <v>370</v>
      </c>
      <c r="D36" s="127">
        <v>5027</v>
      </c>
      <c r="E36" s="128">
        <v>50027</v>
      </c>
      <c r="F36" s="126" t="s">
        <v>1600</v>
      </c>
      <c r="G36" s="126" t="s">
        <v>1601</v>
      </c>
      <c r="H36" s="146">
        <v>2650890</v>
      </c>
      <c r="I36" s="147">
        <v>823</v>
      </c>
      <c r="J36" s="126" t="s">
        <v>1609</v>
      </c>
      <c r="K36" s="126" t="s">
        <v>1602</v>
      </c>
      <c r="L36" s="129">
        <v>76</v>
      </c>
      <c r="M36" s="126"/>
      <c r="N36" s="148">
        <v>23</v>
      </c>
      <c r="O36" s="147"/>
      <c r="P36" s="149">
        <v>11.985900000000001</v>
      </c>
      <c r="Q36" s="147"/>
      <c r="R36" s="149">
        <v>3.9723999999999999</v>
      </c>
      <c r="S36" s="147" t="s">
        <v>1616</v>
      </c>
      <c r="T36" s="149">
        <v>30.465299999999999</v>
      </c>
      <c r="U36" s="147"/>
      <c r="V36" s="146">
        <v>4237895</v>
      </c>
      <c r="W36" s="147"/>
      <c r="X36" s="150">
        <v>4129925</v>
      </c>
      <c r="Y36" s="147"/>
      <c r="Z36" s="146">
        <v>4034814</v>
      </c>
      <c r="AA36" s="147"/>
      <c r="AB36" s="146">
        <v>95111</v>
      </c>
      <c r="AC36" s="147"/>
      <c r="AD36" s="146">
        <v>354913</v>
      </c>
      <c r="AE36" s="147"/>
      <c r="AF36" s="146">
        <v>336629</v>
      </c>
      <c r="AG36" s="147"/>
      <c r="AH36" s="146">
        <v>18284</v>
      </c>
      <c r="AI36" s="147"/>
      <c r="AJ36" s="146">
        <v>1500026</v>
      </c>
      <c r="AK36" s="147"/>
      <c r="AL36" s="146">
        <v>1436691</v>
      </c>
      <c r="AM36" s="147"/>
      <c r="AN36" s="146">
        <v>125192</v>
      </c>
      <c r="AO36" s="147"/>
      <c r="AP36" s="151">
        <v>118274</v>
      </c>
      <c r="AQ36" s="147"/>
      <c r="AR36" s="146">
        <v>10255520</v>
      </c>
      <c r="AS36" s="147"/>
      <c r="AT36" s="150">
        <v>40738989</v>
      </c>
      <c r="AU36" s="126" t="s">
        <v>1616</v>
      </c>
      <c r="AV36" s="130">
        <v>44.26</v>
      </c>
      <c r="AW36" s="126" t="s">
        <v>1603</v>
      </c>
      <c r="AX36" s="126" t="s">
        <v>1748</v>
      </c>
    </row>
    <row r="37" spans="1:50">
      <c r="A37" s="126" t="s">
        <v>1753</v>
      </c>
      <c r="B37" s="126" t="s">
        <v>1646</v>
      </c>
      <c r="C37" s="126" t="s">
        <v>370</v>
      </c>
      <c r="D37" s="127">
        <v>5027</v>
      </c>
      <c r="E37" s="128">
        <v>50027</v>
      </c>
      <c r="F37" s="126" t="s">
        <v>1600</v>
      </c>
      <c r="G37" s="126" t="s">
        <v>1601</v>
      </c>
      <c r="H37" s="146">
        <v>2650890</v>
      </c>
      <c r="I37" s="147">
        <v>823</v>
      </c>
      <c r="J37" s="126" t="s">
        <v>1610</v>
      </c>
      <c r="K37" s="126" t="s">
        <v>1605</v>
      </c>
      <c r="L37" s="129">
        <v>20</v>
      </c>
      <c r="M37" s="126"/>
      <c r="N37" s="148">
        <v>4</v>
      </c>
      <c r="O37" s="147"/>
      <c r="P37" s="149">
        <v>43.768999999999998</v>
      </c>
      <c r="Q37" s="147"/>
      <c r="R37" s="149">
        <v>24.702500000000001</v>
      </c>
      <c r="S37" s="147" t="s">
        <v>1616</v>
      </c>
      <c r="T37" s="149">
        <v>26.3444</v>
      </c>
      <c r="U37" s="147"/>
      <c r="V37" s="146">
        <v>253487</v>
      </c>
      <c r="W37" s="147"/>
      <c r="X37" s="150">
        <v>256360</v>
      </c>
      <c r="Y37" s="147"/>
      <c r="Z37" s="146">
        <v>253291</v>
      </c>
      <c r="AA37" s="147"/>
      <c r="AB37" s="146">
        <v>3069</v>
      </c>
      <c r="AC37" s="147"/>
      <c r="AD37" s="146">
        <v>6199</v>
      </c>
      <c r="AE37" s="147"/>
      <c r="AF37" s="146">
        <v>5787</v>
      </c>
      <c r="AG37" s="147"/>
      <c r="AH37" s="146">
        <v>412</v>
      </c>
      <c r="AI37" s="147"/>
      <c r="AJ37" s="146">
        <v>64139</v>
      </c>
      <c r="AK37" s="147"/>
      <c r="AL37" s="146">
        <v>63372</v>
      </c>
      <c r="AM37" s="147"/>
      <c r="AN37" s="146">
        <v>1552</v>
      </c>
      <c r="AO37" s="147"/>
      <c r="AP37" s="151">
        <v>1448</v>
      </c>
      <c r="AQ37" s="147"/>
      <c r="AR37" s="146">
        <v>152455</v>
      </c>
      <c r="AS37" s="147"/>
      <c r="AT37" s="150">
        <v>3766017</v>
      </c>
      <c r="AU37" s="126" t="s">
        <v>1616</v>
      </c>
      <c r="AV37" s="130">
        <v>77.900000000000006</v>
      </c>
      <c r="AW37" s="126" t="s">
        <v>1603</v>
      </c>
      <c r="AX37" s="126" t="s">
        <v>1748</v>
      </c>
    </row>
    <row r="38" spans="1:50">
      <c r="A38" s="126" t="s">
        <v>1650</v>
      </c>
      <c r="B38" s="126" t="s">
        <v>1651</v>
      </c>
      <c r="C38" s="126" t="s">
        <v>351</v>
      </c>
      <c r="D38" s="127">
        <v>9013</v>
      </c>
      <c r="E38" s="128">
        <v>90013</v>
      </c>
      <c r="F38" s="126" t="s">
        <v>1612</v>
      </c>
      <c r="G38" s="126" t="s">
        <v>1601</v>
      </c>
      <c r="H38" s="146">
        <v>1664496</v>
      </c>
      <c r="I38" s="147">
        <v>635</v>
      </c>
      <c r="J38" s="126" t="s">
        <v>1609</v>
      </c>
      <c r="K38" s="126" t="s">
        <v>1602</v>
      </c>
      <c r="L38" s="129">
        <v>61</v>
      </c>
      <c r="M38" s="126"/>
      <c r="N38" s="148">
        <v>29</v>
      </c>
      <c r="O38" s="147"/>
      <c r="P38" s="149">
        <v>14.6876</v>
      </c>
      <c r="Q38" s="147"/>
      <c r="R38" s="149">
        <v>5.3385999999999996</v>
      </c>
      <c r="S38" s="147"/>
      <c r="T38" s="149">
        <v>31.957599999999999</v>
      </c>
      <c r="U38" s="147"/>
      <c r="V38" s="146">
        <v>3049391</v>
      </c>
      <c r="W38" s="147"/>
      <c r="X38" s="150">
        <v>3045104</v>
      </c>
      <c r="Y38" s="147"/>
      <c r="Z38" s="146">
        <v>2886997</v>
      </c>
      <c r="AA38" s="147"/>
      <c r="AB38" s="146">
        <v>158107</v>
      </c>
      <c r="AC38" s="147"/>
      <c r="AD38" s="146">
        <v>208938</v>
      </c>
      <c r="AE38" s="147"/>
      <c r="AF38" s="146">
        <v>196560</v>
      </c>
      <c r="AG38" s="147"/>
      <c r="AH38" s="146">
        <v>12378</v>
      </c>
      <c r="AI38" s="147"/>
      <c r="AJ38" s="146">
        <v>1824324</v>
      </c>
      <c r="AK38" s="147"/>
      <c r="AL38" s="146">
        <v>1733696</v>
      </c>
      <c r="AM38" s="147"/>
      <c r="AN38" s="146">
        <v>131172</v>
      </c>
      <c r="AO38" s="147"/>
      <c r="AP38" s="151">
        <v>123509</v>
      </c>
      <c r="AQ38" s="147"/>
      <c r="AR38" s="146">
        <v>6281578</v>
      </c>
      <c r="AS38" s="147"/>
      <c r="AT38" s="150">
        <v>33535077</v>
      </c>
      <c r="AU38" s="126"/>
      <c r="AV38" s="130">
        <v>80.959999999999994</v>
      </c>
      <c r="AW38" s="126" t="s">
        <v>1603</v>
      </c>
      <c r="AX38" s="126" t="s">
        <v>1746</v>
      </c>
    </row>
    <row r="39" spans="1:50">
      <c r="A39" s="126" t="s">
        <v>1652</v>
      </c>
      <c r="B39" s="126" t="s">
        <v>1649</v>
      </c>
      <c r="C39" s="126" t="s">
        <v>351</v>
      </c>
      <c r="D39" s="127">
        <v>9003</v>
      </c>
      <c r="E39" s="128">
        <v>90003</v>
      </c>
      <c r="F39" s="126" t="s">
        <v>1612</v>
      </c>
      <c r="G39" s="126" t="s">
        <v>1601</v>
      </c>
      <c r="H39" s="146">
        <v>3281212</v>
      </c>
      <c r="I39" s="147">
        <v>616</v>
      </c>
      <c r="J39" s="126" t="s">
        <v>1604</v>
      </c>
      <c r="K39" s="126" t="s">
        <v>1602</v>
      </c>
      <c r="L39" s="129">
        <v>599</v>
      </c>
      <c r="M39" s="126"/>
      <c r="N39" s="148">
        <v>56</v>
      </c>
      <c r="O39" s="147"/>
      <c r="P39" s="149">
        <v>34.829900000000002</v>
      </c>
      <c r="Q39" s="147" t="s">
        <v>1616</v>
      </c>
      <c r="R39" s="149">
        <v>13.962999999999999</v>
      </c>
      <c r="S39" s="147"/>
      <c r="T39" s="149">
        <v>44.260899999999999</v>
      </c>
      <c r="U39" s="147" t="s">
        <v>1616</v>
      </c>
      <c r="V39" s="146">
        <v>69597595</v>
      </c>
      <c r="W39" s="147"/>
      <c r="X39" s="150">
        <v>72050709</v>
      </c>
      <c r="Y39" s="147"/>
      <c r="Z39" s="146">
        <v>69799195</v>
      </c>
      <c r="AA39" s="147"/>
      <c r="AB39" s="146">
        <v>2251514</v>
      </c>
      <c r="AC39" s="147"/>
      <c r="AD39" s="146">
        <v>2377255</v>
      </c>
      <c r="AE39" s="147"/>
      <c r="AF39" s="146">
        <v>2004002</v>
      </c>
      <c r="AG39" s="147" t="s">
        <v>1616</v>
      </c>
      <c r="AH39" s="146">
        <v>373253</v>
      </c>
      <c r="AI39" s="147"/>
      <c r="AJ39" s="146">
        <v>8255518</v>
      </c>
      <c r="AK39" s="147"/>
      <c r="AL39" s="146">
        <v>7973519</v>
      </c>
      <c r="AM39" s="147"/>
      <c r="AN39" s="146">
        <v>277276</v>
      </c>
      <c r="AO39" s="147"/>
      <c r="AP39" s="151">
        <v>229211</v>
      </c>
      <c r="AQ39" s="147"/>
      <c r="AR39" s="146">
        <v>88698878</v>
      </c>
      <c r="AS39" s="147"/>
      <c r="AT39" s="150">
        <v>1238506222</v>
      </c>
      <c r="AU39" s="126"/>
      <c r="AV39" s="130">
        <v>239.42</v>
      </c>
      <c r="AW39" s="126" t="s">
        <v>1603</v>
      </c>
      <c r="AX39" s="126" t="s">
        <v>1748</v>
      </c>
    </row>
    <row r="40" spans="1:50">
      <c r="A40" s="126" t="s">
        <v>1754</v>
      </c>
      <c r="B40" s="126" t="s">
        <v>1755</v>
      </c>
      <c r="C40" s="126" t="s">
        <v>371</v>
      </c>
      <c r="D40" s="127">
        <v>7006</v>
      </c>
      <c r="E40" s="128">
        <v>70006</v>
      </c>
      <c r="F40" s="126" t="s">
        <v>1612</v>
      </c>
      <c r="G40" s="126" t="s">
        <v>1601</v>
      </c>
      <c r="H40" s="146">
        <v>2150706</v>
      </c>
      <c r="I40" s="147">
        <v>493</v>
      </c>
      <c r="J40" s="126" t="s">
        <v>1609</v>
      </c>
      <c r="K40" s="126" t="s">
        <v>1602</v>
      </c>
      <c r="L40" s="129">
        <v>50</v>
      </c>
      <c r="M40" s="126"/>
      <c r="N40" s="148">
        <v>25</v>
      </c>
      <c r="O40" s="147"/>
      <c r="P40" s="149">
        <v>23.1905</v>
      </c>
      <c r="Q40" s="147"/>
      <c r="R40" s="149">
        <v>6.7489999999999997</v>
      </c>
      <c r="S40" s="147"/>
      <c r="T40" s="149">
        <v>41.739400000000003</v>
      </c>
      <c r="U40" s="147"/>
      <c r="V40" s="146">
        <v>5954691</v>
      </c>
      <c r="W40" s="147"/>
      <c r="X40" s="150">
        <v>5905439</v>
      </c>
      <c r="Y40" s="147"/>
      <c r="Z40" s="146">
        <v>5839491</v>
      </c>
      <c r="AA40" s="147"/>
      <c r="AB40" s="146">
        <v>65948</v>
      </c>
      <c r="AC40" s="147"/>
      <c r="AD40" s="146">
        <v>256119</v>
      </c>
      <c r="AE40" s="147"/>
      <c r="AF40" s="146">
        <v>251805</v>
      </c>
      <c r="AG40" s="147"/>
      <c r="AH40" s="146">
        <v>4314</v>
      </c>
      <c r="AI40" s="147"/>
      <c r="AJ40" s="146">
        <v>2952712</v>
      </c>
      <c r="AK40" s="147"/>
      <c r="AL40" s="146">
        <v>2919745</v>
      </c>
      <c r="AM40" s="147"/>
      <c r="AN40" s="146">
        <v>128060</v>
      </c>
      <c r="AO40" s="147"/>
      <c r="AP40" s="151">
        <v>125902</v>
      </c>
      <c r="AQ40" s="147"/>
      <c r="AR40" s="146">
        <v>10510179</v>
      </c>
      <c r="AS40" s="147"/>
      <c r="AT40" s="150">
        <v>70933375</v>
      </c>
      <c r="AU40" s="126"/>
      <c r="AV40" s="130">
        <v>91.06</v>
      </c>
      <c r="AW40" s="126" t="s">
        <v>1603</v>
      </c>
      <c r="AX40" s="126" t="s">
        <v>1746</v>
      </c>
    </row>
    <row r="41" spans="1:50">
      <c r="A41" s="126" t="s">
        <v>1654</v>
      </c>
      <c r="B41" s="126" t="s">
        <v>1655</v>
      </c>
      <c r="C41" s="126" t="s">
        <v>382</v>
      </c>
      <c r="D41" s="127">
        <v>5015</v>
      </c>
      <c r="E41" s="128">
        <v>50015</v>
      </c>
      <c r="F41" s="126" t="s">
        <v>1612</v>
      </c>
      <c r="G41" s="126" t="s">
        <v>1601</v>
      </c>
      <c r="H41" s="146">
        <v>1780673</v>
      </c>
      <c r="I41" s="147">
        <v>418</v>
      </c>
      <c r="J41" s="126" t="s">
        <v>1609</v>
      </c>
      <c r="K41" s="126" t="s">
        <v>1602</v>
      </c>
      <c r="L41" s="129">
        <v>6</v>
      </c>
      <c r="M41" s="126"/>
      <c r="N41" s="148">
        <v>6</v>
      </c>
      <c r="O41" s="147"/>
      <c r="P41" s="149">
        <v>14.0802</v>
      </c>
      <c r="Q41" s="147"/>
      <c r="R41" s="149">
        <v>3.5057</v>
      </c>
      <c r="S41" s="147" t="s">
        <v>1616</v>
      </c>
      <c r="T41" s="149">
        <v>14.4611</v>
      </c>
      <c r="U41" s="147"/>
      <c r="V41" s="146">
        <v>559327</v>
      </c>
      <c r="W41" s="147"/>
      <c r="X41" s="150">
        <v>577077</v>
      </c>
      <c r="Y41" s="147"/>
      <c r="Z41" s="146">
        <v>573726</v>
      </c>
      <c r="AA41" s="147"/>
      <c r="AB41" s="146">
        <v>3351</v>
      </c>
      <c r="AC41" s="147"/>
      <c r="AD41" s="146">
        <v>41389</v>
      </c>
      <c r="AE41" s="147"/>
      <c r="AF41" s="146">
        <v>40747</v>
      </c>
      <c r="AG41" s="147"/>
      <c r="AH41" s="146">
        <v>642</v>
      </c>
      <c r="AI41" s="147"/>
      <c r="AJ41" s="146">
        <v>562513</v>
      </c>
      <c r="AK41" s="147"/>
      <c r="AL41" s="146">
        <v>559161</v>
      </c>
      <c r="AM41" s="147"/>
      <c r="AN41" s="146">
        <v>40336</v>
      </c>
      <c r="AO41" s="147"/>
      <c r="AP41" s="151">
        <v>39693</v>
      </c>
      <c r="AQ41" s="147"/>
      <c r="AR41" s="146">
        <v>589245</v>
      </c>
      <c r="AS41" s="147"/>
      <c r="AT41" s="150">
        <v>2065735</v>
      </c>
      <c r="AU41" s="126" t="s">
        <v>1616</v>
      </c>
      <c r="AV41" s="130">
        <v>30.38</v>
      </c>
      <c r="AW41" s="126" t="s">
        <v>1603</v>
      </c>
      <c r="AX41" s="126" t="s">
        <v>1748</v>
      </c>
    </row>
    <row r="42" spans="1:50">
      <c r="A42" s="126" t="s">
        <v>1654</v>
      </c>
      <c r="B42" s="126" t="s">
        <v>1655</v>
      </c>
      <c r="C42" s="126" t="s">
        <v>382</v>
      </c>
      <c r="D42" s="127">
        <v>5015</v>
      </c>
      <c r="E42" s="128">
        <v>50015</v>
      </c>
      <c r="F42" s="126" t="s">
        <v>1612</v>
      </c>
      <c r="G42" s="126" t="s">
        <v>1601</v>
      </c>
      <c r="H42" s="146">
        <v>1780673</v>
      </c>
      <c r="I42" s="147">
        <v>418</v>
      </c>
      <c r="J42" s="126" t="s">
        <v>1604</v>
      </c>
      <c r="K42" s="126" t="s">
        <v>1602</v>
      </c>
      <c r="L42" s="129">
        <v>16</v>
      </c>
      <c r="M42" s="126"/>
      <c r="N42" s="148">
        <v>8</v>
      </c>
      <c r="O42" s="147"/>
      <c r="P42" s="149">
        <v>19.014700000000001</v>
      </c>
      <c r="Q42" s="147"/>
      <c r="R42" s="149">
        <v>6.9599000000000002</v>
      </c>
      <c r="S42" s="147" t="s">
        <v>1616</v>
      </c>
      <c r="T42" s="149">
        <v>20.605499999999999</v>
      </c>
      <c r="U42" s="147"/>
      <c r="V42" s="146">
        <v>2472057</v>
      </c>
      <c r="W42" s="147"/>
      <c r="X42" s="150">
        <v>2440418</v>
      </c>
      <c r="Y42" s="147"/>
      <c r="Z42" s="146">
        <v>2434523</v>
      </c>
      <c r="AA42" s="147"/>
      <c r="AB42" s="146">
        <v>5895</v>
      </c>
      <c r="AC42" s="147"/>
      <c r="AD42" s="146">
        <v>129302</v>
      </c>
      <c r="AE42" s="147"/>
      <c r="AF42" s="146">
        <v>128034</v>
      </c>
      <c r="AG42" s="147"/>
      <c r="AH42" s="146">
        <v>1268</v>
      </c>
      <c r="AI42" s="147"/>
      <c r="AJ42" s="146">
        <v>1238321</v>
      </c>
      <c r="AK42" s="147"/>
      <c r="AL42" s="146">
        <v>1235375</v>
      </c>
      <c r="AM42" s="147"/>
      <c r="AN42" s="146">
        <v>65610</v>
      </c>
      <c r="AO42" s="147"/>
      <c r="AP42" s="151">
        <v>64976</v>
      </c>
      <c r="AQ42" s="147"/>
      <c r="AR42" s="146">
        <v>2638201</v>
      </c>
      <c r="AS42" s="147"/>
      <c r="AT42" s="150">
        <v>18361515</v>
      </c>
      <c r="AU42" s="126" t="s">
        <v>1616</v>
      </c>
      <c r="AV42" s="130">
        <v>38.08</v>
      </c>
      <c r="AW42" s="126" t="s">
        <v>1603</v>
      </c>
      <c r="AX42" s="126" t="s">
        <v>1748</v>
      </c>
    </row>
    <row r="43" spans="1:50">
      <c r="A43" s="126" t="s">
        <v>1658</v>
      </c>
      <c r="B43" s="126" t="s">
        <v>1659</v>
      </c>
      <c r="C43" s="126" t="s">
        <v>396</v>
      </c>
      <c r="D43" s="127">
        <v>3083</v>
      </c>
      <c r="E43" s="128">
        <v>30083</v>
      </c>
      <c r="F43" s="126" t="s">
        <v>1612</v>
      </c>
      <c r="G43" s="126" t="s">
        <v>1601</v>
      </c>
      <c r="H43" s="146">
        <v>1439666</v>
      </c>
      <c r="I43" s="147">
        <v>417</v>
      </c>
      <c r="J43" s="126" t="s">
        <v>1609</v>
      </c>
      <c r="K43" s="126" t="s">
        <v>1602</v>
      </c>
      <c r="L43" s="129">
        <v>6</v>
      </c>
      <c r="M43" s="126"/>
      <c r="N43" s="148">
        <v>6</v>
      </c>
      <c r="O43" s="147"/>
      <c r="P43" s="149">
        <v>13.267099999999999</v>
      </c>
      <c r="Q43" s="147"/>
      <c r="R43" s="149">
        <v>3.2271999999999998</v>
      </c>
      <c r="S43" s="147"/>
      <c r="T43" s="149">
        <v>40.308999999999997</v>
      </c>
      <c r="U43" s="147"/>
      <c r="V43" s="146">
        <v>344336</v>
      </c>
      <c r="W43" s="147"/>
      <c r="X43" s="150">
        <v>344847</v>
      </c>
      <c r="Y43" s="147"/>
      <c r="Z43" s="146">
        <v>343618</v>
      </c>
      <c r="AA43" s="147"/>
      <c r="AB43" s="146">
        <v>1229</v>
      </c>
      <c r="AC43" s="147"/>
      <c r="AD43" s="146">
        <v>26101</v>
      </c>
      <c r="AE43" s="147"/>
      <c r="AF43" s="146">
        <v>25900</v>
      </c>
      <c r="AG43" s="147"/>
      <c r="AH43" s="146">
        <v>201</v>
      </c>
      <c r="AI43" s="147"/>
      <c r="AJ43" s="146">
        <v>344847</v>
      </c>
      <c r="AK43" s="147"/>
      <c r="AL43" s="146">
        <v>343618</v>
      </c>
      <c r="AM43" s="147"/>
      <c r="AN43" s="146">
        <v>26101</v>
      </c>
      <c r="AO43" s="147"/>
      <c r="AP43" s="151">
        <v>25900</v>
      </c>
      <c r="AQ43" s="147"/>
      <c r="AR43" s="146">
        <v>1044002</v>
      </c>
      <c r="AS43" s="147"/>
      <c r="AT43" s="150">
        <v>3369249</v>
      </c>
      <c r="AU43" s="126"/>
      <c r="AV43" s="130">
        <v>14.8</v>
      </c>
      <c r="AW43" s="126" t="s">
        <v>1603</v>
      </c>
      <c r="AX43" s="126" t="s">
        <v>1746</v>
      </c>
    </row>
    <row r="44" spans="1:50">
      <c r="A44" s="126" t="s">
        <v>1656</v>
      </c>
      <c r="B44" s="126" t="s">
        <v>1657</v>
      </c>
      <c r="C44" s="126" t="s">
        <v>374</v>
      </c>
      <c r="D44" s="127">
        <v>4008</v>
      </c>
      <c r="E44" s="128">
        <v>40008</v>
      </c>
      <c r="F44" s="126" t="s">
        <v>1615</v>
      </c>
      <c r="G44" s="126" t="s">
        <v>1601</v>
      </c>
      <c r="H44" s="146">
        <v>1249442</v>
      </c>
      <c r="I44" s="147">
        <v>409</v>
      </c>
      <c r="J44" s="126" t="s">
        <v>1609</v>
      </c>
      <c r="K44" s="126" t="s">
        <v>1602</v>
      </c>
      <c r="L44" s="129">
        <v>36</v>
      </c>
      <c r="M44" s="126"/>
      <c r="N44" s="148">
        <v>16</v>
      </c>
      <c r="O44" s="147"/>
      <c r="P44" s="149">
        <v>16.140799999999999</v>
      </c>
      <c r="Q44" s="147"/>
      <c r="R44" s="149">
        <v>5.1829999999999998</v>
      </c>
      <c r="S44" s="147"/>
      <c r="T44" s="149">
        <v>55.526200000000003</v>
      </c>
      <c r="U44" s="147"/>
      <c r="V44" s="146">
        <v>2178959</v>
      </c>
      <c r="W44" s="147"/>
      <c r="X44" s="150">
        <v>2267166</v>
      </c>
      <c r="Y44" s="147"/>
      <c r="Z44" s="146">
        <v>2110955</v>
      </c>
      <c r="AA44" s="147"/>
      <c r="AB44" s="146">
        <v>156211</v>
      </c>
      <c r="AC44" s="147"/>
      <c r="AD44" s="146">
        <v>138754</v>
      </c>
      <c r="AE44" s="147"/>
      <c r="AF44" s="146">
        <v>130784</v>
      </c>
      <c r="AG44" s="147"/>
      <c r="AH44" s="146">
        <v>7970</v>
      </c>
      <c r="AI44" s="147"/>
      <c r="AJ44" s="146">
        <v>1141671</v>
      </c>
      <c r="AK44" s="147"/>
      <c r="AL44" s="146">
        <v>1059265</v>
      </c>
      <c r="AM44" s="147"/>
      <c r="AN44" s="146">
        <v>69828</v>
      </c>
      <c r="AO44" s="147"/>
      <c r="AP44" s="151">
        <v>65622</v>
      </c>
      <c r="AQ44" s="147"/>
      <c r="AR44" s="146">
        <v>7261944</v>
      </c>
      <c r="AS44" s="147"/>
      <c r="AT44" s="150">
        <v>37638865</v>
      </c>
      <c r="AU44" s="126"/>
      <c r="AV44" s="130">
        <v>37.299999999999997</v>
      </c>
      <c r="AW44" s="126" t="s">
        <v>1603</v>
      </c>
      <c r="AX44" s="126" t="s">
        <v>1746</v>
      </c>
    </row>
    <row r="45" spans="1:50">
      <c r="A45" s="126" t="s">
        <v>1660</v>
      </c>
      <c r="B45" s="126" t="s">
        <v>1614</v>
      </c>
      <c r="C45" s="126" t="s">
        <v>398</v>
      </c>
      <c r="D45" s="127">
        <v>40</v>
      </c>
      <c r="E45" s="128">
        <v>40</v>
      </c>
      <c r="F45" s="126" t="s">
        <v>1612</v>
      </c>
      <c r="G45" s="126" t="s">
        <v>1601</v>
      </c>
      <c r="H45" s="146">
        <v>3059393</v>
      </c>
      <c r="I45" s="147">
        <v>381</v>
      </c>
      <c r="J45" s="126" t="s">
        <v>1609</v>
      </c>
      <c r="K45" s="126" t="s">
        <v>1602</v>
      </c>
      <c r="L45" s="129">
        <v>48</v>
      </c>
      <c r="M45" s="126"/>
      <c r="N45" s="148">
        <v>17</v>
      </c>
      <c r="O45" s="147"/>
      <c r="P45" s="149">
        <v>18.259</v>
      </c>
      <c r="Q45" s="147"/>
      <c r="R45" s="149">
        <v>6.3029999999999999</v>
      </c>
      <c r="S45" s="147"/>
      <c r="T45" s="149">
        <v>35.367199999999997</v>
      </c>
      <c r="U45" s="147"/>
      <c r="V45" s="146">
        <v>3994837</v>
      </c>
      <c r="W45" s="147"/>
      <c r="X45" s="150">
        <v>4168064</v>
      </c>
      <c r="Y45" s="147"/>
      <c r="Z45" s="146">
        <v>4078592</v>
      </c>
      <c r="AA45" s="147"/>
      <c r="AB45" s="146">
        <v>89472</v>
      </c>
      <c r="AC45" s="147"/>
      <c r="AD45" s="146">
        <v>233843</v>
      </c>
      <c r="AE45" s="147"/>
      <c r="AF45" s="146">
        <v>223374</v>
      </c>
      <c r="AG45" s="147"/>
      <c r="AH45" s="146">
        <v>10469</v>
      </c>
      <c r="AI45" s="147"/>
      <c r="AJ45" s="146">
        <v>1165448</v>
      </c>
      <c r="AK45" s="147"/>
      <c r="AL45" s="146">
        <v>1140397</v>
      </c>
      <c r="AM45" s="147"/>
      <c r="AN45" s="146">
        <v>65104</v>
      </c>
      <c r="AO45" s="147"/>
      <c r="AP45" s="151">
        <v>61879</v>
      </c>
      <c r="AQ45" s="147"/>
      <c r="AR45" s="146">
        <v>7900122</v>
      </c>
      <c r="AS45" s="147"/>
      <c r="AT45" s="150">
        <v>49794569</v>
      </c>
      <c r="AU45" s="126"/>
      <c r="AV45" s="130">
        <v>40.4</v>
      </c>
      <c r="AW45" s="126" t="s">
        <v>1603</v>
      </c>
      <c r="AX45" s="126" t="s">
        <v>1746</v>
      </c>
    </row>
    <row r="46" spans="1:50">
      <c r="A46" s="126" t="s">
        <v>1660</v>
      </c>
      <c r="B46" s="126" t="s">
        <v>1614</v>
      </c>
      <c r="C46" s="126" t="s">
        <v>398</v>
      </c>
      <c r="D46" s="127">
        <v>40</v>
      </c>
      <c r="E46" s="128">
        <v>40</v>
      </c>
      <c r="F46" s="126" t="s">
        <v>1612</v>
      </c>
      <c r="G46" s="126" t="s">
        <v>1601</v>
      </c>
      <c r="H46" s="146">
        <v>3059393</v>
      </c>
      <c r="I46" s="147">
        <v>381</v>
      </c>
      <c r="J46" s="126" t="s">
        <v>1610</v>
      </c>
      <c r="K46" s="126" t="s">
        <v>1605</v>
      </c>
      <c r="L46" s="129">
        <v>70</v>
      </c>
      <c r="M46" s="126"/>
      <c r="N46" s="148">
        <v>23</v>
      </c>
      <c r="O46" s="147"/>
      <c r="P46" s="149">
        <v>30.116700000000002</v>
      </c>
      <c r="Q46" s="147"/>
      <c r="R46" s="149">
        <v>25.192499999999999</v>
      </c>
      <c r="S46" s="147"/>
      <c r="T46" s="149">
        <v>24.971</v>
      </c>
      <c r="U46" s="147"/>
      <c r="V46" s="146">
        <v>1617729</v>
      </c>
      <c r="W46" s="147"/>
      <c r="X46" s="150">
        <v>1562310</v>
      </c>
      <c r="Y46" s="147"/>
      <c r="Z46" s="146">
        <v>1526737</v>
      </c>
      <c r="AA46" s="147"/>
      <c r="AB46" s="146">
        <v>35573</v>
      </c>
      <c r="AC46" s="147"/>
      <c r="AD46" s="146">
        <v>54020</v>
      </c>
      <c r="AE46" s="147"/>
      <c r="AF46" s="146">
        <v>50694</v>
      </c>
      <c r="AG46" s="147"/>
      <c r="AH46" s="146">
        <v>3326</v>
      </c>
      <c r="AI46" s="147"/>
      <c r="AJ46" s="146">
        <v>250453</v>
      </c>
      <c r="AK46" s="147"/>
      <c r="AL46" s="146">
        <v>244746</v>
      </c>
      <c r="AM46" s="147"/>
      <c r="AN46" s="146">
        <v>8818</v>
      </c>
      <c r="AO46" s="147"/>
      <c r="AP46" s="151">
        <v>8281</v>
      </c>
      <c r="AQ46" s="147"/>
      <c r="AR46" s="146">
        <v>1265882</v>
      </c>
      <c r="AS46" s="147"/>
      <c r="AT46" s="150">
        <v>31890678</v>
      </c>
      <c r="AU46" s="126"/>
      <c r="AV46" s="130">
        <v>163.84</v>
      </c>
      <c r="AW46" s="126" t="s">
        <v>1603</v>
      </c>
      <c r="AX46" s="126" t="s">
        <v>1746</v>
      </c>
    </row>
    <row r="47" spans="1:50">
      <c r="A47" s="126" t="s">
        <v>1662</v>
      </c>
      <c r="B47" s="126" t="s">
        <v>1663</v>
      </c>
      <c r="C47" s="126" t="s">
        <v>381</v>
      </c>
      <c r="D47" s="127">
        <v>2004</v>
      </c>
      <c r="E47" s="128">
        <v>20004</v>
      </c>
      <c r="F47" s="126" t="s">
        <v>1612</v>
      </c>
      <c r="G47" s="126" t="s">
        <v>1601</v>
      </c>
      <c r="H47" s="146">
        <v>935906</v>
      </c>
      <c r="I47" s="147">
        <v>359</v>
      </c>
      <c r="J47" s="126" t="s">
        <v>1609</v>
      </c>
      <c r="K47" s="126" t="s">
        <v>1602</v>
      </c>
      <c r="L47" s="129">
        <v>23</v>
      </c>
      <c r="M47" s="126"/>
      <c r="N47" s="148">
        <v>7</v>
      </c>
      <c r="O47" s="147"/>
      <c r="P47" s="149">
        <v>11.1447</v>
      </c>
      <c r="Q47" s="147"/>
      <c r="R47" s="149">
        <v>2.6665000000000001</v>
      </c>
      <c r="S47" s="147"/>
      <c r="T47" s="149">
        <v>48.610100000000003</v>
      </c>
      <c r="U47" s="147"/>
      <c r="V47" s="146">
        <v>962940</v>
      </c>
      <c r="W47" s="147"/>
      <c r="X47" s="150">
        <v>984827</v>
      </c>
      <c r="Y47" s="147"/>
      <c r="Z47" s="146">
        <v>968353</v>
      </c>
      <c r="AA47" s="147"/>
      <c r="AB47" s="146">
        <v>16474</v>
      </c>
      <c r="AC47" s="147"/>
      <c r="AD47" s="146">
        <v>91599</v>
      </c>
      <c r="AE47" s="147"/>
      <c r="AF47" s="146">
        <v>86889</v>
      </c>
      <c r="AG47" s="147"/>
      <c r="AH47" s="146">
        <v>4710</v>
      </c>
      <c r="AI47" s="147"/>
      <c r="AJ47" s="146">
        <v>347313</v>
      </c>
      <c r="AK47" s="147"/>
      <c r="AL47" s="146">
        <v>341503</v>
      </c>
      <c r="AM47" s="147"/>
      <c r="AN47" s="146">
        <v>32115</v>
      </c>
      <c r="AO47" s="147"/>
      <c r="AP47" s="151">
        <v>30462</v>
      </c>
      <c r="AQ47" s="147"/>
      <c r="AR47" s="146">
        <v>4223681</v>
      </c>
      <c r="AS47" s="147"/>
      <c r="AT47" s="150">
        <v>11262397</v>
      </c>
      <c r="AU47" s="126"/>
      <c r="AV47" s="130">
        <v>12.4</v>
      </c>
      <c r="AW47" s="126" t="s">
        <v>1603</v>
      </c>
      <c r="AX47" s="126" t="s">
        <v>1746</v>
      </c>
    </row>
    <row r="48" spans="1:50">
      <c r="A48" s="126" t="s">
        <v>1667</v>
      </c>
      <c r="B48" s="126" t="s">
        <v>1668</v>
      </c>
      <c r="C48" s="126" t="s">
        <v>351</v>
      </c>
      <c r="D48" s="127">
        <v>9019</v>
      </c>
      <c r="E48" s="128">
        <v>90019</v>
      </c>
      <c r="F48" s="126" t="s">
        <v>1612</v>
      </c>
      <c r="G48" s="126" t="s">
        <v>1601</v>
      </c>
      <c r="H48" s="146">
        <v>1723634</v>
      </c>
      <c r="I48" s="147">
        <v>331</v>
      </c>
      <c r="J48" s="126" t="s">
        <v>1609</v>
      </c>
      <c r="K48" s="126" t="s">
        <v>1602</v>
      </c>
      <c r="L48" s="129">
        <v>69</v>
      </c>
      <c r="M48" s="126"/>
      <c r="N48" s="148">
        <v>18</v>
      </c>
      <c r="O48" s="147"/>
      <c r="P48" s="149">
        <v>17.4438</v>
      </c>
      <c r="Q48" s="147"/>
      <c r="R48" s="149">
        <v>5.9108000000000001</v>
      </c>
      <c r="S48" s="147"/>
      <c r="T48" s="149">
        <v>43.433199999999999</v>
      </c>
      <c r="U48" s="147"/>
      <c r="V48" s="146">
        <v>3637080</v>
      </c>
      <c r="W48" s="147"/>
      <c r="X48" s="150">
        <v>3765256</v>
      </c>
      <c r="Y48" s="147"/>
      <c r="Z48" s="146">
        <v>3610107</v>
      </c>
      <c r="AA48" s="147"/>
      <c r="AB48" s="146">
        <v>155149</v>
      </c>
      <c r="AC48" s="147"/>
      <c r="AD48" s="146">
        <v>213385</v>
      </c>
      <c r="AE48" s="147"/>
      <c r="AF48" s="146">
        <v>206957</v>
      </c>
      <c r="AG48" s="147"/>
      <c r="AH48" s="146">
        <v>6428</v>
      </c>
      <c r="AI48" s="147"/>
      <c r="AJ48" s="146">
        <v>1757466</v>
      </c>
      <c r="AK48" s="147"/>
      <c r="AL48" s="146">
        <v>1710343</v>
      </c>
      <c r="AM48" s="147"/>
      <c r="AN48" s="146">
        <v>101083</v>
      </c>
      <c r="AO48" s="147"/>
      <c r="AP48" s="151">
        <v>98064</v>
      </c>
      <c r="AQ48" s="147"/>
      <c r="AR48" s="146">
        <v>8988806</v>
      </c>
      <c r="AS48" s="147"/>
      <c r="AT48" s="150">
        <v>53131252</v>
      </c>
      <c r="AU48" s="126"/>
      <c r="AV48" s="130">
        <v>84.92</v>
      </c>
      <c r="AW48" s="126" t="s">
        <v>1603</v>
      </c>
      <c r="AX48" s="126" t="s">
        <v>1746</v>
      </c>
    </row>
    <row r="49" spans="1:50">
      <c r="A49" s="126" t="s">
        <v>1664</v>
      </c>
      <c r="B49" s="126" t="s">
        <v>1665</v>
      </c>
      <c r="C49" s="126" t="s">
        <v>390</v>
      </c>
      <c r="D49" s="127">
        <v>6007</v>
      </c>
      <c r="E49" s="128">
        <v>60007</v>
      </c>
      <c r="F49" s="126" t="s">
        <v>1612</v>
      </c>
      <c r="G49" s="126" t="s">
        <v>1601</v>
      </c>
      <c r="H49" s="146">
        <v>5121892</v>
      </c>
      <c r="I49" s="147">
        <v>312</v>
      </c>
      <c r="J49" s="126" t="s">
        <v>1610</v>
      </c>
      <c r="K49" s="126" t="s">
        <v>1605</v>
      </c>
      <c r="L49" s="129">
        <v>20</v>
      </c>
      <c r="M49" s="126"/>
      <c r="N49" s="148">
        <v>5</v>
      </c>
      <c r="O49" s="147"/>
      <c r="P49" s="149">
        <v>19.5091</v>
      </c>
      <c r="Q49" s="147"/>
      <c r="R49" s="149">
        <v>15.8208</v>
      </c>
      <c r="S49" s="147" t="s">
        <v>1653</v>
      </c>
      <c r="T49" s="149">
        <v>2.8578999999999999</v>
      </c>
      <c r="U49" s="147" t="s">
        <v>1653</v>
      </c>
      <c r="V49" s="146">
        <v>2417541</v>
      </c>
      <c r="W49" s="147"/>
      <c r="X49" s="150">
        <v>2349671</v>
      </c>
      <c r="Y49" s="147"/>
      <c r="Z49" s="146">
        <v>2320998</v>
      </c>
      <c r="AA49" s="147"/>
      <c r="AB49" s="146">
        <v>28673</v>
      </c>
      <c r="AC49" s="147"/>
      <c r="AD49" s="146">
        <v>120510</v>
      </c>
      <c r="AE49" s="147"/>
      <c r="AF49" s="146">
        <v>118970</v>
      </c>
      <c r="AG49" s="147"/>
      <c r="AH49" s="146">
        <v>1540</v>
      </c>
      <c r="AI49" s="147"/>
      <c r="AJ49" s="146">
        <v>587418</v>
      </c>
      <c r="AK49" s="147"/>
      <c r="AL49" s="146">
        <v>580250</v>
      </c>
      <c r="AM49" s="147" t="s">
        <v>1653</v>
      </c>
      <c r="AN49" s="146">
        <v>30128</v>
      </c>
      <c r="AO49" s="147"/>
      <c r="AP49" s="151">
        <v>29743</v>
      </c>
      <c r="AQ49" s="147" t="s">
        <v>1653</v>
      </c>
      <c r="AR49" s="146">
        <v>340008</v>
      </c>
      <c r="AS49" s="147" t="s">
        <v>1653</v>
      </c>
      <c r="AT49" s="150">
        <v>5379214</v>
      </c>
      <c r="AU49" s="126" t="s">
        <v>1653</v>
      </c>
      <c r="AV49" s="130">
        <v>52.34</v>
      </c>
      <c r="AW49" s="126" t="s">
        <v>1603</v>
      </c>
      <c r="AX49" s="126" t="s">
        <v>1748</v>
      </c>
    </row>
    <row r="50" spans="1:50">
      <c r="A50" s="126" t="s">
        <v>1666</v>
      </c>
      <c r="B50" s="126" t="s">
        <v>89</v>
      </c>
      <c r="C50" s="126" t="s">
        <v>378</v>
      </c>
      <c r="D50" s="127">
        <v>2098</v>
      </c>
      <c r="E50" s="128">
        <v>20098</v>
      </c>
      <c r="F50" s="126" t="s">
        <v>1612</v>
      </c>
      <c r="G50" s="126" t="s">
        <v>1601</v>
      </c>
      <c r="H50" s="146">
        <v>18351295</v>
      </c>
      <c r="I50" s="147">
        <v>310</v>
      </c>
      <c r="J50" s="126" t="s">
        <v>1604</v>
      </c>
      <c r="K50" s="126" t="s">
        <v>1602</v>
      </c>
      <c r="L50" s="129">
        <v>304</v>
      </c>
      <c r="M50" s="126"/>
      <c r="N50" s="148">
        <v>33</v>
      </c>
      <c r="O50" s="147"/>
      <c r="P50" s="149">
        <v>13.624599999999999</v>
      </c>
      <c r="Q50" s="147"/>
      <c r="R50" s="149">
        <v>5.0683999999999996</v>
      </c>
      <c r="S50" s="147"/>
      <c r="T50" s="149">
        <v>31.703499999999998</v>
      </c>
      <c r="U50" s="147"/>
      <c r="V50" s="146">
        <v>12823047</v>
      </c>
      <c r="W50" s="147"/>
      <c r="X50" s="150">
        <v>13103345</v>
      </c>
      <c r="Y50" s="147"/>
      <c r="Z50" s="146">
        <v>12744198</v>
      </c>
      <c r="AA50" s="147"/>
      <c r="AB50" s="146">
        <v>359147</v>
      </c>
      <c r="AC50" s="147"/>
      <c r="AD50" s="146">
        <v>954091</v>
      </c>
      <c r="AE50" s="147"/>
      <c r="AF50" s="146">
        <v>935379</v>
      </c>
      <c r="AG50" s="147"/>
      <c r="AH50" s="146">
        <v>18712</v>
      </c>
      <c r="AI50" s="147"/>
      <c r="AJ50" s="146">
        <v>1753804</v>
      </c>
      <c r="AK50" s="147"/>
      <c r="AL50" s="146">
        <v>1705415</v>
      </c>
      <c r="AM50" s="147"/>
      <c r="AN50" s="146">
        <v>129406</v>
      </c>
      <c r="AO50" s="147"/>
      <c r="AP50" s="151">
        <v>126903</v>
      </c>
      <c r="AQ50" s="147"/>
      <c r="AR50" s="146">
        <v>29654770</v>
      </c>
      <c r="AS50" s="147"/>
      <c r="AT50" s="150">
        <v>150302485</v>
      </c>
      <c r="AU50" s="126"/>
      <c r="AV50" s="130">
        <v>28.6</v>
      </c>
      <c r="AW50" s="126" t="s">
        <v>1603</v>
      </c>
      <c r="AX50" s="126" t="s">
        <v>1746</v>
      </c>
    </row>
    <row r="51" spans="1:50">
      <c r="A51" s="126" t="s">
        <v>1670</v>
      </c>
      <c r="B51" s="126" t="s">
        <v>1671</v>
      </c>
      <c r="C51" s="126" t="s">
        <v>351</v>
      </c>
      <c r="D51" s="127">
        <v>9030</v>
      </c>
      <c r="E51" s="128">
        <v>90030</v>
      </c>
      <c r="F51" s="126" t="s">
        <v>1612</v>
      </c>
      <c r="G51" s="126" t="s">
        <v>1601</v>
      </c>
      <c r="H51" s="146">
        <v>2956746</v>
      </c>
      <c r="I51" s="147">
        <v>205</v>
      </c>
      <c r="J51" s="126" t="s">
        <v>1610</v>
      </c>
      <c r="K51" s="126" t="s">
        <v>1605</v>
      </c>
      <c r="L51" s="129">
        <v>24</v>
      </c>
      <c r="M51" s="126"/>
      <c r="N51" s="148">
        <v>4</v>
      </c>
      <c r="O51" s="147"/>
      <c r="P51" s="149">
        <v>31.677499999999998</v>
      </c>
      <c r="Q51" s="147"/>
      <c r="R51" s="149">
        <v>26.441199999999998</v>
      </c>
      <c r="S51" s="147"/>
      <c r="T51" s="149">
        <v>25.204499999999999</v>
      </c>
      <c r="U51" s="147"/>
      <c r="V51" s="146">
        <v>1181583</v>
      </c>
      <c r="W51" s="147"/>
      <c r="X51" s="150">
        <v>1254334</v>
      </c>
      <c r="Y51" s="147"/>
      <c r="Z51" s="146">
        <v>1186577</v>
      </c>
      <c r="AA51" s="147"/>
      <c r="AB51" s="146">
        <v>67757</v>
      </c>
      <c r="AC51" s="147"/>
      <c r="AD51" s="146">
        <v>42212</v>
      </c>
      <c r="AE51" s="147"/>
      <c r="AF51" s="146">
        <v>37458</v>
      </c>
      <c r="AG51" s="147"/>
      <c r="AH51" s="146">
        <v>4754</v>
      </c>
      <c r="AI51" s="147"/>
      <c r="AJ51" s="146">
        <v>243076</v>
      </c>
      <c r="AK51" s="147"/>
      <c r="AL51" s="146">
        <v>230008</v>
      </c>
      <c r="AM51" s="147"/>
      <c r="AN51" s="146">
        <v>7881</v>
      </c>
      <c r="AO51" s="147"/>
      <c r="AP51" s="151">
        <v>7305</v>
      </c>
      <c r="AQ51" s="147"/>
      <c r="AR51" s="146">
        <v>944109</v>
      </c>
      <c r="AS51" s="147"/>
      <c r="AT51" s="150">
        <v>24963395</v>
      </c>
      <c r="AU51" s="126"/>
      <c r="AV51" s="130">
        <v>82.2</v>
      </c>
      <c r="AW51" s="126" t="s">
        <v>1603</v>
      </c>
      <c r="AX51" s="126" t="s">
        <v>1746</v>
      </c>
    </row>
    <row r="52" spans="1:50">
      <c r="A52" s="126" t="s">
        <v>1672</v>
      </c>
      <c r="B52" s="126" t="s">
        <v>1611</v>
      </c>
      <c r="C52" s="126" t="s">
        <v>351</v>
      </c>
      <c r="D52" s="127">
        <v>9151</v>
      </c>
      <c r="E52" s="128">
        <v>90151</v>
      </c>
      <c r="F52" s="126" t="s">
        <v>1612</v>
      </c>
      <c r="G52" s="126" t="s">
        <v>1601</v>
      </c>
      <c r="H52" s="146">
        <v>12150996</v>
      </c>
      <c r="I52" s="147">
        <v>195</v>
      </c>
      <c r="J52" s="126" t="s">
        <v>1610</v>
      </c>
      <c r="K52" s="126" t="s">
        <v>1605</v>
      </c>
      <c r="L52" s="129">
        <v>195</v>
      </c>
      <c r="M52" s="126"/>
      <c r="N52" s="148">
        <v>40</v>
      </c>
      <c r="O52" s="147"/>
      <c r="P52" s="149">
        <v>36.3401</v>
      </c>
      <c r="Q52" s="147"/>
      <c r="R52" s="149">
        <v>34.358199999999997</v>
      </c>
      <c r="S52" s="147" t="s">
        <v>1616</v>
      </c>
      <c r="T52" s="149">
        <v>26.057400000000001</v>
      </c>
      <c r="U52" s="147" t="s">
        <v>1616</v>
      </c>
      <c r="V52" s="146">
        <v>13061501</v>
      </c>
      <c r="W52" s="147"/>
      <c r="X52" s="150">
        <v>13618637</v>
      </c>
      <c r="Y52" s="147"/>
      <c r="Z52" s="146">
        <v>13049429</v>
      </c>
      <c r="AA52" s="147"/>
      <c r="AB52" s="146">
        <v>569208</v>
      </c>
      <c r="AC52" s="147"/>
      <c r="AD52" s="146">
        <v>387165</v>
      </c>
      <c r="AE52" s="147"/>
      <c r="AF52" s="146">
        <v>359092</v>
      </c>
      <c r="AG52" s="147"/>
      <c r="AH52" s="146">
        <v>28073</v>
      </c>
      <c r="AI52" s="147"/>
      <c r="AJ52" s="146">
        <v>2786037</v>
      </c>
      <c r="AK52" s="147"/>
      <c r="AL52" s="146">
        <v>2674879</v>
      </c>
      <c r="AM52" s="147"/>
      <c r="AN52" s="146">
        <v>80963</v>
      </c>
      <c r="AO52" s="147"/>
      <c r="AP52" s="151">
        <v>73871</v>
      </c>
      <c r="AQ52" s="147"/>
      <c r="AR52" s="146">
        <v>9357013</v>
      </c>
      <c r="AS52" s="147" t="s">
        <v>1616</v>
      </c>
      <c r="AT52" s="150">
        <v>321490316</v>
      </c>
      <c r="AU52" s="126" t="s">
        <v>1616</v>
      </c>
      <c r="AV52" s="130">
        <v>826.8</v>
      </c>
      <c r="AW52" s="126" t="s">
        <v>1603</v>
      </c>
      <c r="AX52" s="126" t="s">
        <v>1748</v>
      </c>
    </row>
    <row r="53" spans="1:50">
      <c r="A53" s="126" t="s">
        <v>1675</v>
      </c>
      <c r="B53" s="126" t="s">
        <v>1661</v>
      </c>
      <c r="C53" s="126" t="s">
        <v>351</v>
      </c>
      <c r="D53" s="127">
        <v>9134</v>
      </c>
      <c r="E53" s="128">
        <v>90134</v>
      </c>
      <c r="F53" s="126" t="s">
        <v>1612</v>
      </c>
      <c r="G53" s="126" t="s">
        <v>1601</v>
      </c>
      <c r="H53" s="146">
        <v>3281212</v>
      </c>
      <c r="I53" s="147">
        <v>141</v>
      </c>
      <c r="J53" s="126" t="s">
        <v>1610</v>
      </c>
      <c r="K53" s="126" t="s">
        <v>1605</v>
      </c>
      <c r="L53" s="129">
        <v>111</v>
      </c>
      <c r="M53" s="126"/>
      <c r="N53" s="148">
        <v>20</v>
      </c>
      <c r="O53" s="147"/>
      <c r="P53" s="149">
        <v>32.338700000000003</v>
      </c>
      <c r="Q53" s="147"/>
      <c r="R53" s="149">
        <v>22.0776</v>
      </c>
      <c r="S53" s="147"/>
      <c r="T53" s="149">
        <v>68.261899999999997</v>
      </c>
      <c r="U53" s="147"/>
      <c r="V53" s="146">
        <v>6469218</v>
      </c>
      <c r="W53" s="147"/>
      <c r="X53" s="150">
        <v>6644705</v>
      </c>
      <c r="Y53" s="147"/>
      <c r="Z53" s="146">
        <v>6486852</v>
      </c>
      <c r="AA53" s="147"/>
      <c r="AB53" s="146">
        <v>157853</v>
      </c>
      <c r="AC53" s="147"/>
      <c r="AD53" s="146">
        <v>216487</v>
      </c>
      <c r="AE53" s="147"/>
      <c r="AF53" s="146">
        <v>200591</v>
      </c>
      <c r="AG53" s="147"/>
      <c r="AH53" s="146">
        <v>15896</v>
      </c>
      <c r="AI53" s="147"/>
      <c r="AJ53" s="146">
        <v>1179829</v>
      </c>
      <c r="AK53" s="147"/>
      <c r="AL53" s="146">
        <v>1151035</v>
      </c>
      <c r="AM53" s="147"/>
      <c r="AN53" s="146">
        <v>38509</v>
      </c>
      <c r="AO53" s="147"/>
      <c r="AP53" s="151">
        <v>35662</v>
      </c>
      <c r="AQ53" s="147"/>
      <c r="AR53" s="146">
        <v>13692716</v>
      </c>
      <c r="AS53" s="147"/>
      <c r="AT53" s="150">
        <v>302302869</v>
      </c>
      <c r="AU53" s="126"/>
      <c r="AV53" s="130">
        <v>153.68</v>
      </c>
      <c r="AW53" s="126" t="s">
        <v>1603</v>
      </c>
      <c r="AX53" s="126" t="s">
        <v>1746</v>
      </c>
    </row>
    <row r="54" spans="1:50">
      <c r="A54" s="126" t="s">
        <v>1679</v>
      </c>
      <c r="B54" s="126" t="s">
        <v>1674</v>
      </c>
      <c r="C54" s="126" t="s">
        <v>396</v>
      </c>
      <c r="D54" s="127">
        <v>3073</v>
      </c>
      <c r="E54" s="128">
        <v>30073</v>
      </c>
      <c r="F54" s="126" t="s">
        <v>1612</v>
      </c>
      <c r="G54" s="126" t="s">
        <v>1601</v>
      </c>
      <c r="H54" s="146">
        <v>4586770</v>
      </c>
      <c r="I54" s="147">
        <v>99</v>
      </c>
      <c r="J54" s="126" t="s">
        <v>1610</v>
      </c>
      <c r="K54" s="126" t="s">
        <v>1605</v>
      </c>
      <c r="L54" s="129">
        <v>99</v>
      </c>
      <c r="M54" s="126"/>
      <c r="N54" s="148">
        <v>32</v>
      </c>
      <c r="O54" s="147"/>
      <c r="P54" s="149">
        <v>30.826899999999998</v>
      </c>
      <c r="Q54" s="147"/>
      <c r="R54" s="149">
        <v>30.3917</v>
      </c>
      <c r="S54" s="147"/>
      <c r="T54" s="149">
        <v>46.2879</v>
      </c>
      <c r="U54" s="147"/>
      <c r="V54" s="146">
        <v>2148620</v>
      </c>
      <c r="W54" s="147"/>
      <c r="X54" s="150">
        <v>2234620</v>
      </c>
      <c r="Y54" s="147"/>
      <c r="Z54" s="146">
        <v>2146074</v>
      </c>
      <c r="AA54" s="147"/>
      <c r="AB54" s="146">
        <v>88546</v>
      </c>
      <c r="AC54" s="147"/>
      <c r="AD54" s="146">
        <v>76838</v>
      </c>
      <c r="AE54" s="147"/>
      <c r="AF54" s="146">
        <v>69617</v>
      </c>
      <c r="AG54" s="147"/>
      <c r="AH54" s="146">
        <v>7221</v>
      </c>
      <c r="AI54" s="147"/>
      <c r="AJ54" s="146">
        <v>333795</v>
      </c>
      <c r="AK54" s="147"/>
      <c r="AL54" s="146">
        <v>320541</v>
      </c>
      <c r="AM54" s="147"/>
      <c r="AN54" s="146">
        <v>11411</v>
      </c>
      <c r="AO54" s="147"/>
      <c r="AP54" s="151">
        <v>10330</v>
      </c>
      <c r="AQ54" s="147"/>
      <c r="AR54" s="146">
        <v>3222428</v>
      </c>
      <c r="AS54" s="147"/>
      <c r="AT54" s="150">
        <v>97935058</v>
      </c>
      <c r="AU54" s="126"/>
      <c r="AV54" s="130">
        <v>173.62</v>
      </c>
      <c r="AW54" s="126" t="s">
        <v>1603</v>
      </c>
      <c r="AX54" s="126" t="s">
        <v>1746</v>
      </c>
    </row>
    <row r="55" spans="1:50">
      <c r="A55" s="126" t="s">
        <v>1680</v>
      </c>
      <c r="B55" s="126" t="s">
        <v>1681</v>
      </c>
      <c r="C55" s="126" t="s">
        <v>378</v>
      </c>
      <c r="D55" s="127">
        <v>2075</v>
      </c>
      <c r="E55" s="128">
        <v>20075</v>
      </c>
      <c r="F55" s="126" t="s">
        <v>1612</v>
      </c>
      <c r="G55" s="126" t="s">
        <v>1601</v>
      </c>
      <c r="H55" s="146">
        <v>5441567</v>
      </c>
      <c r="I55" s="147">
        <v>78</v>
      </c>
      <c r="J55" s="126" t="s">
        <v>1604</v>
      </c>
      <c r="K55" s="126" t="s">
        <v>1602</v>
      </c>
      <c r="L55" s="129">
        <v>78</v>
      </c>
      <c r="M55" s="126"/>
      <c r="N55" s="148">
        <v>11</v>
      </c>
      <c r="O55" s="147"/>
      <c r="P55" s="149">
        <v>31.0718</v>
      </c>
      <c r="Q55" s="147"/>
      <c r="R55" s="149">
        <v>8.5806000000000004</v>
      </c>
      <c r="S55" s="147"/>
      <c r="T55" s="149">
        <v>27.423500000000001</v>
      </c>
      <c r="U55" s="147"/>
      <c r="V55" s="146">
        <v>5618718</v>
      </c>
      <c r="W55" s="147"/>
      <c r="X55" s="150">
        <v>4662890</v>
      </c>
      <c r="Y55" s="147"/>
      <c r="Z55" s="146">
        <v>4474868</v>
      </c>
      <c r="AA55" s="147"/>
      <c r="AB55" s="146">
        <v>188022</v>
      </c>
      <c r="AC55" s="147"/>
      <c r="AD55" s="146">
        <v>154306</v>
      </c>
      <c r="AE55" s="147"/>
      <c r="AF55" s="146">
        <v>144017</v>
      </c>
      <c r="AG55" s="147"/>
      <c r="AH55" s="146">
        <v>10289</v>
      </c>
      <c r="AI55" s="147"/>
      <c r="AJ55" s="146">
        <v>899973</v>
      </c>
      <c r="AK55" s="147"/>
      <c r="AL55" s="146">
        <v>836001</v>
      </c>
      <c r="AM55" s="147"/>
      <c r="AN55" s="146">
        <v>31034</v>
      </c>
      <c r="AO55" s="147"/>
      <c r="AP55" s="151">
        <v>28828</v>
      </c>
      <c r="AQ55" s="147"/>
      <c r="AR55" s="146">
        <v>3949450</v>
      </c>
      <c r="AS55" s="147"/>
      <c r="AT55" s="150">
        <v>33888694</v>
      </c>
      <c r="AU55" s="126"/>
      <c r="AV55" s="130">
        <v>31.5</v>
      </c>
      <c r="AW55" s="126" t="s">
        <v>1603</v>
      </c>
      <c r="AX55" s="126" t="s">
        <v>1746</v>
      </c>
    </row>
    <row r="56" spans="1:50">
      <c r="A56" s="126" t="s">
        <v>1683</v>
      </c>
      <c r="B56" s="126" t="s">
        <v>1684</v>
      </c>
      <c r="C56" s="126" t="s">
        <v>362</v>
      </c>
      <c r="D56" s="127">
        <v>5104</v>
      </c>
      <c r="E56" s="128">
        <v>50104</v>
      </c>
      <c r="F56" s="126" t="s">
        <v>1612</v>
      </c>
      <c r="G56" s="126" t="s">
        <v>1601</v>
      </c>
      <c r="H56" s="146">
        <v>8608208</v>
      </c>
      <c r="I56" s="147">
        <v>70</v>
      </c>
      <c r="J56" s="126" t="s">
        <v>1610</v>
      </c>
      <c r="K56" s="126" t="s">
        <v>1602</v>
      </c>
      <c r="L56" s="129">
        <v>70</v>
      </c>
      <c r="M56" s="126"/>
      <c r="N56" s="148">
        <v>17</v>
      </c>
      <c r="O56" s="147"/>
      <c r="P56" s="149">
        <v>34.768900000000002</v>
      </c>
      <c r="Q56" s="147"/>
      <c r="R56" s="149">
        <v>33</v>
      </c>
      <c r="S56" s="147"/>
      <c r="T56" s="149">
        <v>8.8186</v>
      </c>
      <c r="U56" s="147"/>
      <c r="V56" s="146">
        <v>4013838</v>
      </c>
      <c r="W56" s="147"/>
      <c r="X56" s="150">
        <v>3988838</v>
      </c>
      <c r="Y56" s="147"/>
      <c r="Z56" s="146">
        <v>3923145</v>
      </c>
      <c r="AA56" s="147"/>
      <c r="AB56" s="146">
        <v>65693</v>
      </c>
      <c r="AC56" s="147"/>
      <c r="AD56" s="146">
        <v>114811</v>
      </c>
      <c r="AE56" s="147"/>
      <c r="AF56" s="146">
        <v>112835</v>
      </c>
      <c r="AG56" s="147"/>
      <c r="AH56" s="146">
        <v>1976</v>
      </c>
      <c r="AI56" s="147"/>
      <c r="AJ56" s="146">
        <v>739801</v>
      </c>
      <c r="AK56" s="147"/>
      <c r="AL56" s="146">
        <v>724288</v>
      </c>
      <c r="AM56" s="147"/>
      <c r="AN56" s="146">
        <v>21331</v>
      </c>
      <c r="AO56" s="147"/>
      <c r="AP56" s="151">
        <v>20981</v>
      </c>
      <c r="AQ56" s="147"/>
      <c r="AR56" s="146">
        <v>995049</v>
      </c>
      <c r="AS56" s="147"/>
      <c r="AT56" s="150">
        <v>32836617</v>
      </c>
      <c r="AU56" s="126"/>
      <c r="AV56" s="130">
        <v>179.8</v>
      </c>
      <c r="AW56" s="126" t="s">
        <v>1603</v>
      </c>
      <c r="AX56" s="126" t="s">
        <v>1746</v>
      </c>
    </row>
    <row r="57" spans="1:50">
      <c r="A57" s="126" t="s">
        <v>1756</v>
      </c>
      <c r="B57" s="126" t="s">
        <v>1682</v>
      </c>
      <c r="C57" s="126" t="s">
        <v>356</v>
      </c>
      <c r="D57" s="127">
        <v>4077</v>
      </c>
      <c r="E57" s="128">
        <v>40077</v>
      </c>
      <c r="F57" s="126" t="s">
        <v>1612</v>
      </c>
      <c r="G57" s="126" t="s">
        <v>1601</v>
      </c>
      <c r="H57" s="146">
        <v>5502379</v>
      </c>
      <c r="I57" s="147">
        <v>65</v>
      </c>
      <c r="J57" s="126" t="s">
        <v>1610</v>
      </c>
      <c r="K57" s="126" t="s">
        <v>1605</v>
      </c>
      <c r="L57" s="129">
        <v>43</v>
      </c>
      <c r="M57" s="126"/>
      <c r="N57" s="148">
        <v>10</v>
      </c>
      <c r="O57" s="147"/>
      <c r="P57" s="149">
        <v>27.9588</v>
      </c>
      <c r="Q57" s="147"/>
      <c r="R57" s="149">
        <v>27.164899999999999</v>
      </c>
      <c r="S57" s="147"/>
      <c r="T57" s="149">
        <v>31.171099999999999</v>
      </c>
      <c r="U57" s="147"/>
      <c r="V57" s="146">
        <v>3327000</v>
      </c>
      <c r="W57" s="147"/>
      <c r="X57" s="150">
        <v>3379135</v>
      </c>
      <c r="Y57" s="147"/>
      <c r="Z57" s="146">
        <v>3159070</v>
      </c>
      <c r="AA57" s="147"/>
      <c r="AB57" s="146">
        <v>220065</v>
      </c>
      <c r="AC57" s="147"/>
      <c r="AD57" s="146">
        <v>125765</v>
      </c>
      <c r="AE57" s="147"/>
      <c r="AF57" s="146">
        <v>112990</v>
      </c>
      <c r="AG57" s="147"/>
      <c r="AH57" s="146">
        <v>12775</v>
      </c>
      <c r="AI57" s="147"/>
      <c r="AJ57" s="146">
        <v>1016844</v>
      </c>
      <c r="AK57" s="147"/>
      <c r="AL57" s="146">
        <v>958905</v>
      </c>
      <c r="AM57" s="147"/>
      <c r="AN57" s="146">
        <v>37346</v>
      </c>
      <c r="AO57" s="147"/>
      <c r="AP57" s="151">
        <v>33681</v>
      </c>
      <c r="AQ57" s="147"/>
      <c r="AR57" s="146">
        <v>3522017</v>
      </c>
      <c r="AS57" s="147"/>
      <c r="AT57" s="150">
        <v>95675095</v>
      </c>
      <c r="AU57" s="126"/>
      <c r="AV57" s="130">
        <v>142.24</v>
      </c>
      <c r="AW57" s="126" t="s">
        <v>1603</v>
      </c>
      <c r="AX57" s="126" t="s">
        <v>1746</v>
      </c>
    </row>
    <row r="58" spans="1:50">
      <c r="A58" s="126" t="s">
        <v>1685</v>
      </c>
      <c r="B58" s="126" t="s">
        <v>1673</v>
      </c>
      <c r="C58" s="126" t="s">
        <v>379</v>
      </c>
      <c r="D58" s="127">
        <v>6111</v>
      </c>
      <c r="E58" s="128">
        <v>60111</v>
      </c>
      <c r="F58" s="126" t="s">
        <v>1612</v>
      </c>
      <c r="G58" s="126" t="s">
        <v>1601</v>
      </c>
      <c r="H58" s="146">
        <v>741318</v>
      </c>
      <c r="I58" s="147">
        <v>58</v>
      </c>
      <c r="J58" s="126" t="s">
        <v>1610</v>
      </c>
      <c r="K58" s="126" t="s">
        <v>1605</v>
      </c>
      <c r="L58" s="129">
        <v>25</v>
      </c>
      <c r="M58" s="126"/>
      <c r="N58" s="148">
        <v>7</v>
      </c>
      <c r="O58" s="147"/>
      <c r="P58" s="149">
        <v>37.376199999999997</v>
      </c>
      <c r="Q58" s="147"/>
      <c r="R58" s="149">
        <v>46.606200000000001</v>
      </c>
      <c r="S58" s="147"/>
      <c r="T58" s="149">
        <v>20.342199999999998</v>
      </c>
      <c r="U58" s="147"/>
      <c r="V58" s="146">
        <v>949106</v>
      </c>
      <c r="W58" s="147"/>
      <c r="X58" s="150">
        <v>965030</v>
      </c>
      <c r="Y58" s="147"/>
      <c r="Z58" s="146">
        <v>948235</v>
      </c>
      <c r="AA58" s="147"/>
      <c r="AB58" s="146">
        <v>16795</v>
      </c>
      <c r="AC58" s="147"/>
      <c r="AD58" s="146">
        <v>26411</v>
      </c>
      <c r="AE58" s="147"/>
      <c r="AF58" s="146">
        <v>25370</v>
      </c>
      <c r="AG58" s="147"/>
      <c r="AH58" s="146">
        <v>1041</v>
      </c>
      <c r="AI58" s="147"/>
      <c r="AJ58" s="146">
        <v>350454</v>
      </c>
      <c r="AK58" s="147"/>
      <c r="AL58" s="146">
        <v>318879</v>
      </c>
      <c r="AM58" s="147"/>
      <c r="AN58" s="146">
        <v>8899</v>
      </c>
      <c r="AO58" s="147"/>
      <c r="AP58" s="151">
        <v>8580</v>
      </c>
      <c r="AQ58" s="147"/>
      <c r="AR58" s="146">
        <v>516082</v>
      </c>
      <c r="AS58" s="147"/>
      <c r="AT58" s="150">
        <v>24052625</v>
      </c>
      <c r="AU58" s="126"/>
      <c r="AV58" s="130">
        <v>193.1</v>
      </c>
      <c r="AW58" s="126" t="s">
        <v>1603</v>
      </c>
      <c r="AX58" s="126" t="s">
        <v>1746</v>
      </c>
    </row>
    <row r="59" spans="1:50">
      <c r="A59" s="126" t="s">
        <v>1687</v>
      </c>
      <c r="B59" s="126" t="s">
        <v>1629</v>
      </c>
      <c r="C59" s="126" t="s">
        <v>1550</v>
      </c>
      <c r="D59" s="127">
        <v>4094</v>
      </c>
      <c r="E59" s="128">
        <v>40094</v>
      </c>
      <c r="F59" s="126" t="s">
        <v>1626</v>
      </c>
      <c r="G59" s="126" t="s">
        <v>1601</v>
      </c>
      <c r="H59" s="146">
        <v>2148346</v>
      </c>
      <c r="I59" s="147">
        <v>54</v>
      </c>
      <c r="J59" s="126" t="s">
        <v>1604</v>
      </c>
      <c r="K59" s="126" t="s">
        <v>1605</v>
      </c>
      <c r="L59" s="129">
        <v>32</v>
      </c>
      <c r="M59" s="126"/>
      <c r="N59" s="148">
        <v>8</v>
      </c>
      <c r="O59" s="147"/>
      <c r="P59" s="149">
        <v>18.242100000000001</v>
      </c>
      <c r="Q59" s="147"/>
      <c r="R59" s="149">
        <v>4.7439</v>
      </c>
      <c r="S59" s="147"/>
      <c r="T59" s="149">
        <v>48.951300000000003</v>
      </c>
      <c r="U59" s="147"/>
      <c r="V59" s="146">
        <v>1280494</v>
      </c>
      <c r="W59" s="147"/>
      <c r="X59" s="150">
        <v>1388955</v>
      </c>
      <c r="Y59" s="147"/>
      <c r="Z59" s="146">
        <v>1315913</v>
      </c>
      <c r="AA59" s="147"/>
      <c r="AB59" s="146">
        <v>73042</v>
      </c>
      <c r="AC59" s="147"/>
      <c r="AD59" s="146">
        <v>75239</v>
      </c>
      <c r="AE59" s="147"/>
      <c r="AF59" s="146">
        <v>72136</v>
      </c>
      <c r="AG59" s="147"/>
      <c r="AH59" s="146">
        <v>3103</v>
      </c>
      <c r="AI59" s="147"/>
      <c r="AJ59" s="146">
        <v>434149</v>
      </c>
      <c r="AK59" s="147"/>
      <c r="AL59" s="146">
        <v>411208</v>
      </c>
      <c r="AM59" s="147"/>
      <c r="AN59" s="146">
        <v>23224</v>
      </c>
      <c r="AO59" s="147"/>
      <c r="AP59" s="151">
        <v>22380</v>
      </c>
      <c r="AQ59" s="147"/>
      <c r="AR59" s="146">
        <v>3531150</v>
      </c>
      <c r="AS59" s="147"/>
      <c r="AT59" s="150">
        <v>16751299</v>
      </c>
      <c r="AU59" s="126"/>
      <c r="AV59" s="130">
        <v>20.62</v>
      </c>
      <c r="AW59" s="126" t="s">
        <v>1603</v>
      </c>
      <c r="AX59" s="126" t="s">
        <v>1746</v>
      </c>
    </row>
    <row r="60" spans="1:50">
      <c r="A60" s="126" t="s">
        <v>1686</v>
      </c>
      <c r="B60" s="126" t="s">
        <v>1669</v>
      </c>
      <c r="C60" s="126" t="s">
        <v>389</v>
      </c>
      <c r="D60" s="127">
        <v>4159</v>
      </c>
      <c r="E60" s="128">
        <v>40159</v>
      </c>
      <c r="F60" s="126" t="s">
        <v>1612</v>
      </c>
      <c r="G60" s="126" t="s">
        <v>1601</v>
      </c>
      <c r="H60" s="146">
        <v>969587</v>
      </c>
      <c r="I60" s="147">
        <v>46</v>
      </c>
      <c r="J60" s="126" t="s">
        <v>1610</v>
      </c>
      <c r="K60" s="126" t="s">
        <v>1605</v>
      </c>
      <c r="L60" s="129">
        <v>8</v>
      </c>
      <c r="M60" s="126"/>
      <c r="N60" s="148">
        <v>2</v>
      </c>
      <c r="O60" s="147"/>
      <c r="P60" s="149">
        <v>27.200099999999999</v>
      </c>
      <c r="Q60" s="147"/>
      <c r="R60" s="149">
        <v>15.894600000000001</v>
      </c>
      <c r="S60" s="147"/>
      <c r="T60" s="149">
        <v>31.578299999999999</v>
      </c>
      <c r="U60" s="147"/>
      <c r="V60" s="146">
        <v>185032</v>
      </c>
      <c r="W60" s="147"/>
      <c r="X60" s="150">
        <v>208873</v>
      </c>
      <c r="Y60" s="147"/>
      <c r="Z60" s="146">
        <v>184417</v>
      </c>
      <c r="AA60" s="147"/>
      <c r="AB60" s="146">
        <v>24456</v>
      </c>
      <c r="AC60" s="147"/>
      <c r="AD60" s="146">
        <v>9329</v>
      </c>
      <c r="AE60" s="147"/>
      <c r="AF60" s="146">
        <v>6780</v>
      </c>
      <c r="AG60" s="147"/>
      <c r="AH60" s="146">
        <v>2549</v>
      </c>
      <c r="AI60" s="147"/>
      <c r="AJ60" s="146">
        <v>80763</v>
      </c>
      <c r="AK60" s="147"/>
      <c r="AL60" s="146">
        <v>75873</v>
      </c>
      <c r="AM60" s="147"/>
      <c r="AN60" s="146">
        <v>3127</v>
      </c>
      <c r="AO60" s="147"/>
      <c r="AP60" s="151">
        <v>2616</v>
      </c>
      <c r="AQ60" s="147"/>
      <c r="AR60" s="146">
        <v>214101</v>
      </c>
      <c r="AS60" s="147"/>
      <c r="AT60" s="150">
        <v>3403059</v>
      </c>
      <c r="AU60" s="126"/>
      <c r="AV60" s="130">
        <v>62.8</v>
      </c>
      <c r="AW60" s="126" t="s">
        <v>1603</v>
      </c>
      <c r="AX60" s="126" t="s">
        <v>1746</v>
      </c>
    </row>
    <row r="61" spans="1:50">
      <c r="A61" s="126" t="s">
        <v>1757</v>
      </c>
      <c r="B61" s="126" t="s">
        <v>1690</v>
      </c>
      <c r="C61" s="126" t="s">
        <v>381</v>
      </c>
      <c r="D61" s="127">
        <v>2099</v>
      </c>
      <c r="E61" s="128">
        <v>20099</v>
      </c>
      <c r="F61" s="126" t="s">
        <v>1600</v>
      </c>
      <c r="G61" s="126" t="s">
        <v>1601</v>
      </c>
      <c r="H61" s="146">
        <v>18351295</v>
      </c>
      <c r="I61" s="147">
        <v>44</v>
      </c>
      <c r="J61" s="126" t="s">
        <v>1604</v>
      </c>
      <c r="K61" s="126" t="s">
        <v>1602</v>
      </c>
      <c r="L61" s="129">
        <v>44</v>
      </c>
      <c r="M61" s="126"/>
      <c r="N61" s="148">
        <v>11</v>
      </c>
      <c r="O61" s="147"/>
      <c r="P61" s="149">
        <v>14.9787</v>
      </c>
      <c r="Q61" s="147"/>
      <c r="R61" s="149">
        <v>6.2369000000000003</v>
      </c>
      <c r="S61" s="147"/>
      <c r="T61" s="149">
        <v>20.2651</v>
      </c>
      <c r="U61" s="147"/>
      <c r="V61" s="146">
        <v>2119585</v>
      </c>
      <c r="W61" s="147"/>
      <c r="X61" s="150">
        <v>2255067</v>
      </c>
      <c r="Y61" s="147"/>
      <c r="Z61" s="146">
        <v>2005981</v>
      </c>
      <c r="AA61" s="147"/>
      <c r="AB61" s="146">
        <v>249086</v>
      </c>
      <c r="AC61" s="147"/>
      <c r="AD61" s="146">
        <v>144198</v>
      </c>
      <c r="AE61" s="147"/>
      <c r="AF61" s="146">
        <v>133922</v>
      </c>
      <c r="AG61" s="147"/>
      <c r="AH61" s="146">
        <v>10276</v>
      </c>
      <c r="AI61" s="147"/>
      <c r="AJ61" s="146">
        <v>563767</v>
      </c>
      <c r="AK61" s="147"/>
      <c r="AL61" s="146">
        <v>501496</v>
      </c>
      <c r="AM61" s="147"/>
      <c r="AN61" s="146">
        <v>36049</v>
      </c>
      <c r="AO61" s="147"/>
      <c r="AP61" s="151">
        <v>33480</v>
      </c>
      <c r="AQ61" s="147"/>
      <c r="AR61" s="146">
        <v>2713941</v>
      </c>
      <c r="AS61" s="147"/>
      <c r="AT61" s="150">
        <v>16926538</v>
      </c>
      <c r="AU61" s="126"/>
      <c r="AV61" s="130">
        <v>28.6</v>
      </c>
      <c r="AW61" s="126" t="s">
        <v>1603</v>
      </c>
      <c r="AX61" s="126" t="s">
        <v>1746</v>
      </c>
    </row>
    <row r="62" spans="1:50">
      <c r="A62" s="126" t="s">
        <v>1688</v>
      </c>
      <c r="B62" s="126" t="s">
        <v>1689</v>
      </c>
      <c r="C62" s="126" t="s">
        <v>353</v>
      </c>
      <c r="D62" s="127">
        <v>1102</v>
      </c>
      <c r="E62" s="128">
        <v>10102</v>
      </c>
      <c r="F62" s="126" t="s">
        <v>1626</v>
      </c>
      <c r="G62" s="126" t="s">
        <v>1601</v>
      </c>
      <c r="H62" s="146">
        <v>924859</v>
      </c>
      <c r="I62" s="147">
        <v>43</v>
      </c>
      <c r="J62" s="126" t="s">
        <v>1610</v>
      </c>
      <c r="K62" s="126" t="s">
        <v>1605</v>
      </c>
      <c r="L62" s="129">
        <v>28</v>
      </c>
      <c r="M62" s="126"/>
      <c r="N62" s="148">
        <v>5</v>
      </c>
      <c r="O62" s="147"/>
      <c r="P62" s="149">
        <v>41.5304</v>
      </c>
      <c r="Q62" s="147"/>
      <c r="R62" s="149">
        <v>26.974699999999999</v>
      </c>
      <c r="S62" s="147"/>
      <c r="T62" s="149">
        <v>14.137</v>
      </c>
      <c r="U62" s="147"/>
      <c r="V62" s="146">
        <v>1532134</v>
      </c>
      <c r="W62" s="147"/>
      <c r="X62" s="150">
        <v>1717047</v>
      </c>
      <c r="Y62" s="147"/>
      <c r="Z62" s="146">
        <v>1403229</v>
      </c>
      <c r="AA62" s="147"/>
      <c r="AB62" s="146">
        <v>313818</v>
      </c>
      <c r="AC62" s="147"/>
      <c r="AD62" s="146">
        <v>40817</v>
      </c>
      <c r="AE62" s="147"/>
      <c r="AF62" s="146">
        <v>33788</v>
      </c>
      <c r="AG62" s="147"/>
      <c r="AH62" s="146">
        <v>7029</v>
      </c>
      <c r="AI62" s="147"/>
      <c r="AJ62" s="146">
        <v>501997</v>
      </c>
      <c r="AK62" s="147"/>
      <c r="AL62" s="146">
        <v>418641</v>
      </c>
      <c r="AM62" s="147"/>
      <c r="AN62" s="146">
        <v>11906</v>
      </c>
      <c r="AO62" s="147"/>
      <c r="AP62" s="151">
        <v>9943</v>
      </c>
      <c r="AQ62" s="147"/>
      <c r="AR62" s="146">
        <v>477660</v>
      </c>
      <c r="AS62" s="147"/>
      <c r="AT62" s="150">
        <v>12884750</v>
      </c>
      <c r="AU62" s="126"/>
      <c r="AV62" s="130">
        <v>101.2</v>
      </c>
      <c r="AW62" s="126" t="s">
        <v>1603</v>
      </c>
      <c r="AX62" s="126" t="s">
        <v>1746</v>
      </c>
    </row>
    <row r="63" spans="1:50">
      <c r="A63" s="126" t="s">
        <v>1692</v>
      </c>
      <c r="B63" s="126" t="s">
        <v>1639</v>
      </c>
      <c r="C63" s="126" t="s">
        <v>350</v>
      </c>
      <c r="D63" s="127">
        <v>9209</v>
      </c>
      <c r="E63" s="128">
        <v>90209</v>
      </c>
      <c r="F63" s="126" t="s">
        <v>1608</v>
      </c>
      <c r="G63" s="126" t="s">
        <v>1601</v>
      </c>
      <c r="H63" s="146">
        <v>3629114</v>
      </c>
      <c r="I63" s="147">
        <v>38</v>
      </c>
      <c r="J63" s="126" t="s">
        <v>1609</v>
      </c>
      <c r="K63" s="126" t="s">
        <v>1605</v>
      </c>
      <c r="L63" s="129">
        <v>38</v>
      </c>
      <c r="M63" s="126"/>
      <c r="N63" s="148">
        <v>17</v>
      </c>
      <c r="O63" s="147"/>
      <c r="P63" s="149">
        <v>15.732699999999999</v>
      </c>
      <c r="Q63" s="147"/>
      <c r="R63" s="149">
        <v>7.0598999999999998</v>
      </c>
      <c r="S63" s="147"/>
      <c r="T63" s="149">
        <v>59.326099999999997</v>
      </c>
      <c r="U63" s="147"/>
      <c r="V63" s="146">
        <v>3379368</v>
      </c>
      <c r="W63" s="147"/>
      <c r="X63" s="150">
        <v>3435184</v>
      </c>
      <c r="Y63" s="147"/>
      <c r="Z63" s="146">
        <v>3401452</v>
      </c>
      <c r="AA63" s="147"/>
      <c r="AB63" s="146">
        <v>33732</v>
      </c>
      <c r="AC63" s="147"/>
      <c r="AD63" s="146">
        <v>220467</v>
      </c>
      <c r="AE63" s="147"/>
      <c r="AF63" s="146">
        <v>216203</v>
      </c>
      <c r="AG63" s="147"/>
      <c r="AH63" s="146">
        <v>4264</v>
      </c>
      <c r="AI63" s="147"/>
      <c r="AJ63" s="146">
        <v>1639416</v>
      </c>
      <c r="AK63" s="147"/>
      <c r="AL63" s="146">
        <v>1623906</v>
      </c>
      <c r="AM63" s="147"/>
      <c r="AN63" s="146">
        <v>105253</v>
      </c>
      <c r="AO63" s="147"/>
      <c r="AP63" s="151">
        <v>103186</v>
      </c>
      <c r="AQ63" s="147"/>
      <c r="AR63" s="146">
        <v>12826471</v>
      </c>
      <c r="AS63" s="147"/>
      <c r="AT63" s="150">
        <v>90553779</v>
      </c>
      <c r="AU63" s="126"/>
      <c r="AV63" s="130">
        <v>54.48</v>
      </c>
      <c r="AW63" s="126" t="s">
        <v>1603</v>
      </c>
      <c r="AX63" s="126" t="s">
        <v>1746</v>
      </c>
    </row>
    <row r="64" spans="1:50">
      <c r="A64" s="126" t="s">
        <v>1693</v>
      </c>
      <c r="B64" s="126" t="s">
        <v>1678</v>
      </c>
      <c r="C64" s="126" t="s">
        <v>351</v>
      </c>
      <c r="D64" s="127">
        <v>9182</v>
      </c>
      <c r="E64" s="128">
        <v>90182</v>
      </c>
      <c r="F64" s="126" t="s">
        <v>1612</v>
      </c>
      <c r="G64" s="126" t="s">
        <v>1601</v>
      </c>
      <c r="H64" s="146">
        <v>370583</v>
      </c>
      <c r="I64" s="147">
        <v>35</v>
      </c>
      <c r="J64" s="126" t="s">
        <v>1610</v>
      </c>
      <c r="K64" s="126" t="s">
        <v>1605</v>
      </c>
      <c r="L64" s="129">
        <v>35</v>
      </c>
      <c r="M64" s="126"/>
      <c r="N64" s="148">
        <v>7</v>
      </c>
      <c r="O64" s="147"/>
      <c r="P64" s="149">
        <v>39.364699999999999</v>
      </c>
      <c r="Q64" s="147"/>
      <c r="R64" s="149">
        <v>43.7104</v>
      </c>
      <c r="S64" s="147"/>
      <c r="T64" s="149">
        <v>41.436999999999998</v>
      </c>
      <c r="U64" s="147"/>
      <c r="V64" s="146">
        <v>1050950</v>
      </c>
      <c r="W64" s="147"/>
      <c r="X64" s="150">
        <v>1050950</v>
      </c>
      <c r="Y64" s="147"/>
      <c r="Z64" s="146">
        <v>1008877</v>
      </c>
      <c r="AA64" s="147"/>
      <c r="AB64" s="146">
        <v>42073</v>
      </c>
      <c r="AC64" s="147"/>
      <c r="AD64" s="146">
        <v>31545</v>
      </c>
      <c r="AE64" s="147"/>
      <c r="AF64" s="146">
        <v>25629</v>
      </c>
      <c r="AG64" s="147"/>
      <c r="AH64" s="146">
        <v>5916</v>
      </c>
      <c r="AI64" s="147"/>
      <c r="AJ64" s="146">
        <v>168072</v>
      </c>
      <c r="AK64" s="147"/>
      <c r="AL64" s="146">
        <v>158131</v>
      </c>
      <c r="AM64" s="147"/>
      <c r="AN64" s="146">
        <v>4801</v>
      </c>
      <c r="AO64" s="147"/>
      <c r="AP64" s="151">
        <v>4126</v>
      </c>
      <c r="AQ64" s="147"/>
      <c r="AR64" s="146">
        <v>1061990</v>
      </c>
      <c r="AS64" s="147"/>
      <c r="AT64" s="150">
        <v>46419957</v>
      </c>
      <c r="AU64" s="126"/>
      <c r="AV64" s="130">
        <v>172</v>
      </c>
      <c r="AW64" s="126" t="s">
        <v>1603</v>
      </c>
      <c r="AX64" s="126" t="s">
        <v>1746</v>
      </c>
    </row>
    <row r="65" spans="1:50">
      <c r="A65" s="126" t="s">
        <v>1758</v>
      </c>
      <c r="B65" s="126" t="s">
        <v>1677</v>
      </c>
      <c r="C65" s="126" t="s">
        <v>356</v>
      </c>
      <c r="D65" s="127">
        <v>4232</v>
      </c>
      <c r="E65" s="128">
        <v>40232</v>
      </c>
      <c r="F65" s="126" t="s">
        <v>1626</v>
      </c>
      <c r="G65" s="126" t="s">
        <v>1601</v>
      </c>
      <c r="H65" s="146">
        <v>1510516</v>
      </c>
      <c r="I65" s="147">
        <v>25</v>
      </c>
      <c r="J65" s="126" t="s">
        <v>1610</v>
      </c>
      <c r="K65" s="126" t="s">
        <v>1605</v>
      </c>
      <c r="L65" s="129">
        <v>25</v>
      </c>
      <c r="M65" s="126"/>
      <c r="N65" s="148">
        <v>7</v>
      </c>
      <c r="O65" s="147"/>
      <c r="P65" s="149">
        <v>27.875299999999999</v>
      </c>
      <c r="Q65" s="147"/>
      <c r="R65" s="149">
        <v>16.655999999999999</v>
      </c>
      <c r="S65" s="147"/>
      <c r="T65" s="149">
        <v>36.110199999999999</v>
      </c>
      <c r="U65" s="147"/>
      <c r="V65" s="146">
        <v>961119</v>
      </c>
      <c r="W65" s="147"/>
      <c r="X65" s="150">
        <v>987220</v>
      </c>
      <c r="Y65" s="147"/>
      <c r="Z65" s="146">
        <v>959969</v>
      </c>
      <c r="AA65" s="147"/>
      <c r="AB65" s="146">
        <v>27251</v>
      </c>
      <c r="AC65" s="147"/>
      <c r="AD65" s="146">
        <v>35457</v>
      </c>
      <c r="AE65" s="147"/>
      <c r="AF65" s="146">
        <v>34438</v>
      </c>
      <c r="AG65" s="147"/>
      <c r="AH65" s="146">
        <v>1019</v>
      </c>
      <c r="AI65" s="147"/>
      <c r="AJ65" s="146">
        <v>486222</v>
      </c>
      <c r="AK65" s="147"/>
      <c r="AL65" s="146">
        <v>472840</v>
      </c>
      <c r="AM65" s="147"/>
      <c r="AN65" s="146">
        <v>17449</v>
      </c>
      <c r="AO65" s="147"/>
      <c r="AP65" s="151">
        <v>16961</v>
      </c>
      <c r="AQ65" s="147"/>
      <c r="AR65" s="146">
        <v>1243563</v>
      </c>
      <c r="AS65" s="147"/>
      <c r="AT65" s="150">
        <v>20712830</v>
      </c>
      <c r="AU65" s="126"/>
      <c r="AV65" s="130">
        <v>97.94</v>
      </c>
      <c r="AW65" s="126" t="s">
        <v>1603</v>
      </c>
      <c r="AX65" s="126" t="s">
        <v>1746</v>
      </c>
    </row>
    <row r="66" spans="1:50">
      <c r="A66" s="126" t="s">
        <v>1694</v>
      </c>
      <c r="B66" s="126" t="s">
        <v>1641</v>
      </c>
      <c r="C66" s="126" t="s">
        <v>368</v>
      </c>
      <c r="D66" s="127">
        <v>1115</v>
      </c>
      <c r="E66" s="128">
        <v>10115</v>
      </c>
      <c r="F66" s="126" t="s">
        <v>1612</v>
      </c>
      <c r="G66" s="126" t="s">
        <v>1601</v>
      </c>
      <c r="H66" s="146">
        <v>203914</v>
      </c>
      <c r="I66" s="147">
        <v>21</v>
      </c>
      <c r="J66" s="126" t="s">
        <v>1610</v>
      </c>
      <c r="K66" s="126" t="s">
        <v>1605</v>
      </c>
      <c r="L66" s="129">
        <v>21</v>
      </c>
      <c r="M66" s="126"/>
      <c r="N66" s="148">
        <v>3</v>
      </c>
      <c r="O66" s="147"/>
      <c r="P66" s="149">
        <v>31.0428</v>
      </c>
      <c r="Q66" s="147"/>
      <c r="R66" s="149">
        <v>80.967200000000005</v>
      </c>
      <c r="S66" s="147"/>
      <c r="T66" s="149">
        <v>6.5294999999999996</v>
      </c>
      <c r="U66" s="147"/>
      <c r="V66" s="146">
        <v>2681492</v>
      </c>
      <c r="W66" s="147"/>
      <c r="X66" s="150">
        <v>1974842</v>
      </c>
      <c r="Y66" s="147"/>
      <c r="Z66" s="146">
        <v>1962156</v>
      </c>
      <c r="AA66" s="147"/>
      <c r="AB66" s="146">
        <v>12686</v>
      </c>
      <c r="AC66" s="147"/>
      <c r="AD66" s="146">
        <v>64602</v>
      </c>
      <c r="AE66" s="147"/>
      <c r="AF66" s="146">
        <v>63208</v>
      </c>
      <c r="AG66" s="147"/>
      <c r="AH66" s="146">
        <v>1394</v>
      </c>
      <c r="AI66" s="147"/>
      <c r="AJ66" s="146">
        <v>394968</v>
      </c>
      <c r="AK66" s="147"/>
      <c r="AL66" s="146">
        <v>392431</v>
      </c>
      <c r="AM66" s="147"/>
      <c r="AN66" s="146">
        <v>12909</v>
      </c>
      <c r="AO66" s="147"/>
      <c r="AP66" s="151">
        <v>12630</v>
      </c>
      <c r="AQ66" s="147"/>
      <c r="AR66" s="146">
        <v>412718</v>
      </c>
      <c r="AS66" s="147"/>
      <c r="AT66" s="150">
        <v>33416609</v>
      </c>
      <c r="AU66" s="126"/>
      <c r="AV66" s="130">
        <v>287.60000000000002</v>
      </c>
      <c r="AW66" s="126" t="s">
        <v>1603</v>
      </c>
      <c r="AX66" s="126" t="s">
        <v>1746</v>
      </c>
    </row>
    <row r="67" spans="1:50">
      <c r="A67" s="126" t="s">
        <v>1691</v>
      </c>
      <c r="B67" s="126" t="s">
        <v>1676</v>
      </c>
      <c r="C67" s="126" t="s">
        <v>385</v>
      </c>
      <c r="D67" s="127">
        <v>3057</v>
      </c>
      <c r="E67" s="128">
        <v>30057</v>
      </c>
      <c r="F67" s="126" t="s">
        <v>1626</v>
      </c>
      <c r="G67" s="126" t="s">
        <v>1601</v>
      </c>
      <c r="H67" s="146">
        <v>5441567</v>
      </c>
      <c r="I67" s="147">
        <v>20</v>
      </c>
      <c r="J67" s="126" t="s">
        <v>1610</v>
      </c>
      <c r="K67" s="126" t="s">
        <v>1605</v>
      </c>
      <c r="L67" s="129">
        <v>20</v>
      </c>
      <c r="M67" s="126"/>
      <c r="N67" s="148">
        <v>2</v>
      </c>
      <c r="O67" s="147"/>
      <c r="P67" s="149">
        <v>56.726300000000002</v>
      </c>
      <c r="Q67" s="147"/>
      <c r="R67" s="149">
        <v>86.293899999999994</v>
      </c>
      <c r="S67" s="147"/>
      <c r="T67" s="149">
        <v>20.154699999999998</v>
      </c>
      <c r="U67" s="147"/>
      <c r="V67" s="146">
        <v>2195188</v>
      </c>
      <c r="W67" s="147"/>
      <c r="X67" s="150">
        <v>1628329</v>
      </c>
      <c r="Y67" s="147"/>
      <c r="Z67" s="146">
        <v>1628329</v>
      </c>
      <c r="AA67" s="147"/>
      <c r="AB67" s="146">
        <v>0</v>
      </c>
      <c r="AC67" s="147"/>
      <c r="AD67" s="146">
        <v>28705</v>
      </c>
      <c r="AE67" s="147"/>
      <c r="AF67" s="146">
        <v>28705</v>
      </c>
      <c r="AG67" s="147"/>
      <c r="AH67" s="146">
        <v>0</v>
      </c>
      <c r="AI67" s="147"/>
      <c r="AJ67" s="146">
        <v>325666</v>
      </c>
      <c r="AK67" s="147"/>
      <c r="AL67" s="146">
        <v>325666</v>
      </c>
      <c r="AM67" s="147"/>
      <c r="AN67" s="146">
        <v>5741</v>
      </c>
      <c r="AO67" s="147"/>
      <c r="AP67" s="151">
        <v>5741</v>
      </c>
      <c r="AQ67" s="147"/>
      <c r="AR67" s="146">
        <v>578541</v>
      </c>
      <c r="AS67" s="147"/>
      <c r="AT67" s="150">
        <v>49924566</v>
      </c>
      <c r="AU67" s="126"/>
      <c r="AV67" s="130">
        <v>144.4</v>
      </c>
      <c r="AW67" s="126" t="s">
        <v>1603</v>
      </c>
      <c r="AX67" s="126" t="s">
        <v>1746</v>
      </c>
    </row>
    <row r="68" spans="1:50">
      <c r="A68" s="126" t="s">
        <v>1696</v>
      </c>
      <c r="B68" s="126" t="s">
        <v>1695</v>
      </c>
      <c r="C68" s="126" t="s">
        <v>351</v>
      </c>
      <c r="D68" s="127"/>
      <c r="E68" s="128">
        <v>90299</v>
      </c>
      <c r="F68" s="126" t="s">
        <v>1612</v>
      </c>
      <c r="G68" s="126" t="s">
        <v>1601</v>
      </c>
      <c r="H68" s="146">
        <v>308231</v>
      </c>
      <c r="I68" s="147">
        <v>12</v>
      </c>
      <c r="J68" s="126" t="s">
        <v>1610</v>
      </c>
      <c r="K68" s="126" t="s">
        <v>1602</v>
      </c>
      <c r="L68" s="129">
        <v>12</v>
      </c>
      <c r="M68" s="126"/>
      <c r="N68" s="148">
        <v>4</v>
      </c>
      <c r="O68" s="147"/>
      <c r="P68" s="149">
        <v>28.331499999999998</v>
      </c>
      <c r="Q68" s="147"/>
      <c r="R68" s="149">
        <v>23.8338</v>
      </c>
      <c r="S68" s="147"/>
      <c r="T68" s="149">
        <v>19.559999999999999</v>
      </c>
      <c r="U68" s="147"/>
      <c r="V68" s="146">
        <v>857003</v>
      </c>
      <c r="W68" s="147"/>
      <c r="X68" s="150">
        <v>833350</v>
      </c>
      <c r="Y68" s="147"/>
      <c r="Z68" s="146">
        <v>821415</v>
      </c>
      <c r="AA68" s="147"/>
      <c r="AB68" s="146">
        <v>11935</v>
      </c>
      <c r="AC68" s="147"/>
      <c r="AD68" s="146">
        <v>30370</v>
      </c>
      <c r="AE68" s="147"/>
      <c r="AF68" s="146">
        <v>28993</v>
      </c>
      <c r="AG68" s="147"/>
      <c r="AH68" s="146">
        <v>1377</v>
      </c>
      <c r="AI68" s="147"/>
      <c r="AJ68" s="146">
        <v>389580</v>
      </c>
      <c r="AK68" s="147"/>
      <c r="AL68" s="146">
        <v>384000</v>
      </c>
      <c r="AM68" s="147"/>
      <c r="AN68" s="146">
        <v>14198</v>
      </c>
      <c r="AO68" s="147"/>
      <c r="AP68" s="151">
        <v>13554</v>
      </c>
      <c r="AQ68" s="147"/>
      <c r="AR68" s="146">
        <v>567103</v>
      </c>
      <c r="AS68" s="147"/>
      <c r="AT68" s="150">
        <v>13516234</v>
      </c>
      <c r="AU68" s="126"/>
      <c r="AV68" s="130">
        <v>90.1</v>
      </c>
      <c r="AW68" s="126" t="s">
        <v>1603</v>
      </c>
      <c r="AX68" s="126" t="s">
        <v>1746</v>
      </c>
    </row>
    <row r="71" spans="1:50">
      <c r="N71" s="152">
        <f>SUM(N2:N68)</f>
        <v>2748</v>
      </c>
    </row>
  </sheetData>
  <autoFilter ref="A1:AX1" xr:uid="{50A8C45A-5858-4D09-AFE0-B39F437E1794}"/>
  <conditionalFormatting sqref="A2:AX68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F1CE-D4DB-42E5-B80A-5A6EC96AD923}">
  <dimension ref="A1:BG70"/>
  <sheetViews>
    <sheetView topLeftCell="C1" workbookViewId="0">
      <selection activeCell="AL23" sqref="AL23"/>
    </sheetView>
  </sheetViews>
  <sheetFormatPr defaultRowHeight="14.75"/>
  <cols>
    <col min="12" max="12" width="11.26953125" customWidth="1"/>
    <col min="13" max="13" width="11.1328125" bestFit="1" customWidth="1"/>
    <col min="14" max="14" width="11.7265625" customWidth="1"/>
    <col min="25" max="25" width="12.7265625" customWidth="1"/>
    <col min="29" max="29" width="11.1328125" customWidth="1"/>
    <col min="40" max="40" width="11.1328125" customWidth="1"/>
  </cols>
  <sheetData>
    <row r="1" spans="1:59" ht="64.25">
      <c r="A1" s="171" t="s">
        <v>1551</v>
      </c>
      <c r="B1" s="171" t="s">
        <v>1552</v>
      </c>
      <c r="C1" s="172" t="s">
        <v>130</v>
      </c>
      <c r="D1" s="173" t="s">
        <v>1553</v>
      </c>
      <c r="E1" s="174" t="s">
        <v>1554</v>
      </c>
      <c r="F1" s="175" t="s">
        <v>1555</v>
      </c>
      <c r="G1" s="176" t="s">
        <v>1557</v>
      </c>
      <c r="H1" s="176" t="s">
        <v>1558</v>
      </c>
      <c r="I1" s="175" t="s">
        <v>1549</v>
      </c>
      <c r="J1" s="175" t="s">
        <v>1759</v>
      </c>
      <c r="K1" s="175" t="s">
        <v>1560</v>
      </c>
      <c r="L1" s="175" t="s">
        <v>1760</v>
      </c>
      <c r="M1" s="176" t="s">
        <v>1761</v>
      </c>
      <c r="N1" s="176" t="s">
        <v>1762</v>
      </c>
      <c r="O1" s="176" t="s">
        <v>1763</v>
      </c>
      <c r="P1" s="176" t="s">
        <v>1764</v>
      </c>
      <c r="Q1" s="176" t="s">
        <v>1765</v>
      </c>
      <c r="R1" s="176" t="s">
        <v>1766</v>
      </c>
      <c r="S1" s="176" t="s">
        <v>1767</v>
      </c>
      <c r="T1" s="176" t="s">
        <v>1768</v>
      </c>
      <c r="U1" s="176" t="s">
        <v>1769</v>
      </c>
      <c r="V1" s="176" t="s">
        <v>1770</v>
      </c>
      <c r="W1" s="176" t="s">
        <v>1771</v>
      </c>
      <c r="X1" s="176" t="s">
        <v>1772</v>
      </c>
      <c r="Y1" s="176" t="s">
        <v>1773</v>
      </c>
      <c r="Z1" s="176" t="s">
        <v>1774</v>
      </c>
      <c r="AA1" s="176" t="s">
        <v>1775</v>
      </c>
      <c r="AB1" s="176" t="s">
        <v>1776</v>
      </c>
      <c r="AC1" s="177" t="s">
        <v>1777</v>
      </c>
      <c r="AD1" s="178" t="s">
        <v>1778</v>
      </c>
      <c r="AE1" s="178" t="s">
        <v>1779</v>
      </c>
      <c r="AF1" s="178" t="s">
        <v>1780</v>
      </c>
      <c r="AG1" s="178" t="s">
        <v>1781</v>
      </c>
      <c r="AH1" s="178" t="s">
        <v>1782</v>
      </c>
      <c r="AI1" s="178" t="s">
        <v>1783</v>
      </c>
      <c r="AJ1" s="178" t="s">
        <v>1784</v>
      </c>
      <c r="AK1" s="178" t="s">
        <v>1785</v>
      </c>
      <c r="AL1" s="178" t="s">
        <v>1786</v>
      </c>
      <c r="AM1" s="178" t="s">
        <v>1787</v>
      </c>
      <c r="AN1" s="178" t="s">
        <v>1788</v>
      </c>
      <c r="AO1" s="178" t="s">
        <v>1789</v>
      </c>
      <c r="AP1" s="178" t="s">
        <v>1790</v>
      </c>
      <c r="AQ1" s="178" t="s">
        <v>1791</v>
      </c>
      <c r="AR1" s="179" t="s">
        <v>1792</v>
      </c>
      <c r="AS1" s="180" t="s">
        <v>1793</v>
      </c>
      <c r="AT1" s="180" t="s">
        <v>1794</v>
      </c>
      <c r="AU1" s="180" t="s">
        <v>1795</v>
      </c>
      <c r="AV1" s="180" t="s">
        <v>1796</v>
      </c>
      <c r="AW1" s="180" t="s">
        <v>1797</v>
      </c>
      <c r="AX1" s="180" t="s">
        <v>1798</v>
      </c>
      <c r="AY1" s="180" t="s">
        <v>1799</v>
      </c>
      <c r="AZ1" s="180" t="s">
        <v>1800</v>
      </c>
      <c r="BA1" s="180" t="s">
        <v>1801</v>
      </c>
      <c r="BB1" s="180" t="s">
        <v>1802</v>
      </c>
      <c r="BC1" s="180" t="s">
        <v>1803</v>
      </c>
      <c r="BD1" s="180" t="s">
        <v>1804</v>
      </c>
      <c r="BE1" s="180" t="s">
        <v>1805</v>
      </c>
      <c r="BF1" s="180" t="s">
        <v>1806</v>
      </c>
      <c r="BG1" s="175" t="s">
        <v>1807</v>
      </c>
    </row>
    <row r="2" spans="1:59">
      <c r="A2" s="181" t="s">
        <v>1599</v>
      </c>
      <c r="B2" s="181" t="s">
        <v>1697</v>
      </c>
      <c r="C2" s="182" t="s">
        <v>381</v>
      </c>
      <c r="D2" s="183">
        <v>2008</v>
      </c>
      <c r="E2" s="184">
        <v>20008</v>
      </c>
      <c r="F2" s="182" t="s">
        <v>1600</v>
      </c>
      <c r="G2" s="185">
        <v>18351295</v>
      </c>
      <c r="H2" s="186">
        <v>10427</v>
      </c>
      <c r="I2" s="182" t="s">
        <v>1604</v>
      </c>
      <c r="J2" s="187" t="s">
        <v>1602</v>
      </c>
      <c r="K2" s="187">
        <v>5413</v>
      </c>
      <c r="L2" s="188"/>
      <c r="M2" s="189">
        <v>0</v>
      </c>
      <c r="N2" s="189"/>
      <c r="O2" s="189">
        <v>0</v>
      </c>
      <c r="P2" s="189"/>
      <c r="Q2" s="189">
        <v>0</v>
      </c>
      <c r="R2" s="189"/>
      <c r="S2" s="189">
        <v>0</v>
      </c>
      <c r="T2" s="189"/>
      <c r="U2" s="189">
        <v>0</v>
      </c>
      <c r="V2" s="189"/>
      <c r="W2" s="189">
        <v>0</v>
      </c>
      <c r="X2" s="189"/>
      <c r="Y2" s="189">
        <v>1596235000</v>
      </c>
      <c r="Z2" s="189"/>
      <c r="AA2" s="186">
        <v>0</v>
      </c>
      <c r="AB2" s="190"/>
      <c r="AC2" s="191"/>
      <c r="AD2" s="190">
        <v>0</v>
      </c>
      <c r="AE2" s="190"/>
      <c r="AF2" s="190">
        <v>0</v>
      </c>
      <c r="AG2" s="190"/>
      <c r="AH2" s="190">
        <v>0</v>
      </c>
      <c r="AI2" s="190"/>
      <c r="AJ2" s="190">
        <v>0</v>
      </c>
      <c r="AK2" s="190"/>
      <c r="AL2" s="190">
        <v>0</v>
      </c>
      <c r="AM2" s="190"/>
      <c r="AN2" s="190">
        <v>335497633</v>
      </c>
      <c r="AO2" s="190"/>
      <c r="AP2" s="190">
        <v>0</v>
      </c>
      <c r="AQ2" s="181"/>
      <c r="AR2" s="192"/>
      <c r="AS2" s="193"/>
      <c r="AT2" s="193"/>
      <c r="AU2" s="193"/>
      <c r="AV2" s="193"/>
      <c r="AW2" s="193"/>
      <c r="AX2" s="193"/>
      <c r="AY2" s="193"/>
      <c r="AZ2" s="193"/>
      <c r="BA2" s="193"/>
      <c r="BB2" s="193"/>
      <c r="BC2" s="193">
        <v>0.2102</v>
      </c>
      <c r="BD2" s="193"/>
      <c r="BE2" s="193"/>
      <c r="BF2" s="181"/>
      <c r="BG2" s="181" t="s">
        <v>1746</v>
      </c>
    </row>
    <row r="3" spans="1:59">
      <c r="A3" s="181" t="s">
        <v>1606</v>
      </c>
      <c r="B3" s="181" t="s">
        <v>1607</v>
      </c>
      <c r="C3" s="182" t="s">
        <v>378</v>
      </c>
      <c r="D3" s="183">
        <v>2080</v>
      </c>
      <c r="E3" s="184">
        <v>20080</v>
      </c>
      <c r="F3" s="182" t="s">
        <v>1608</v>
      </c>
      <c r="G3" s="185">
        <v>18351295</v>
      </c>
      <c r="H3" s="186">
        <v>3646</v>
      </c>
      <c r="I3" s="182" t="s">
        <v>1610</v>
      </c>
      <c r="J3" s="187" t="s">
        <v>1602</v>
      </c>
      <c r="K3" s="187">
        <v>904</v>
      </c>
      <c r="L3" s="188"/>
      <c r="M3" s="189">
        <v>13166567</v>
      </c>
      <c r="N3" s="189"/>
      <c r="O3" s="189">
        <v>0</v>
      </c>
      <c r="P3" s="189"/>
      <c r="Q3" s="189">
        <v>0</v>
      </c>
      <c r="R3" s="189"/>
      <c r="S3" s="189">
        <v>0</v>
      </c>
      <c r="T3" s="189"/>
      <c r="U3" s="189">
        <v>0</v>
      </c>
      <c r="V3" s="189"/>
      <c r="W3" s="189">
        <v>0</v>
      </c>
      <c r="X3" s="189"/>
      <c r="Y3" s="189">
        <v>359673989</v>
      </c>
      <c r="Z3" s="189"/>
      <c r="AA3" s="186">
        <v>0</v>
      </c>
      <c r="AB3" s="190"/>
      <c r="AC3" s="191"/>
      <c r="AD3" s="190">
        <v>2485889</v>
      </c>
      <c r="AE3" s="190"/>
      <c r="AF3" s="190">
        <v>0</v>
      </c>
      <c r="AG3" s="190"/>
      <c r="AH3" s="190">
        <v>0</v>
      </c>
      <c r="AI3" s="190"/>
      <c r="AJ3" s="190">
        <v>0</v>
      </c>
      <c r="AK3" s="190"/>
      <c r="AL3" s="190">
        <v>1663636</v>
      </c>
      <c r="AM3" s="190"/>
      <c r="AN3" s="190">
        <v>8381067</v>
      </c>
      <c r="AO3" s="190"/>
      <c r="AP3" s="190">
        <v>0</v>
      </c>
      <c r="AQ3" s="181"/>
      <c r="AR3" s="192"/>
      <c r="AS3" s="193">
        <v>0.1888</v>
      </c>
      <c r="AT3" s="193"/>
      <c r="AU3" s="193"/>
      <c r="AV3" s="193"/>
      <c r="AW3" s="193"/>
      <c r="AX3" s="193"/>
      <c r="AY3" s="193"/>
      <c r="AZ3" s="193"/>
      <c r="BA3" s="193"/>
      <c r="BB3" s="193"/>
      <c r="BC3" s="193">
        <v>2.3300000000000001E-2</v>
      </c>
      <c r="BD3" s="193"/>
      <c r="BE3" s="193"/>
      <c r="BF3" s="181"/>
      <c r="BG3" s="181" t="s">
        <v>1746</v>
      </c>
    </row>
    <row r="4" spans="1:59">
      <c r="A4" s="181" t="s">
        <v>1606</v>
      </c>
      <c r="B4" s="181" t="s">
        <v>1607</v>
      </c>
      <c r="C4" s="182" t="s">
        <v>378</v>
      </c>
      <c r="D4" s="183">
        <v>2080</v>
      </c>
      <c r="E4" s="184">
        <v>20080</v>
      </c>
      <c r="F4" s="182" t="s">
        <v>1608</v>
      </c>
      <c r="G4" s="185">
        <v>18351295</v>
      </c>
      <c r="H4" s="186">
        <v>3646</v>
      </c>
      <c r="I4" s="182" t="s">
        <v>1609</v>
      </c>
      <c r="J4" s="187" t="s">
        <v>1605</v>
      </c>
      <c r="K4" s="187">
        <v>42</v>
      </c>
      <c r="L4" s="188"/>
      <c r="M4" s="189">
        <v>0</v>
      </c>
      <c r="N4" s="189"/>
      <c r="O4" s="189">
        <v>0</v>
      </c>
      <c r="P4" s="189"/>
      <c r="Q4" s="189">
        <v>0</v>
      </c>
      <c r="R4" s="189"/>
      <c r="S4" s="189">
        <v>0</v>
      </c>
      <c r="T4" s="189"/>
      <c r="U4" s="189">
        <v>0</v>
      </c>
      <c r="V4" s="189"/>
      <c r="W4" s="189">
        <v>0</v>
      </c>
      <c r="X4" s="189"/>
      <c r="Y4" s="189">
        <v>27163871</v>
      </c>
      <c r="Z4" s="189"/>
      <c r="AA4" s="186">
        <v>0</v>
      </c>
      <c r="AB4" s="190"/>
      <c r="AC4" s="191"/>
      <c r="AD4" s="190">
        <v>0</v>
      </c>
      <c r="AE4" s="190"/>
      <c r="AF4" s="190">
        <v>0</v>
      </c>
      <c r="AG4" s="190"/>
      <c r="AH4" s="190">
        <v>0</v>
      </c>
      <c r="AI4" s="190"/>
      <c r="AJ4" s="190">
        <v>0</v>
      </c>
      <c r="AK4" s="190"/>
      <c r="AL4" s="190">
        <v>0</v>
      </c>
      <c r="AM4" s="190"/>
      <c r="AN4" s="190">
        <v>2073346</v>
      </c>
      <c r="AO4" s="190"/>
      <c r="AP4" s="190">
        <v>0</v>
      </c>
      <c r="AQ4" s="181"/>
      <c r="AR4" s="192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>
        <v>7.6300000000000007E-2</v>
      </c>
      <c r="BD4" s="193"/>
      <c r="BE4" s="193"/>
      <c r="BF4" s="181"/>
      <c r="BG4" s="181" t="s">
        <v>1746</v>
      </c>
    </row>
    <row r="5" spans="1:59">
      <c r="A5" s="181" t="s">
        <v>1606</v>
      </c>
      <c r="B5" s="181" t="s">
        <v>1607</v>
      </c>
      <c r="C5" s="182" t="s">
        <v>378</v>
      </c>
      <c r="D5" s="183">
        <v>2080</v>
      </c>
      <c r="E5" s="184">
        <v>20080</v>
      </c>
      <c r="F5" s="182" t="s">
        <v>1608</v>
      </c>
      <c r="G5" s="185">
        <v>18351295</v>
      </c>
      <c r="H5" s="186">
        <v>3646</v>
      </c>
      <c r="I5" s="182" t="s">
        <v>1609</v>
      </c>
      <c r="J5" s="187" t="s">
        <v>1602</v>
      </c>
      <c r="K5" s="187">
        <v>15</v>
      </c>
      <c r="L5" s="188"/>
      <c r="M5" s="189">
        <v>0</v>
      </c>
      <c r="N5" s="189"/>
      <c r="O5" s="189">
        <v>0</v>
      </c>
      <c r="P5" s="189"/>
      <c r="Q5" s="189">
        <v>0</v>
      </c>
      <c r="R5" s="189"/>
      <c r="S5" s="189">
        <v>0</v>
      </c>
      <c r="T5" s="189"/>
      <c r="U5" s="189">
        <v>0</v>
      </c>
      <c r="V5" s="189"/>
      <c r="W5" s="189">
        <v>0</v>
      </c>
      <c r="X5" s="189"/>
      <c r="Y5" s="189">
        <v>6694675</v>
      </c>
      <c r="Z5" s="189"/>
      <c r="AA5" s="186">
        <v>0</v>
      </c>
      <c r="AB5" s="190"/>
      <c r="AC5" s="191"/>
      <c r="AD5" s="190">
        <v>0</v>
      </c>
      <c r="AE5" s="190"/>
      <c r="AF5" s="190">
        <v>0</v>
      </c>
      <c r="AG5" s="190"/>
      <c r="AH5" s="190">
        <v>0</v>
      </c>
      <c r="AI5" s="190"/>
      <c r="AJ5" s="190">
        <v>0</v>
      </c>
      <c r="AK5" s="190"/>
      <c r="AL5" s="190">
        <v>0</v>
      </c>
      <c r="AM5" s="190"/>
      <c r="AN5" s="190">
        <v>492775</v>
      </c>
      <c r="AO5" s="190"/>
      <c r="AP5" s="190">
        <v>0</v>
      </c>
      <c r="AQ5" s="181"/>
      <c r="AR5" s="192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>
        <v>7.3599999999999999E-2</v>
      </c>
      <c r="BD5" s="193"/>
      <c r="BE5" s="193"/>
      <c r="BF5" s="181"/>
      <c r="BG5" s="181" t="s">
        <v>1746</v>
      </c>
    </row>
    <row r="6" spans="1:59">
      <c r="A6" s="181" t="s">
        <v>1747</v>
      </c>
      <c r="B6" s="181" t="s">
        <v>1611</v>
      </c>
      <c r="C6" s="182" t="s">
        <v>351</v>
      </c>
      <c r="D6" s="183">
        <v>9154</v>
      </c>
      <c r="E6" s="184">
        <v>90154</v>
      </c>
      <c r="F6" s="182" t="s">
        <v>1612</v>
      </c>
      <c r="G6" s="185">
        <v>12150996</v>
      </c>
      <c r="H6" s="186">
        <v>3482</v>
      </c>
      <c r="I6" s="182" t="s">
        <v>1604</v>
      </c>
      <c r="J6" s="187" t="s">
        <v>1602</v>
      </c>
      <c r="K6" s="187">
        <v>68</v>
      </c>
      <c r="L6" s="188"/>
      <c r="M6" s="189">
        <v>0</v>
      </c>
      <c r="N6" s="189"/>
      <c r="O6" s="189">
        <v>0</v>
      </c>
      <c r="P6" s="189"/>
      <c r="Q6" s="189">
        <v>0</v>
      </c>
      <c r="R6" s="189"/>
      <c r="S6" s="189">
        <v>0</v>
      </c>
      <c r="T6" s="189"/>
      <c r="U6" s="189">
        <v>0</v>
      </c>
      <c r="V6" s="189"/>
      <c r="W6" s="189">
        <v>0</v>
      </c>
      <c r="X6" s="189"/>
      <c r="Y6" s="189">
        <v>82163176</v>
      </c>
      <c r="Z6" s="189"/>
      <c r="AA6" s="186">
        <v>0</v>
      </c>
      <c r="AB6" s="190"/>
      <c r="AC6" s="191"/>
      <c r="AD6" s="190">
        <v>0</v>
      </c>
      <c r="AE6" s="190"/>
      <c r="AF6" s="190">
        <v>0</v>
      </c>
      <c r="AG6" s="190"/>
      <c r="AH6" s="190">
        <v>0</v>
      </c>
      <c r="AI6" s="190"/>
      <c r="AJ6" s="190">
        <v>0</v>
      </c>
      <c r="AK6" s="190"/>
      <c r="AL6" s="190">
        <v>0</v>
      </c>
      <c r="AM6" s="190"/>
      <c r="AN6" s="190">
        <v>6909214</v>
      </c>
      <c r="AO6" s="190"/>
      <c r="AP6" s="190">
        <v>0</v>
      </c>
      <c r="AQ6" s="181"/>
      <c r="AR6" s="192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>
        <v>8.4099999999999994E-2</v>
      </c>
      <c r="BD6" s="193"/>
      <c r="BE6" s="193"/>
      <c r="BF6" s="181"/>
      <c r="BG6" s="181" t="s">
        <v>1746</v>
      </c>
    </row>
    <row r="7" spans="1:59">
      <c r="A7" s="181" t="s">
        <v>1747</v>
      </c>
      <c r="B7" s="181" t="s">
        <v>1611</v>
      </c>
      <c r="C7" s="182" t="s">
        <v>351</v>
      </c>
      <c r="D7" s="183">
        <v>9154</v>
      </c>
      <c r="E7" s="184">
        <v>90154</v>
      </c>
      <c r="F7" s="182" t="s">
        <v>1612</v>
      </c>
      <c r="G7" s="185">
        <v>12150996</v>
      </c>
      <c r="H7" s="186">
        <v>3482</v>
      </c>
      <c r="I7" s="182" t="s">
        <v>1609</v>
      </c>
      <c r="J7" s="187" t="s">
        <v>1602</v>
      </c>
      <c r="K7" s="187">
        <v>203</v>
      </c>
      <c r="L7" s="188"/>
      <c r="M7" s="189">
        <v>0</v>
      </c>
      <c r="N7" s="189"/>
      <c r="O7" s="189">
        <v>0</v>
      </c>
      <c r="P7" s="189"/>
      <c r="Q7" s="189">
        <v>0</v>
      </c>
      <c r="R7" s="189"/>
      <c r="S7" s="189">
        <v>0</v>
      </c>
      <c r="T7" s="189"/>
      <c r="U7" s="189">
        <v>0</v>
      </c>
      <c r="V7" s="189"/>
      <c r="W7" s="189">
        <v>0</v>
      </c>
      <c r="X7" s="189"/>
      <c r="Y7" s="189">
        <v>144995154</v>
      </c>
      <c r="Z7" s="189"/>
      <c r="AA7" s="186">
        <v>0</v>
      </c>
      <c r="AB7" s="190"/>
      <c r="AC7" s="191"/>
      <c r="AD7" s="190">
        <v>0</v>
      </c>
      <c r="AE7" s="190"/>
      <c r="AF7" s="190">
        <v>0</v>
      </c>
      <c r="AG7" s="190"/>
      <c r="AH7" s="190">
        <v>0</v>
      </c>
      <c r="AI7" s="190"/>
      <c r="AJ7" s="190">
        <v>0</v>
      </c>
      <c r="AK7" s="190"/>
      <c r="AL7" s="190">
        <v>0</v>
      </c>
      <c r="AM7" s="190"/>
      <c r="AN7" s="190">
        <v>16469107</v>
      </c>
      <c r="AO7" s="190"/>
      <c r="AP7" s="190">
        <v>0</v>
      </c>
      <c r="AQ7" s="181"/>
      <c r="AR7" s="192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>
        <v>0.11360000000000001</v>
      </c>
      <c r="BD7" s="193"/>
      <c r="BE7" s="193"/>
      <c r="BF7" s="181"/>
      <c r="BG7" s="181" t="s">
        <v>1746</v>
      </c>
    </row>
    <row r="8" spans="1:59">
      <c r="A8" s="181" t="s">
        <v>1613</v>
      </c>
      <c r="B8" s="181" t="s">
        <v>128</v>
      </c>
      <c r="C8" s="182" t="s">
        <v>354</v>
      </c>
      <c r="D8" s="183">
        <v>3030</v>
      </c>
      <c r="E8" s="184">
        <v>30030</v>
      </c>
      <c r="F8" s="182" t="s">
        <v>1612</v>
      </c>
      <c r="G8" s="185">
        <v>4586770</v>
      </c>
      <c r="H8" s="186">
        <v>3304</v>
      </c>
      <c r="I8" s="182" t="s">
        <v>1604</v>
      </c>
      <c r="J8" s="187" t="s">
        <v>1602</v>
      </c>
      <c r="K8" s="187">
        <v>998</v>
      </c>
      <c r="L8" s="188"/>
      <c r="M8" s="189">
        <v>0</v>
      </c>
      <c r="N8" s="189"/>
      <c r="O8" s="189">
        <v>0</v>
      </c>
      <c r="P8" s="189"/>
      <c r="Q8" s="189">
        <v>0</v>
      </c>
      <c r="R8" s="189"/>
      <c r="S8" s="189">
        <v>0</v>
      </c>
      <c r="T8" s="189"/>
      <c r="U8" s="189">
        <v>0</v>
      </c>
      <c r="V8" s="189"/>
      <c r="W8" s="189">
        <v>0</v>
      </c>
      <c r="X8" s="189"/>
      <c r="Y8" s="189">
        <v>576455528</v>
      </c>
      <c r="Z8" s="189"/>
      <c r="AA8" s="186">
        <v>0</v>
      </c>
      <c r="AB8" s="190"/>
      <c r="AC8" s="191"/>
      <c r="AD8" s="190">
        <v>0</v>
      </c>
      <c r="AE8" s="190"/>
      <c r="AF8" s="190">
        <v>0</v>
      </c>
      <c r="AG8" s="190"/>
      <c r="AH8" s="190">
        <v>0</v>
      </c>
      <c r="AI8" s="190"/>
      <c r="AJ8" s="190">
        <v>0</v>
      </c>
      <c r="AK8" s="190"/>
      <c r="AL8" s="190">
        <v>0</v>
      </c>
      <c r="AM8" s="190"/>
      <c r="AN8" s="190">
        <v>64920984</v>
      </c>
      <c r="AO8" s="190"/>
      <c r="AP8" s="190">
        <v>0</v>
      </c>
      <c r="AQ8" s="181"/>
      <c r="AR8" s="192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>
        <v>0.11260000000000001</v>
      </c>
      <c r="BD8" s="193"/>
      <c r="BE8" s="193"/>
      <c r="BF8" s="181"/>
      <c r="BG8" s="181" t="s">
        <v>1746</v>
      </c>
    </row>
    <row r="9" spans="1:59">
      <c r="A9" s="181" t="s">
        <v>1617</v>
      </c>
      <c r="B9" s="181" t="s">
        <v>1618</v>
      </c>
      <c r="C9" s="182" t="s">
        <v>361</v>
      </c>
      <c r="D9" s="183">
        <v>5066</v>
      </c>
      <c r="E9" s="184">
        <v>50066</v>
      </c>
      <c r="F9" s="182" t="s">
        <v>1612</v>
      </c>
      <c r="G9" s="185">
        <v>8608208</v>
      </c>
      <c r="H9" s="186">
        <v>2703</v>
      </c>
      <c r="I9" s="182" t="s">
        <v>1604</v>
      </c>
      <c r="J9" s="187" t="s">
        <v>1602</v>
      </c>
      <c r="K9" s="187">
        <v>1148</v>
      </c>
      <c r="L9" s="188"/>
      <c r="M9" s="189">
        <v>0</v>
      </c>
      <c r="N9" s="189"/>
      <c r="O9" s="189">
        <v>0</v>
      </c>
      <c r="P9" s="189"/>
      <c r="Q9" s="189">
        <v>0</v>
      </c>
      <c r="R9" s="189"/>
      <c r="S9" s="189">
        <v>0</v>
      </c>
      <c r="T9" s="189"/>
      <c r="U9" s="189">
        <v>0</v>
      </c>
      <c r="V9" s="189"/>
      <c r="W9" s="189">
        <v>0</v>
      </c>
      <c r="X9" s="189"/>
      <c r="Y9" s="189">
        <v>366545522</v>
      </c>
      <c r="Z9" s="189"/>
      <c r="AA9" s="186">
        <v>0</v>
      </c>
      <c r="AB9" s="190"/>
      <c r="AC9" s="191"/>
      <c r="AD9" s="190">
        <v>0</v>
      </c>
      <c r="AE9" s="190"/>
      <c r="AF9" s="190">
        <v>0</v>
      </c>
      <c r="AG9" s="190"/>
      <c r="AH9" s="190">
        <v>0</v>
      </c>
      <c r="AI9" s="190"/>
      <c r="AJ9" s="190">
        <v>0</v>
      </c>
      <c r="AK9" s="190"/>
      <c r="AL9" s="190">
        <v>0</v>
      </c>
      <c r="AM9" s="190"/>
      <c r="AN9" s="190">
        <v>63157258</v>
      </c>
      <c r="AO9" s="190"/>
      <c r="AP9" s="190">
        <v>0</v>
      </c>
      <c r="AQ9" s="181"/>
      <c r="AR9" s="192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>
        <v>0.17230000000000001</v>
      </c>
      <c r="BD9" s="193"/>
      <c r="BE9" s="193"/>
      <c r="BF9" s="181"/>
      <c r="BG9" s="181" t="s">
        <v>1746</v>
      </c>
    </row>
    <row r="10" spans="1:59">
      <c r="A10" s="181" t="s">
        <v>1619</v>
      </c>
      <c r="B10" s="181" t="s">
        <v>1620</v>
      </c>
      <c r="C10" s="182" t="s">
        <v>366</v>
      </c>
      <c r="D10" s="183">
        <v>1003</v>
      </c>
      <c r="E10" s="184">
        <v>10003</v>
      </c>
      <c r="F10" s="182" t="s">
        <v>1612</v>
      </c>
      <c r="G10" s="185">
        <v>4181019</v>
      </c>
      <c r="H10" s="186">
        <v>2428</v>
      </c>
      <c r="I10" s="182" t="s">
        <v>1610</v>
      </c>
      <c r="J10" s="187" t="s">
        <v>1605</v>
      </c>
      <c r="K10" s="187">
        <v>436</v>
      </c>
      <c r="L10" s="188"/>
      <c r="M10" s="189">
        <v>13360985</v>
      </c>
      <c r="N10" s="189"/>
      <c r="O10" s="189">
        <v>0</v>
      </c>
      <c r="P10" s="189"/>
      <c r="Q10" s="189">
        <v>0</v>
      </c>
      <c r="R10" s="189"/>
      <c r="S10" s="189">
        <v>0</v>
      </c>
      <c r="T10" s="189"/>
      <c r="U10" s="189">
        <v>0</v>
      </c>
      <c r="V10" s="189"/>
      <c r="W10" s="189">
        <v>0</v>
      </c>
      <c r="X10" s="189"/>
      <c r="Y10" s="189">
        <v>0</v>
      </c>
      <c r="Z10" s="189"/>
      <c r="AA10" s="186">
        <v>0</v>
      </c>
      <c r="AB10" s="190"/>
      <c r="AC10" s="191"/>
      <c r="AD10" s="190">
        <v>4339139</v>
      </c>
      <c r="AE10" s="190"/>
      <c r="AF10" s="190">
        <v>0</v>
      </c>
      <c r="AG10" s="190"/>
      <c r="AH10" s="190">
        <v>0</v>
      </c>
      <c r="AI10" s="190"/>
      <c r="AJ10" s="190">
        <v>0</v>
      </c>
      <c r="AK10" s="190"/>
      <c r="AL10" s="190">
        <v>0</v>
      </c>
      <c r="AM10" s="190"/>
      <c r="AN10" s="190">
        <v>0</v>
      </c>
      <c r="AO10" s="190"/>
      <c r="AP10" s="190">
        <v>0</v>
      </c>
      <c r="AQ10" s="181"/>
      <c r="AR10" s="192"/>
      <c r="AS10" s="193">
        <v>0.32479999999999998</v>
      </c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81"/>
      <c r="BG10" s="181" t="s">
        <v>1746</v>
      </c>
    </row>
    <row r="11" spans="1:59">
      <c r="A11" s="181" t="s">
        <v>1619</v>
      </c>
      <c r="B11" s="181" t="s">
        <v>1620</v>
      </c>
      <c r="C11" s="182" t="s">
        <v>366</v>
      </c>
      <c r="D11" s="183">
        <v>1003</v>
      </c>
      <c r="E11" s="184">
        <v>10003</v>
      </c>
      <c r="F11" s="182" t="s">
        <v>1612</v>
      </c>
      <c r="G11" s="185">
        <v>4181019</v>
      </c>
      <c r="H11" s="186">
        <v>2428</v>
      </c>
      <c r="I11" s="182" t="s">
        <v>1604</v>
      </c>
      <c r="J11" s="187" t="s">
        <v>1602</v>
      </c>
      <c r="K11" s="187">
        <v>338</v>
      </c>
      <c r="L11" s="188"/>
      <c r="M11" s="189">
        <v>0</v>
      </c>
      <c r="N11" s="189"/>
      <c r="O11" s="189">
        <v>0</v>
      </c>
      <c r="P11" s="189"/>
      <c r="Q11" s="189">
        <v>0</v>
      </c>
      <c r="R11" s="189"/>
      <c r="S11" s="189">
        <v>0</v>
      </c>
      <c r="T11" s="189"/>
      <c r="U11" s="189">
        <v>0</v>
      </c>
      <c r="V11" s="189"/>
      <c r="W11" s="189">
        <v>0</v>
      </c>
      <c r="X11" s="189"/>
      <c r="Y11" s="189">
        <v>178406868</v>
      </c>
      <c r="Z11" s="189"/>
      <c r="AA11" s="186">
        <v>0</v>
      </c>
      <c r="AB11" s="190"/>
      <c r="AC11" s="191"/>
      <c r="AD11" s="190">
        <v>0</v>
      </c>
      <c r="AE11" s="190"/>
      <c r="AF11" s="190">
        <v>0</v>
      </c>
      <c r="AG11" s="190"/>
      <c r="AH11" s="190">
        <v>0</v>
      </c>
      <c r="AI11" s="190"/>
      <c r="AJ11" s="190">
        <v>0</v>
      </c>
      <c r="AK11" s="190"/>
      <c r="AL11" s="190">
        <v>0</v>
      </c>
      <c r="AM11" s="190"/>
      <c r="AN11" s="190">
        <v>22078161</v>
      </c>
      <c r="AO11" s="190"/>
      <c r="AP11" s="190">
        <v>0</v>
      </c>
      <c r="AQ11" s="181"/>
      <c r="AR11" s="192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>
        <v>0.12379999999999999</v>
      </c>
      <c r="BD11" s="193"/>
      <c r="BE11" s="193"/>
      <c r="BF11" s="181"/>
      <c r="BG11" s="181" t="s">
        <v>1746</v>
      </c>
    </row>
    <row r="12" spans="1:59">
      <c r="A12" s="181" t="s">
        <v>1619</v>
      </c>
      <c r="B12" s="181" t="s">
        <v>1620</v>
      </c>
      <c r="C12" s="182" t="s">
        <v>366</v>
      </c>
      <c r="D12" s="183">
        <v>1003</v>
      </c>
      <c r="E12" s="184">
        <v>10003</v>
      </c>
      <c r="F12" s="182" t="s">
        <v>1612</v>
      </c>
      <c r="G12" s="185">
        <v>4181019</v>
      </c>
      <c r="H12" s="186">
        <v>2428</v>
      </c>
      <c r="I12" s="182" t="s">
        <v>1609</v>
      </c>
      <c r="J12" s="187" t="s">
        <v>1602</v>
      </c>
      <c r="K12" s="187">
        <v>154</v>
      </c>
      <c r="L12" s="188"/>
      <c r="M12" s="189">
        <v>0</v>
      </c>
      <c r="N12" s="189"/>
      <c r="O12" s="189">
        <v>0</v>
      </c>
      <c r="P12" s="189"/>
      <c r="Q12" s="189">
        <v>0</v>
      </c>
      <c r="R12" s="189"/>
      <c r="S12" s="189">
        <v>0</v>
      </c>
      <c r="T12" s="189"/>
      <c r="U12" s="189">
        <v>0</v>
      </c>
      <c r="V12" s="189"/>
      <c r="W12" s="189">
        <v>0</v>
      </c>
      <c r="X12" s="189"/>
      <c r="Y12" s="189">
        <v>46803331</v>
      </c>
      <c r="Z12" s="189"/>
      <c r="AA12" s="186">
        <v>0</v>
      </c>
      <c r="AB12" s="190"/>
      <c r="AC12" s="191"/>
      <c r="AD12" s="190">
        <v>0</v>
      </c>
      <c r="AE12" s="190"/>
      <c r="AF12" s="190">
        <v>0</v>
      </c>
      <c r="AG12" s="190"/>
      <c r="AH12" s="190">
        <v>0</v>
      </c>
      <c r="AI12" s="190"/>
      <c r="AJ12" s="190">
        <v>0</v>
      </c>
      <c r="AK12" s="190"/>
      <c r="AL12" s="190">
        <v>0</v>
      </c>
      <c r="AM12" s="190"/>
      <c r="AN12" s="190">
        <v>5523588</v>
      </c>
      <c r="AO12" s="190"/>
      <c r="AP12" s="190">
        <v>0</v>
      </c>
      <c r="AQ12" s="181"/>
      <c r="AR12" s="192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>
        <v>0.11799999999999999</v>
      </c>
      <c r="BD12" s="193"/>
      <c r="BE12" s="193"/>
      <c r="BF12" s="181"/>
      <c r="BG12" s="181" t="s">
        <v>1746</v>
      </c>
    </row>
    <row r="13" spans="1:59">
      <c r="A13" s="181" t="s">
        <v>1621</v>
      </c>
      <c r="B13" s="181" t="s">
        <v>1622</v>
      </c>
      <c r="C13" s="182" t="s">
        <v>385</v>
      </c>
      <c r="D13" s="183">
        <v>3019</v>
      </c>
      <c r="E13" s="184">
        <v>30019</v>
      </c>
      <c r="F13" s="182" t="s">
        <v>1612</v>
      </c>
      <c r="G13" s="185">
        <v>5441567</v>
      </c>
      <c r="H13" s="186">
        <v>2406</v>
      </c>
      <c r="I13" s="182" t="s">
        <v>1610</v>
      </c>
      <c r="J13" s="187" t="s">
        <v>1602</v>
      </c>
      <c r="K13" s="187">
        <v>357</v>
      </c>
      <c r="L13" s="188"/>
      <c r="M13" s="189">
        <v>0</v>
      </c>
      <c r="N13" s="189"/>
      <c r="O13" s="189">
        <v>0</v>
      </c>
      <c r="P13" s="189"/>
      <c r="Q13" s="189">
        <v>0</v>
      </c>
      <c r="R13" s="189"/>
      <c r="S13" s="189">
        <v>0</v>
      </c>
      <c r="T13" s="189"/>
      <c r="U13" s="189">
        <v>0</v>
      </c>
      <c r="V13" s="189"/>
      <c r="W13" s="189">
        <v>0</v>
      </c>
      <c r="X13" s="189"/>
      <c r="Y13" s="189">
        <v>190958248</v>
      </c>
      <c r="Z13" s="189"/>
      <c r="AA13" s="186">
        <v>0</v>
      </c>
      <c r="AB13" s="190"/>
      <c r="AC13" s="191"/>
      <c r="AD13" s="190">
        <v>0</v>
      </c>
      <c r="AE13" s="190"/>
      <c r="AF13" s="190">
        <v>0</v>
      </c>
      <c r="AG13" s="190"/>
      <c r="AH13" s="190">
        <v>0</v>
      </c>
      <c r="AI13" s="190"/>
      <c r="AJ13" s="190">
        <v>0</v>
      </c>
      <c r="AK13" s="190"/>
      <c r="AL13" s="190">
        <v>0</v>
      </c>
      <c r="AM13" s="190"/>
      <c r="AN13" s="190">
        <v>15598066</v>
      </c>
      <c r="AO13" s="190"/>
      <c r="AP13" s="190">
        <v>0</v>
      </c>
      <c r="AQ13" s="181"/>
      <c r="AR13" s="192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>
        <v>8.1699999999999995E-2</v>
      </c>
      <c r="BD13" s="193"/>
      <c r="BE13" s="193"/>
      <c r="BF13" s="181"/>
      <c r="BG13" s="181" t="s">
        <v>1746</v>
      </c>
    </row>
    <row r="14" spans="1:59">
      <c r="A14" s="181" t="s">
        <v>1621</v>
      </c>
      <c r="B14" s="181" t="s">
        <v>1622</v>
      </c>
      <c r="C14" s="182" t="s">
        <v>385</v>
      </c>
      <c r="D14" s="183">
        <v>3019</v>
      </c>
      <c r="E14" s="184">
        <v>30019</v>
      </c>
      <c r="F14" s="182" t="s">
        <v>1612</v>
      </c>
      <c r="G14" s="185">
        <v>5441567</v>
      </c>
      <c r="H14" s="186">
        <v>2406</v>
      </c>
      <c r="I14" s="182" t="s">
        <v>1604</v>
      </c>
      <c r="J14" s="187" t="s">
        <v>1602</v>
      </c>
      <c r="K14" s="187">
        <v>286</v>
      </c>
      <c r="L14" s="188"/>
      <c r="M14" s="189">
        <v>0</v>
      </c>
      <c r="N14" s="189"/>
      <c r="O14" s="189">
        <v>0</v>
      </c>
      <c r="P14" s="189"/>
      <c r="Q14" s="189">
        <v>0</v>
      </c>
      <c r="R14" s="189"/>
      <c r="S14" s="189">
        <v>0</v>
      </c>
      <c r="T14" s="189"/>
      <c r="U14" s="189">
        <v>0</v>
      </c>
      <c r="V14" s="189"/>
      <c r="W14" s="189">
        <v>0</v>
      </c>
      <c r="X14" s="189"/>
      <c r="Y14" s="189">
        <v>125067726</v>
      </c>
      <c r="Z14" s="189"/>
      <c r="AA14" s="186">
        <v>0</v>
      </c>
      <c r="AB14" s="190"/>
      <c r="AC14" s="191"/>
      <c r="AD14" s="190">
        <v>0</v>
      </c>
      <c r="AE14" s="190"/>
      <c r="AF14" s="190">
        <v>0</v>
      </c>
      <c r="AG14" s="190"/>
      <c r="AH14" s="190">
        <v>0</v>
      </c>
      <c r="AI14" s="190"/>
      <c r="AJ14" s="190">
        <v>0</v>
      </c>
      <c r="AK14" s="190"/>
      <c r="AL14" s="190">
        <v>0</v>
      </c>
      <c r="AM14" s="190"/>
      <c r="AN14" s="190">
        <v>14000061</v>
      </c>
      <c r="AO14" s="190"/>
      <c r="AP14" s="190">
        <v>0</v>
      </c>
      <c r="AQ14" s="181"/>
      <c r="AR14" s="192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>
        <v>0.1119</v>
      </c>
      <c r="BD14" s="193"/>
      <c r="BE14" s="193"/>
      <c r="BF14" s="181"/>
      <c r="BG14" s="181" t="s">
        <v>1746</v>
      </c>
    </row>
    <row r="15" spans="1:59">
      <c r="A15" s="181" t="s">
        <v>1749</v>
      </c>
      <c r="B15" s="181" t="s">
        <v>1623</v>
      </c>
      <c r="C15" s="182" t="s">
        <v>390</v>
      </c>
      <c r="D15" s="183">
        <v>6008</v>
      </c>
      <c r="E15" s="184">
        <v>60008</v>
      </c>
      <c r="F15" s="182" t="s">
        <v>1612</v>
      </c>
      <c r="G15" s="185">
        <v>4944332</v>
      </c>
      <c r="H15" s="186">
        <v>2157</v>
      </c>
      <c r="I15" s="182" t="s">
        <v>1609</v>
      </c>
      <c r="J15" s="187" t="s">
        <v>1602</v>
      </c>
      <c r="K15" s="187">
        <v>56</v>
      </c>
      <c r="L15" s="188"/>
      <c r="M15" s="189">
        <v>0</v>
      </c>
      <c r="N15" s="189"/>
      <c r="O15" s="189">
        <v>0</v>
      </c>
      <c r="P15" s="189"/>
      <c r="Q15" s="189">
        <v>0</v>
      </c>
      <c r="R15" s="189"/>
      <c r="S15" s="189">
        <v>0</v>
      </c>
      <c r="T15" s="189"/>
      <c r="U15" s="189">
        <v>0</v>
      </c>
      <c r="V15" s="189"/>
      <c r="W15" s="189">
        <v>0</v>
      </c>
      <c r="X15" s="189"/>
      <c r="Y15" s="189">
        <v>20764234</v>
      </c>
      <c r="Z15" s="189"/>
      <c r="AA15" s="186">
        <v>0</v>
      </c>
      <c r="AB15" s="190"/>
      <c r="AC15" s="191"/>
      <c r="AD15" s="190">
        <v>0</v>
      </c>
      <c r="AE15" s="190"/>
      <c r="AF15" s="190">
        <v>0</v>
      </c>
      <c r="AG15" s="190"/>
      <c r="AH15" s="190">
        <v>0</v>
      </c>
      <c r="AI15" s="190"/>
      <c r="AJ15" s="190">
        <v>0</v>
      </c>
      <c r="AK15" s="190"/>
      <c r="AL15" s="190">
        <v>0</v>
      </c>
      <c r="AM15" s="190"/>
      <c r="AN15" s="190">
        <v>3420524</v>
      </c>
      <c r="AO15" s="190"/>
      <c r="AP15" s="190">
        <v>0</v>
      </c>
      <c r="AQ15" s="181"/>
      <c r="AR15" s="192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>
        <v>0.16470000000000001</v>
      </c>
      <c r="BD15" s="193"/>
      <c r="BE15" s="193"/>
      <c r="BF15" s="181"/>
      <c r="BG15" s="181" t="s">
        <v>1746</v>
      </c>
    </row>
    <row r="16" spans="1:59">
      <c r="A16" s="181" t="s">
        <v>1624</v>
      </c>
      <c r="B16" s="181" t="s">
        <v>1625</v>
      </c>
      <c r="C16" s="182" t="s">
        <v>367</v>
      </c>
      <c r="D16" s="183">
        <v>3034</v>
      </c>
      <c r="E16" s="184">
        <v>30034</v>
      </c>
      <c r="F16" s="182" t="s">
        <v>1626</v>
      </c>
      <c r="G16" s="185">
        <v>2203663</v>
      </c>
      <c r="H16" s="186">
        <v>1888</v>
      </c>
      <c r="I16" s="182" t="s">
        <v>1604</v>
      </c>
      <c r="J16" s="187" t="s">
        <v>1602</v>
      </c>
      <c r="K16" s="187">
        <v>54</v>
      </c>
      <c r="L16" s="188"/>
      <c r="M16" s="189">
        <v>0</v>
      </c>
      <c r="N16" s="189"/>
      <c r="O16" s="189">
        <v>0</v>
      </c>
      <c r="P16" s="189"/>
      <c r="Q16" s="189">
        <v>0</v>
      </c>
      <c r="R16" s="189"/>
      <c r="S16" s="189">
        <v>0</v>
      </c>
      <c r="T16" s="189"/>
      <c r="U16" s="189">
        <v>0</v>
      </c>
      <c r="V16" s="189"/>
      <c r="W16" s="189">
        <v>0</v>
      </c>
      <c r="X16" s="189"/>
      <c r="Y16" s="189">
        <v>44465246</v>
      </c>
      <c r="Z16" s="189"/>
      <c r="AA16" s="186">
        <v>0</v>
      </c>
      <c r="AB16" s="190"/>
      <c r="AC16" s="191"/>
      <c r="AD16" s="190">
        <v>0</v>
      </c>
      <c r="AE16" s="190"/>
      <c r="AF16" s="190">
        <v>0</v>
      </c>
      <c r="AG16" s="190"/>
      <c r="AH16" s="190">
        <v>0</v>
      </c>
      <c r="AI16" s="190"/>
      <c r="AJ16" s="190">
        <v>0</v>
      </c>
      <c r="AK16" s="190"/>
      <c r="AL16" s="190">
        <v>0</v>
      </c>
      <c r="AM16" s="190"/>
      <c r="AN16" s="190">
        <v>0</v>
      </c>
      <c r="AO16" s="190"/>
      <c r="AP16" s="190">
        <v>0</v>
      </c>
      <c r="AQ16" s="181"/>
      <c r="AR16" s="192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>
        <v>0</v>
      </c>
      <c r="BD16" s="193"/>
      <c r="BE16" s="193"/>
      <c r="BF16" s="181"/>
      <c r="BG16" s="181" t="s">
        <v>1746</v>
      </c>
    </row>
    <row r="17" spans="1:59">
      <c r="A17" s="181" t="s">
        <v>1624</v>
      </c>
      <c r="B17" s="181" t="s">
        <v>1625</v>
      </c>
      <c r="C17" s="182" t="s">
        <v>367</v>
      </c>
      <c r="D17" s="183">
        <v>3034</v>
      </c>
      <c r="E17" s="184">
        <v>30034</v>
      </c>
      <c r="F17" s="182" t="s">
        <v>1626</v>
      </c>
      <c r="G17" s="185">
        <v>2203663</v>
      </c>
      <c r="H17" s="186">
        <v>1888</v>
      </c>
      <c r="I17" s="182" t="s">
        <v>1609</v>
      </c>
      <c r="J17" s="187" t="s">
        <v>1602</v>
      </c>
      <c r="K17" s="187">
        <v>38</v>
      </c>
      <c r="L17" s="188"/>
      <c r="M17" s="189">
        <v>0</v>
      </c>
      <c r="N17" s="189"/>
      <c r="O17" s="189">
        <v>0</v>
      </c>
      <c r="P17" s="189"/>
      <c r="Q17" s="189">
        <v>0</v>
      </c>
      <c r="R17" s="189"/>
      <c r="S17" s="189">
        <v>0</v>
      </c>
      <c r="T17" s="189"/>
      <c r="U17" s="189">
        <v>0</v>
      </c>
      <c r="V17" s="189"/>
      <c r="W17" s="189">
        <v>0</v>
      </c>
      <c r="X17" s="189"/>
      <c r="Y17" s="189">
        <v>25044315</v>
      </c>
      <c r="Z17" s="189"/>
      <c r="AA17" s="186">
        <v>0</v>
      </c>
      <c r="AB17" s="190"/>
      <c r="AC17" s="191"/>
      <c r="AD17" s="190">
        <v>0</v>
      </c>
      <c r="AE17" s="190"/>
      <c r="AF17" s="190">
        <v>0</v>
      </c>
      <c r="AG17" s="190"/>
      <c r="AH17" s="190">
        <v>0</v>
      </c>
      <c r="AI17" s="190"/>
      <c r="AJ17" s="190">
        <v>0</v>
      </c>
      <c r="AK17" s="190"/>
      <c r="AL17" s="190">
        <v>0</v>
      </c>
      <c r="AM17" s="190"/>
      <c r="AN17" s="190">
        <v>2679810</v>
      </c>
      <c r="AO17" s="190"/>
      <c r="AP17" s="190">
        <v>0</v>
      </c>
      <c r="AQ17" s="181"/>
      <c r="AR17" s="192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>
        <v>0.107</v>
      </c>
      <c r="BD17" s="193"/>
      <c r="BE17" s="193"/>
      <c r="BF17" s="181"/>
      <c r="BG17" s="181" t="s">
        <v>1746</v>
      </c>
    </row>
    <row r="18" spans="1:59">
      <c r="A18" s="181" t="s">
        <v>1624</v>
      </c>
      <c r="B18" s="181" t="s">
        <v>1625</v>
      </c>
      <c r="C18" s="182" t="s">
        <v>367</v>
      </c>
      <c r="D18" s="183">
        <v>3034</v>
      </c>
      <c r="E18" s="184">
        <v>30034</v>
      </c>
      <c r="F18" s="182" t="s">
        <v>1626</v>
      </c>
      <c r="G18" s="185">
        <v>2203663</v>
      </c>
      <c r="H18" s="186">
        <v>1888</v>
      </c>
      <c r="I18" s="182" t="s">
        <v>1610</v>
      </c>
      <c r="J18" s="187" t="s">
        <v>1605</v>
      </c>
      <c r="K18" s="187">
        <v>149</v>
      </c>
      <c r="L18" s="188"/>
      <c r="M18" s="189">
        <v>3709703</v>
      </c>
      <c r="N18" s="189"/>
      <c r="O18" s="189">
        <v>0</v>
      </c>
      <c r="P18" s="189"/>
      <c r="Q18" s="189">
        <v>0</v>
      </c>
      <c r="R18" s="189"/>
      <c r="S18" s="189">
        <v>0</v>
      </c>
      <c r="T18" s="189"/>
      <c r="U18" s="189">
        <v>0</v>
      </c>
      <c r="V18" s="189"/>
      <c r="W18" s="189">
        <v>0</v>
      </c>
      <c r="X18" s="189"/>
      <c r="Y18" s="189">
        <v>21715405</v>
      </c>
      <c r="Z18" s="189"/>
      <c r="AA18" s="186">
        <v>0</v>
      </c>
      <c r="AB18" s="190"/>
      <c r="AC18" s="191"/>
      <c r="AD18" s="190">
        <v>764117</v>
      </c>
      <c r="AE18" s="190"/>
      <c r="AF18" s="190">
        <v>0</v>
      </c>
      <c r="AG18" s="190"/>
      <c r="AH18" s="190">
        <v>0</v>
      </c>
      <c r="AI18" s="190"/>
      <c r="AJ18" s="190">
        <v>0</v>
      </c>
      <c r="AK18" s="190"/>
      <c r="AL18" s="190">
        <v>0</v>
      </c>
      <c r="AM18" s="190"/>
      <c r="AN18" s="190">
        <v>163832</v>
      </c>
      <c r="AO18" s="190"/>
      <c r="AP18" s="190">
        <v>0</v>
      </c>
      <c r="AQ18" s="181"/>
      <c r="AR18" s="192"/>
      <c r="AS18" s="193">
        <v>0.20599999999999999</v>
      </c>
      <c r="AT18" s="193"/>
      <c r="AU18" s="193"/>
      <c r="AV18" s="193"/>
      <c r="AW18" s="193"/>
      <c r="AX18" s="193"/>
      <c r="AY18" s="193"/>
      <c r="AZ18" s="193"/>
      <c r="BA18" s="193"/>
      <c r="BB18" s="193"/>
      <c r="BC18" s="193">
        <v>7.4999999999999997E-3</v>
      </c>
      <c r="BD18" s="193"/>
      <c r="BE18" s="193"/>
      <c r="BF18" s="181"/>
      <c r="BG18" s="181" t="s">
        <v>1746</v>
      </c>
    </row>
    <row r="19" spans="1:59">
      <c r="A19" s="181" t="s">
        <v>1750</v>
      </c>
      <c r="B19" s="181" t="s">
        <v>1630</v>
      </c>
      <c r="C19" s="182" t="s">
        <v>356</v>
      </c>
      <c r="D19" s="183">
        <v>4034</v>
      </c>
      <c r="E19" s="184">
        <v>40034</v>
      </c>
      <c r="F19" s="182" t="s">
        <v>1615</v>
      </c>
      <c r="G19" s="185">
        <v>5502379</v>
      </c>
      <c r="H19" s="186">
        <v>1452</v>
      </c>
      <c r="I19" s="182" t="s">
        <v>1604</v>
      </c>
      <c r="J19" s="187" t="s">
        <v>1602</v>
      </c>
      <c r="K19" s="187">
        <v>76</v>
      </c>
      <c r="L19" s="188"/>
      <c r="M19" s="189">
        <v>0</v>
      </c>
      <c r="N19" s="189"/>
      <c r="O19" s="189">
        <v>0</v>
      </c>
      <c r="P19" s="189"/>
      <c r="Q19" s="189">
        <v>0</v>
      </c>
      <c r="R19" s="189"/>
      <c r="S19" s="189">
        <v>0</v>
      </c>
      <c r="T19" s="189"/>
      <c r="U19" s="189">
        <v>0</v>
      </c>
      <c r="V19" s="189"/>
      <c r="W19" s="189">
        <v>0</v>
      </c>
      <c r="X19" s="189"/>
      <c r="Y19" s="189">
        <v>66954261</v>
      </c>
      <c r="Z19" s="189"/>
      <c r="AA19" s="186">
        <v>0</v>
      </c>
      <c r="AB19" s="190"/>
      <c r="AC19" s="191"/>
      <c r="AD19" s="190">
        <v>0</v>
      </c>
      <c r="AE19" s="190"/>
      <c r="AF19" s="190">
        <v>0</v>
      </c>
      <c r="AG19" s="190"/>
      <c r="AH19" s="190">
        <v>0</v>
      </c>
      <c r="AI19" s="190"/>
      <c r="AJ19" s="190">
        <v>0</v>
      </c>
      <c r="AK19" s="190"/>
      <c r="AL19" s="190">
        <v>0</v>
      </c>
      <c r="AM19" s="190"/>
      <c r="AN19" s="190">
        <v>559892</v>
      </c>
      <c r="AO19" s="190"/>
      <c r="AP19" s="190">
        <v>0</v>
      </c>
      <c r="AQ19" s="181"/>
      <c r="AR19" s="192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>
        <v>8.3999999999999995E-3</v>
      </c>
      <c r="BD19" s="193"/>
      <c r="BE19" s="193"/>
      <c r="BF19" s="181"/>
      <c r="BG19" s="181" t="s">
        <v>1746</v>
      </c>
    </row>
    <row r="20" spans="1:59">
      <c r="A20" s="181" t="s">
        <v>1627</v>
      </c>
      <c r="B20" s="181" t="s">
        <v>1628</v>
      </c>
      <c r="C20" s="182" t="s">
        <v>352</v>
      </c>
      <c r="D20" s="183">
        <v>8006</v>
      </c>
      <c r="E20" s="184">
        <v>80006</v>
      </c>
      <c r="F20" s="182" t="s">
        <v>1612</v>
      </c>
      <c r="G20" s="185">
        <v>2374203</v>
      </c>
      <c r="H20" s="186">
        <v>1431</v>
      </c>
      <c r="I20" s="182" t="s">
        <v>1610</v>
      </c>
      <c r="J20" s="187" t="s">
        <v>1602</v>
      </c>
      <c r="K20" s="187">
        <v>8</v>
      </c>
      <c r="L20" s="188"/>
      <c r="M20" s="189">
        <v>0</v>
      </c>
      <c r="N20" s="189"/>
      <c r="O20" s="189">
        <v>0</v>
      </c>
      <c r="P20" s="189"/>
      <c r="Q20" s="189">
        <v>0</v>
      </c>
      <c r="R20" s="189"/>
      <c r="S20" s="189">
        <v>0</v>
      </c>
      <c r="T20" s="189"/>
      <c r="U20" s="189">
        <v>0</v>
      </c>
      <c r="V20" s="189"/>
      <c r="W20" s="189">
        <v>0</v>
      </c>
      <c r="X20" s="189"/>
      <c r="Y20" s="189">
        <v>688983</v>
      </c>
      <c r="Z20" s="189"/>
      <c r="AA20" s="186">
        <v>0</v>
      </c>
      <c r="AB20" s="190"/>
      <c r="AC20" s="191"/>
      <c r="AD20" s="190">
        <v>0</v>
      </c>
      <c r="AE20" s="190"/>
      <c r="AF20" s="190">
        <v>0</v>
      </c>
      <c r="AG20" s="190"/>
      <c r="AH20" s="190">
        <v>0</v>
      </c>
      <c r="AI20" s="190"/>
      <c r="AJ20" s="190">
        <v>0</v>
      </c>
      <c r="AK20" s="190"/>
      <c r="AL20" s="190">
        <v>0</v>
      </c>
      <c r="AM20" s="190"/>
      <c r="AN20" s="190">
        <v>0</v>
      </c>
      <c r="AO20" s="190"/>
      <c r="AP20" s="190">
        <v>0</v>
      </c>
      <c r="AQ20" s="181"/>
      <c r="AR20" s="192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>
        <v>0</v>
      </c>
      <c r="BD20" s="193"/>
      <c r="BE20" s="193"/>
      <c r="BF20" s="181"/>
      <c r="BG20" s="181" t="s">
        <v>1746</v>
      </c>
    </row>
    <row r="21" spans="1:59">
      <c r="A21" s="181" t="s">
        <v>1627</v>
      </c>
      <c r="B21" s="181" t="s">
        <v>1628</v>
      </c>
      <c r="C21" s="182" t="s">
        <v>352</v>
      </c>
      <c r="D21" s="183">
        <v>8006</v>
      </c>
      <c r="E21" s="184">
        <v>80006</v>
      </c>
      <c r="F21" s="182" t="s">
        <v>1612</v>
      </c>
      <c r="G21" s="185">
        <v>2374203</v>
      </c>
      <c r="H21" s="186">
        <v>1431</v>
      </c>
      <c r="I21" s="182" t="s">
        <v>1610</v>
      </c>
      <c r="J21" s="187" t="s">
        <v>1605</v>
      </c>
      <c r="K21" s="187">
        <v>44</v>
      </c>
      <c r="L21" s="188"/>
      <c r="M21" s="189">
        <v>0</v>
      </c>
      <c r="N21" s="189"/>
      <c r="O21" s="189">
        <v>0</v>
      </c>
      <c r="P21" s="189"/>
      <c r="Q21" s="189">
        <v>0</v>
      </c>
      <c r="R21" s="189"/>
      <c r="S21" s="189">
        <v>0</v>
      </c>
      <c r="T21" s="189"/>
      <c r="U21" s="189">
        <v>0</v>
      </c>
      <c r="V21" s="189"/>
      <c r="W21" s="189">
        <v>0</v>
      </c>
      <c r="X21" s="189"/>
      <c r="Y21" s="189">
        <v>40149051</v>
      </c>
      <c r="Z21" s="189"/>
      <c r="AA21" s="186">
        <v>0</v>
      </c>
      <c r="AB21" s="190"/>
      <c r="AC21" s="191"/>
      <c r="AD21" s="190">
        <v>0</v>
      </c>
      <c r="AE21" s="190"/>
      <c r="AF21" s="190">
        <v>0</v>
      </c>
      <c r="AG21" s="190"/>
      <c r="AH21" s="190">
        <v>0</v>
      </c>
      <c r="AI21" s="190"/>
      <c r="AJ21" s="190">
        <v>0</v>
      </c>
      <c r="AK21" s="190"/>
      <c r="AL21" s="190">
        <v>0</v>
      </c>
      <c r="AM21" s="190"/>
      <c r="AN21" s="190">
        <v>6311542</v>
      </c>
      <c r="AO21" s="190"/>
      <c r="AP21" s="190">
        <v>0</v>
      </c>
      <c r="AQ21" s="181"/>
      <c r="AR21" s="192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>
        <v>0.15720000000000001</v>
      </c>
      <c r="BD21" s="193"/>
      <c r="BE21" s="193"/>
      <c r="BF21" s="181"/>
      <c r="BG21" s="181" t="s">
        <v>1746</v>
      </c>
    </row>
    <row r="22" spans="1:59">
      <c r="A22" s="181" t="s">
        <v>1627</v>
      </c>
      <c r="B22" s="181" t="s">
        <v>1628</v>
      </c>
      <c r="C22" s="182" t="s">
        <v>352</v>
      </c>
      <c r="D22" s="183">
        <v>8006</v>
      </c>
      <c r="E22" s="184">
        <v>80006</v>
      </c>
      <c r="F22" s="182" t="s">
        <v>1612</v>
      </c>
      <c r="G22" s="185">
        <v>2374203</v>
      </c>
      <c r="H22" s="186">
        <v>1431</v>
      </c>
      <c r="I22" s="182" t="s">
        <v>1609</v>
      </c>
      <c r="J22" s="187" t="s">
        <v>1602</v>
      </c>
      <c r="K22" s="187">
        <v>156</v>
      </c>
      <c r="L22" s="188"/>
      <c r="M22" s="189">
        <v>0</v>
      </c>
      <c r="N22" s="189"/>
      <c r="O22" s="189">
        <v>0</v>
      </c>
      <c r="P22" s="189"/>
      <c r="Q22" s="189">
        <v>0</v>
      </c>
      <c r="R22" s="189"/>
      <c r="S22" s="189">
        <v>0</v>
      </c>
      <c r="T22" s="189"/>
      <c r="U22" s="189">
        <v>0</v>
      </c>
      <c r="V22" s="189"/>
      <c r="W22" s="189">
        <v>0</v>
      </c>
      <c r="X22" s="189"/>
      <c r="Y22" s="189">
        <v>60630772</v>
      </c>
      <c r="Z22" s="189"/>
      <c r="AA22" s="186">
        <v>0</v>
      </c>
      <c r="AB22" s="190"/>
      <c r="AC22" s="191"/>
      <c r="AD22" s="190">
        <v>0</v>
      </c>
      <c r="AE22" s="190"/>
      <c r="AF22" s="190">
        <v>0</v>
      </c>
      <c r="AG22" s="190"/>
      <c r="AH22" s="190">
        <v>0</v>
      </c>
      <c r="AI22" s="190"/>
      <c r="AJ22" s="190">
        <v>0</v>
      </c>
      <c r="AK22" s="190"/>
      <c r="AL22" s="190">
        <v>0</v>
      </c>
      <c r="AM22" s="190"/>
      <c r="AN22" s="190">
        <v>9327859</v>
      </c>
      <c r="AO22" s="190"/>
      <c r="AP22" s="190">
        <v>0</v>
      </c>
      <c r="AQ22" s="181"/>
      <c r="AR22" s="192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>
        <v>0.15379999999999999</v>
      </c>
      <c r="BD22" s="193"/>
      <c r="BE22" s="193"/>
      <c r="BF22" s="181"/>
      <c r="BG22" s="181" t="s">
        <v>1746</v>
      </c>
    </row>
    <row r="23" spans="1:59">
      <c r="A23" s="181" t="s">
        <v>1631</v>
      </c>
      <c r="B23" s="181" t="s">
        <v>89</v>
      </c>
      <c r="C23" s="182" t="s">
        <v>381</v>
      </c>
      <c r="D23" s="183">
        <v>2078</v>
      </c>
      <c r="E23" s="184">
        <v>20078</v>
      </c>
      <c r="F23" s="182" t="s">
        <v>1600</v>
      </c>
      <c r="G23" s="185">
        <v>18351295</v>
      </c>
      <c r="H23" s="186">
        <v>1133</v>
      </c>
      <c r="I23" s="182" t="s">
        <v>1610</v>
      </c>
      <c r="J23" s="187" t="s">
        <v>1602</v>
      </c>
      <c r="K23" s="187">
        <v>1122</v>
      </c>
      <c r="L23" s="188"/>
      <c r="M23" s="189">
        <v>5697351</v>
      </c>
      <c r="N23" s="189"/>
      <c r="O23" s="189">
        <v>0</v>
      </c>
      <c r="P23" s="189"/>
      <c r="Q23" s="189">
        <v>0</v>
      </c>
      <c r="R23" s="189"/>
      <c r="S23" s="189">
        <v>0</v>
      </c>
      <c r="T23" s="189"/>
      <c r="U23" s="189">
        <v>0</v>
      </c>
      <c r="V23" s="189"/>
      <c r="W23" s="189">
        <v>0</v>
      </c>
      <c r="X23" s="189"/>
      <c r="Y23" s="189">
        <v>367362724</v>
      </c>
      <c r="Z23" s="189"/>
      <c r="AA23" s="186">
        <v>0</v>
      </c>
      <c r="AB23" s="190"/>
      <c r="AC23" s="191"/>
      <c r="AD23" s="190">
        <v>0</v>
      </c>
      <c r="AE23" s="190"/>
      <c r="AF23" s="190">
        <v>0</v>
      </c>
      <c r="AG23" s="190"/>
      <c r="AH23" s="190">
        <v>0</v>
      </c>
      <c r="AI23" s="190"/>
      <c r="AJ23" s="190">
        <v>0</v>
      </c>
      <c r="AK23" s="190"/>
      <c r="AL23" s="190">
        <v>2002432</v>
      </c>
      <c r="AM23" s="190"/>
      <c r="AN23" s="190">
        <v>40070882</v>
      </c>
      <c r="AO23" s="190"/>
      <c r="AP23" s="190">
        <v>0</v>
      </c>
      <c r="AQ23" s="181"/>
      <c r="AR23" s="192"/>
      <c r="AS23" s="193">
        <v>0</v>
      </c>
      <c r="AT23" s="193"/>
      <c r="AU23" s="193"/>
      <c r="AV23" s="193"/>
      <c r="AW23" s="193"/>
      <c r="AX23" s="193"/>
      <c r="AY23" s="193"/>
      <c r="AZ23" s="193"/>
      <c r="BA23" s="193"/>
      <c r="BB23" s="193"/>
      <c r="BC23" s="193">
        <v>0.1091</v>
      </c>
      <c r="BD23" s="193"/>
      <c r="BE23" s="193"/>
      <c r="BF23" s="181"/>
      <c r="BG23" s="181" t="s">
        <v>1746</v>
      </c>
    </row>
    <row r="24" spans="1:59">
      <c r="A24" s="181" t="s">
        <v>1634</v>
      </c>
      <c r="B24" s="181" t="s">
        <v>1635</v>
      </c>
      <c r="C24" s="182" t="s">
        <v>390</v>
      </c>
      <c r="D24" s="183">
        <v>6056</v>
      </c>
      <c r="E24" s="184">
        <v>60056</v>
      </c>
      <c r="F24" s="182" t="s">
        <v>1612</v>
      </c>
      <c r="G24" s="185">
        <v>5121892</v>
      </c>
      <c r="H24" s="186">
        <v>1082</v>
      </c>
      <c r="I24" s="182" t="s">
        <v>1610</v>
      </c>
      <c r="J24" s="187" t="s">
        <v>1605</v>
      </c>
      <c r="K24" s="187">
        <v>23</v>
      </c>
      <c r="L24" s="188"/>
      <c r="M24" s="189">
        <v>1375987</v>
      </c>
      <c r="N24" s="189"/>
      <c r="O24" s="189">
        <v>0</v>
      </c>
      <c r="P24" s="189"/>
      <c r="Q24" s="189">
        <v>0</v>
      </c>
      <c r="R24" s="189"/>
      <c r="S24" s="189">
        <v>0</v>
      </c>
      <c r="T24" s="189"/>
      <c r="U24" s="189">
        <v>0</v>
      </c>
      <c r="V24" s="189"/>
      <c r="W24" s="189">
        <v>0</v>
      </c>
      <c r="X24" s="189"/>
      <c r="Y24" s="189">
        <v>0</v>
      </c>
      <c r="Z24" s="189"/>
      <c r="AA24" s="186">
        <v>0</v>
      </c>
      <c r="AB24" s="190"/>
      <c r="AC24" s="191"/>
      <c r="AD24" s="190">
        <v>460806</v>
      </c>
      <c r="AE24" s="190"/>
      <c r="AF24" s="190">
        <v>0</v>
      </c>
      <c r="AG24" s="190"/>
      <c r="AH24" s="190">
        <v>0</v>
      </c>
      <c r="AI24" s="190"/>
      <c r="AJ24" s="190">
        <v>0</v>
      </c>
      <c r="AK24" s="190"/>
      <c r="AL24" s="190">
        <v>0</v>
      </c>
      <c r="AM24" s="190"/>
      <c r="AN24" s="190">
        <v>0</v>
      </c>
      <c r="AO24" s="190"/>
      <c r="AP24" s="190">
        <v>0</v>
      </c>
      <c r="AQ24" s="181"/>
      <c r="AR24" s="192"/>
      <c r="AS24" s="193">
        <v>0.33489999999999998</v>
      </c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81"/>
      <c r="BG24" s="181" t="s">
        <v>1746</v>
      </c>
    </row>
    <row r="25" spans="1:59">
      <c r="A25" s="181" t="s">
        <v>1634</v>
      </c>
      <c r="B25" s="181" t="s">
        <v>1635</v>
      </c>
      <c r="C25" s="182" t="s">
        <v>390</v>
      </c>
      <c r="D25" s="183">
        <v>6056</v>
      </c>
      <c r="E25" s="184">
        <v>60056</v>
      </c>
      <c r="F25" s="182" t="s">
        <v>1612</v>
      </c>
      <c r="G25" s="185">
        <v>5121892</v>
      </c>
      <c r="H25" s="186">
        <v>1082</v>
      </c>
      <c r="I25" s="182" t="s">
        <v>1609</v>
      </c>
      <c r="J25" s="187" t="s">
        <v>1602</v>
      </c>
      <c r="K25" s="187">
        <v>117</v>
      </c>
      <c r="L25" s="188"/>
      <c r="M25" s="189">
        <v>0</v>
      </c>
      <c r="N25" s="189"/>
      <c r="O25" s="189">
        <v>0</v>
      </c>
      <c r="P25" s="189"/>
      <c r="Q25" s="189">
        <v>0</v>
      </c>
      <c r="R25" s="189"/>
      <c r="S25" s="189">
        <v>0</v>
      </c>
      <c r="T25" s="189"/>
      <c r="U25" s="189">
        <v>0</v>
      </c>
      <c r="V25" s="189"/>
      <c r="W25" s="189">
        <v>0</v>
      </c>
      <c r="X25" s="189"/>
      <c r="Y25" s="189">
        <v>116183770</v>
      </c>
      <c r="Z25" s="189"/>
      <c r="AA25" s="186">
        <v>0</v>
      </c>
      <c r="AB25" s="190"/>
      <c r="AC25" s="191"/>
      <c r="AD25" s="190">
        <v>0</v>
      </c>
      <c r="AE25" s="190"/>
      <c r="AF25" s="190">
        <v>0</v>
      </c>
      <c r="AG25" s="190"/>
      <c r="AH25" s="190">
        <v>0</v>
      </c>
      <c r="AI25" s="190"/>
      <c r="AJ25" s="190">
        <v>0</v>
      </c>
      <c r="AK25" s="190"/>
      <c r="AL25" s="190">
        <v>0</v>
      </c>
      <c r="AM25" s="190"/>
      <c r="AN25" s="190">
        <v>9894309</v>
      </c>
      <c r="AO25" s="190"/>
      <c r="AP25" s="190">
        <v>0</v>
      </c>
      <c r="AQ25" s="181"/>
      <c r="AR25" s="192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>
        <v>8.5199999999999998E-2</v>
      </c>
      <c r="BD25" s="193"/>
      <c r="BE25" s="193"/>
      <c r="BF25" s="181"/>
      <c r="BG25" s="181" t="s">
        <v>1746</v>
      </c>
    </row>
    <row r="26" spans="1:59">
      <c r="A26" s="181" t="s">
        <v>1632</v>
      </c>
      <c r="B26" s="181" t="s">
        <v>1633</v>
      </c>
      <c r="C26" s="182" t="s">
        <v>395</v>
      </c>
      <c r="D26" s="183">
        <v>8001</v>
      </c>
      <c r="E26" s="184">
        <v>80001</v>
      </c>
      <c r="F26" s="182" t="s">
        <v>1612</v>
      </c>
      <c r="G26" s="185">
        <v>1021243</v>
      </c>
      <c r="H26" s="186">
        <v>1081</v>
      </c>
      <c r="I26" s="182" t="s">
        <v>1609</v>
      </c>
      <c r="J26" s="187" t="s">
        <v>1602</v>
      </c>
      <c r="K26" s="187">
        <v>89</v>
      </c>
      <c r="L26" s="188"/>
      <c r="M26" s="189">
        <v>0</v>
      </c>
      <c r="N26" s="189"/>
      <c r="O26" s="189">
        <v>0</v>
      </c>
      <c r="P26" s="189"/>
      <c r="Q26" s="189">
        <v>0</v>
      </c>
      <c r="R26" s="189"/>
      <c r="S26" s="189">
        <v>0</v>
      </c>
      <c r="T26" s="189"/>
      <c r="U26" s="189">
        <v>0</v>
      </c>
      <c r="V26" s="189"/>
      <c r="W26" s="189">
        <v>0</v>
      </c>
      <c r="X26" s="189"/>
      <c r="Y26" s="189">
        <v>39602347</v>
      </c>
      <c r="Z26" s="189"/>
      <c r="AA26" s="186">
        <v>0</v>
      </c>
      <c r="AB26" s="190"/>
      <c r="AC26" s="191"/>
      <c r="AD26" s="190">
        <v>0</v>
      </c>
      <c r="AE26" s="190"/>
      <c r="AF26" s="190">
        <v>0</v>
      </c>
      <c r="AG26" s="190"/>
      <c r="AH26" s="190">
        <v>0</v>
      </c>
      <c r="AI26" s="190"/>
      <c r="AJ26" s="190">
        <v>0</v>
      </c>
      <c r="AK26" s="190"/>
      <c r="AL26" s="190">
        <v>0</v>
      </c>
      <c r="AM26" s="190"/>
      <c r="AN26" s="190">
        <v>6307169</v>
      </c>
      <c r="AO26" s="190"/>
      <c r="AP26" s="190">
        <v>0</v>
      </c>
      <c r="AQ26" s="181"/>
      <c r="AR26" s="192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>
        <v>0.1593</v>
      </c>
      <c r="BD26" s="193"/>
      <c r="BE26" s="193"/>
      <c r="BF26" s="181"/>
      <c r="BG26" s="181" t="s">
        <v>1746</v>
      </c>
    </row>
    <row r="27" spans="1:59">
      <c r="A27" s="181" t="s">
        <v>1632</v>
      </c>
      <c r="B27" s="181" t="s">
        <v>1633</v>
      </c>
      <c r="C27" s="182" t="s">
        <v>395</v>
      </c>
      <c r="D27" s="183">
        <v>8001</v>
      </c>
      <c r="E27" s="184">
        <v>80001</v>
      </c>
      <c r="F27" s="182" t="s">
        <v>1612</v>
      </c>
      <c r="G27" s="185">
        <v>1021243</v>
      </c>
      <c r="H27" s="186">
        <v>1081</v>
      </c>
      <c r="I27" s="182" t="s">
        <v>1610</v>
      </c>
      <c r="J27" s="187" t="s">
        <v>1602</v>
      </c>
      <c r="K27" s="187">
        <v>50</v>
      </c>
      <c r="L27" s="188"/>
      <c r="M27" s="189">
        <v>1921417</v>
      </c>
      <c r="N27" s="189"/>
      <c r="O27" s="189">
        <v>0</v>
      </c>
      <c r="P27" s="189"/>
      <c r="Q27" s="189">
        <v>0</v>
      </c>
      <c r="R27" s="189"/>
      <c r="S27" s="189">
        <v>0</v>
      </c>
      <c r="T27" s="189"/>
      <c r="U27" s="189">
        <v>0</v>
      </c>
      <c r="V27" s="189"/>
      <c r="W27" s="189">
        <v>0</v>
      </c>
      <c r="X27" s="189"/>
      <c r="Y27" s="189">
        <v>0</v>
      </c>
      <c r="Z27" s="189"/>
      <c r="AA27" s="186">
        <v>0</v>
      </c>
      <c r="AB27" s="190"/>
      <c r="AC27" s="191"/>
      <c r="AD27" s="190">
        <v>850933</v>
      </c>
      <c r="AE27" s="190"/>
      <c r="AF27" s="190">
        <v>0</v>
      </c>
      <c r="AG27" s="190"/>
      <c r="AH27" s="190">
        <v>0</v>
      </c>
      <c r="AI27" s="190"/>
      <c r="AJ27" s="190">
        <v>0</v>
      </c>
      <c r="AK27" s="190"/>
      <c r="AL27" s="190">
        <v>0</v>
      </c>
      <c r="AM27" s="190"/>
      <c r="AN27" s="190">
        <v>0</v>
      </c>
      <c r="AO27" s="190"/>
      <c r="AP27" s="190">
        <v>0</v>
      </c>
      <c r="AQ27" s="181"/>
      <c r="AR27" s="192"/>
      <c r="AS27" s="193">
        <v>0.44290000000000002</v>
      </c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81"/>
      <c r="BG27" s="181" t="s">
        <v>1746</v>
      </c>
    </row>
    <row r="28" spans="1:59">
      <c r="A28" s="181" t="s">
        <v>1636</v>
      </c>
      <c r="B28" s="181" t="s">
        <v>1618</v>
      </c>
      <c r="C28" s="182" t="s">
        <v>361</v>
      </c>
      <c r="D28" s="183">
        <v>5118</v>
      </c>
      <c r="E28" s="184">
        <v>50118</v>
      </c>
      <c r="F28" s="182" t="s">
        <v>1612</v>
      </c>
      <c r="G28" s="185">
        <v>8608208</v>
      </c>
      <c r="H28" s="186">
        <v>1066</v>
      </c>
      <c r="I28" s="182" t="s">
        <v>1610</v>
      </c>
      <c r="J28" s="187" t="s">
        <v>1602</v>
      </c>
      <c r="K28" s="187">
        <v>539</v>
      </c>
      <c r="L28" s="188"/>
      <c r="M28" s="189">
        <v>18100043</v>
      </c>
      <c r="N28" s="189"/>
      <c r="O28" s="189">
        <v>0</v>
      </c>
      <c r="P28" s="189"/>
      <c r="Q28" s="189">
        <v>0</v>
      </c>
      <c r="R28" s="189"/>
      <c r="S28" s="189">
        <v>0</v>
      </c>
      <c r="T28" s="189"/>
      <c r="U28" s="189">
        <v>0</v>
      </c>
      <c r="V28" s="189"/>
      <c r="W28" s="189">
        <v>0</v>
      </c>
      <c r="X28" s="189"/>
      <c r="Y28" s="189">
        <v>56262281</v>
      </c>
      <c r="Z28" s="189"/>
      <c r="AA28" s="186">
        <v>0</v>
      </c>
      <c r="AB28" s="190"/>
      <c r="AC28" s="191"/>
      <c r="AD28" s="190">
        <v>5202961</v>
      </c>
      <c r="AE28" s="190"/>
      <c r="AF28" s="190">
        <v>0</v>
      </c>
      <c r="AG28" s="190"/>
      <c r="AH28" s="190">
        <v>0</v>
      </c>
      <c r="AI28" s="190"/>
      <c r="AJ28" s="190">
        <v>0</v>
      </c>
      <c r="AK28" s="190"/>
      <c r="AL28" s="190">
        <v>0</v>
      </c>
      <c r="AM28" s="190"/>
      <c r="AN28" s="190">
        <v>3759786</v>
      </c>
      <c r="AO28" s="190"/>
      <c r="AP28" s="190">
        <v>0</v>
      </c>
      <c r="AQ28" s="181"/>
      <c r="AR28" s="192"/>
      <c r="AS28" s="193">
        <v>0.28749999999999998</v>
      </c>
      <c r="AT28" s="193"/>
      <c r="AU28" s="193"/>
      <c r="AV28" s="193"/>
      <c r="AW28" s="193"/>
      <c r="AX28" s="193"/>
      <c r="AY28" s="193"/>
      <c r="AZ28" s="193"/>
      <c r="BA28" s="193"/>
      <c r="BB28" s="193"/>
      <c r="BC28" s="193">
        <v>6.6799999999999998E-2</v>
      </c>
      <c r="BD28" s="193"/>
      <c r="BE28" s="193"/>
      <c r="BF28" s="181"/>
      <c r="BG28" s="181" t="s">
        <v>1746</v>
      </c>
    </row>
    <row r="29" spans="1:59">
      <c r="A29" s="181" t="s">
        <v>1636</v>
      </c>
      <c r="B29" s="181" t="s">
        <v>1618</v>
      </c>
      <c r="C29" s="182" t="s">
        <v>361</v>
      </c>
      <c r="D29" s="183">
        <v>5118</v>
      </c>
      <c r="E29" s="184">
        <v>50118</v>
      </c>
      <c r="F29" s="182" t="s">
        <v>1612</v>
      </c>
      <c r="G29" s="185">
        <v>8608208</v>
      </c>
      <c r="H29" s="186">
        <v>1066</v>
      </c>
      <c r="I29" s="182" t="s">
        <v>1610</v>
      </c>
      <c r="J29" s="187" t="s">
        <v>1605</v>
      </c>
      <c r="K29" s="187">
        <v>527</v>
      </c>
      <c r="L29" s="188"/>
      <c r="M29" s="189">
        <v>18100043</v>
      </c>
      <c r="N29" s="189"/>
      <c r="O29" s="189">
        <v>0</v>
      </c>
      <c r="P29" s="189"/>
      <c r="Q29" s="189">
        <v>0</v>
      </c>
      <c r="R29" s="189"/>
      <c r="S29" s="189">
        <v>0</v>
      </c>
      <c r="T29" s="189"/>
      <c r="U29" s="189">
        <v>0</v>
      </c>
      <c r="V29" s="189"/>
      <c r="W29" s="189">
        <v>0</v>
      </c>
      <c r="X29" s="189"/>
      <c r="Y29" s="189">
        <v>0</v>
      </c>
      <c r="Z29" s="189"/>
      <c r="AA29" s="186">
        <v>0</v>
      </c>
      <c r="AB29" s="190"/>
      <c r="AC29" s="191"/>
      <c r="AD29" s="190">
        <v>0</v>
      </c>
      <c r="AE29" s="190"/>
      <c r="AF29" s="190">
        <v>0</v>
      </c>
      <c r="AG29" s="190"/>
      <c r="AH29" s="190">
        <v>0</v>
      </c>
      <c r="AI29" s="190"/>
      <c r="AJ29" s="190">
        <v>0</v>
      </c>
      <c r="AK29" s="190"/>
      <c r="AL29" s="190">
        <v>0</v>
      </c>
      <c r="AM29" s="190"/>
      <c r="AN29" s="190">
        <v>0</v>
      </c>
      <c r="AO29" s="190"/>
      <c r="AP29" s="190">
        <v>0</v>
      </c>
      <c r="AQ29" s="181"/>
      <c r="AR29" s="192"/>
      <c r="AS29" s="193">
        <v>0</v>
      </c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81"/>
      <c r="BG29" s="181" t="s">
        <v>1746</v>
      </c>
    </row>
    <row r="30" spans="1:59">
      <c r="A30" s="181" t="s">
        <v>1637</v>
      </c>
      <c r="B30" s="181" t="s">
        <v>1638</v>
      </c>
      <c r="C30" s="182" t="s">
        <v>381</v>
      </c>
      <c r="D30" s="183">
        <v>2100</v>
      </c>
      <c r="E30" s="184">
        <v>20100</v>
      </c>
      <c r="F30" s="182" t="s">
        <v>1600</v>
      </c>
      <c r="G30" s="185">
        <v>18351295</v>
      </c>
      <c r="H30" s="186">
        <v>1022</v>
      </c>
      <c r="I30" s="182" t="s">
        <v>1610</v>
      </c>
      <c r="J30" s="187" t="s">
        <v>1602</v>
      </c>
      <c r="K30" s="187">
        <v>1022</v>
      </c>
      <c r="L30" s="188"/>
      <c r="M30" s="189">
        <v>7034074</v>
      </c>
      <c r="N30" s="189"/>
      <c r="O30" s="189">
        <v>0</v>
      </c>
      <c r="P30" s="189"/>
      <c r="Q30" s="189">
        <v>0</v>
      </c>
      <c r="R30" s="189"/>
      <c r="S30" s="189">
        <v>0</v>
      </c>
      <c r="T30" s="189"/>
      <c r="U30" s="189">
        <v>0</v>
      </c>
      <c r="V30" s="189"/>
      <c r="W30" s="189">
        <v>0</v>
      </c>
      <c r="X30" s="189"/>
      <c r="Y30" s="189">
        <v>471350200</v>
      </c>
      <c r="Z30" s="189"/>
      <c r="AA30" s="186">
        <v>0</v>
      </c>
      <c r="AB30" s="190"/>
      <c r="AC30" s="191"/>
      <c r="AD30" s="190">
        <v>757533</v>
      </c>
      <c r="AE30" s="190"/>
      <c r="AF30" s="190">
        <v>0</v>
      </c>
      <c r="AG30" s="190"/>
      <c r="AH30" s="190">
        <v>0</v>
      </c>
      <c r="AI30" s="190"/>
      <c r="AJ30" s="190">
        <v>0</v>
      </c>
      <c r="AK30" s="190"/>
      <c r="AL30" s="190">
        <v>757533</v>
      </c>
      <c r="AM30" s="190"/>
      <c r="AN30" s="190">
        <v>54919600</v>
      </c>
      <c r="AO30" s="190"/>
      <c r="AP30" s="190">
        <v>0</v>
      </c>
      <c r="AQ30" s="181"/>
      <c r="AR30" s="192"/>
      <c r="AS30" s="193">
        <v>0.1077</v>
      </c>
      <c r="AT30" s="193"/>
      <c r="AU30" s="193"/>
      <c r="AV30" s="193"/>
      <c r="AW30" s="193"/>
      <c r="AX30" s="193"/>
      <c r="AY30" s="193"/>
      <c r="AZ30" s="193"/>
      <c r="BA30" s="193"/>
      <c r="BB30" s="193"/>
      <c r="BC30" s="193">
        <v>0.11650000000000001</v>
      </c>
      <c r="BD30" s="193"/>
      <c r="BE30" s="193"/>
      <c r="BF30" s="181"/>
      <c r="BG30" s="181" t="s">
        <v>1746</v>
      </c>
    </row>
    <row r="31" spans="1:59">
      <c r="A31" s="181" t="s">
        <v>1751</v>
      </c>
      <c r="B31" s="181" t="s">
        <v>1640</v>
      </c>
      <c r="C31" s="182" t="s">
        <v>351</v>
      </c>
      <c r="D31" s="183">
        <v>9015</v>
      </c>
      <c r="E31" s="184">
        <v>90015</v>
      </c>
      <c r="F31" s="182" t="s">
        <v>1615</v>
      </c>
      <c r="G31" s="185">
        <v>3281212</v>
      </c>
      <c r="H31" s="186">
        <v>996</v>
      </c>
      <c r="I31" s="182" t="s">
        <v>1609</v>
      </c>
      <c r="J31" s="187" t="s">
        <v>1602</v>
      </c>
      <c r="K31" s="187">
        <v>149</v>
      </c>
      <c r="L31" s="188"/>
      <c r="M31" s="189">
        <v>0</v>
      </c>
      <c r="N31" s="189"/>
      <c r="O31" s="189">
        <v>0</v>
      </c>
      <c r="P31" s="189"/>
      <c r="Q31" s="189">
        <v>0</v>
      </c>
      <c r="R31" s="189"/>
      <c r="S31" s="189">
        <v>0</v>
      </c>
      <c r="T31" s="189"/>
      <c r="U31" s="189">
        <v>0</v>
      </c>
      <c r="V31" s="189"/>
      <c r="W31" s="189">
        <v>0</v>
      </c>
      <c r="X31" s="189"/>
      <c r="Y31" s="189">
        <v>51453351</v>
      </c>
      <c r="Z31" s="189"/>
      <c r="AA31" s="186">
        <v>0</v>
      </c>
      <c r="AB31" s="190"/>
      <c r="AC31" s="191"/>
      <c r="AD31" s="190">
        <v>0</v>
      </c>
      <c r="AE31" s="190"/>
      <c r="AF31" s="190">
        <v>0</v>
      </c>
      <c r="AG31" s="190"/>
      <c r="AH31" s="190">
        <v>0</v>
      </c>
      <c r="AI31" s="190"/>
      <c r="AJ31" s="190">
        <v>0</v>
      </c>
      <c r="AK31" s="190"/>
      <c r="AL31" s="190">
        <v>0</v>
      </c>
      <c r="AM31" s="190"/>
      <c r="AN31" s="190">
        <v>5286597</v>
      </c>
      <c r="AO31" s="190"/>
      <c r="AP31" s="190">
        <v>0</v>
      </c>
      <c r="AQ31" s="181"/>
      <c r="AR31" s="192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>
        <v>0.1027</v>
      </c>
      <c r="BD31" s="193"/>
      <c r="BE31" s="193"/>
      <c r="BF31" s="181"/>
      <c r="BG31" s="181" t="s">
        <v>1746</v>
      </c>
    </row>
    <row r="32" spans="1:59">
      <c r="A32" s="181" t="s">
        <v>1752</v>
      </c>
      <c r="B32" s="181" t="s">
        <v>1641</v>
      </c>
      <c r="C32" s="182" t="s">
        <v>384</v>
      </c>
      <c r="D32" s="183">
        <v>8</v>
      </c>
      <c r="E32" s="184">
        <v>8</v>
      </c>
      <c r="F32" s="182" t="s">
        <v>1612</v>
      </c>
      <c r="G32" s="185">
        <v>1849898</v>
      </c>
      <c r="H32" s="186">
        <v>982</v>
      </c>
      <c r="I32" s="182" t="s">
        <v>1609</v>
      </c>
      <c r="J32" s="187" t="s">
        <v>1602</v>
      </c>
      <c r="K32" s="187">
        <v>116</v>
      </c>
      <c r="L32" s="188"/>
      <c r="M32" s="189">
        <v>0</v>
      </c>
      <c r="N32" s="189"/>
      <c r="O32" s="189">
        <v>0</v>
      </c>
      <c r="P32" s="189"/>
      <c r="Q32" s="189">
        <v>0</v>
      </c>
      <c r="R32" s="189"/>
      <c r="S32" s="189">
        <v>0</v>
      </c>
      <c r="T32" s="189"/>
      <c r="U32" s="189">
        <v>0</v>
      </c>
      <c r="V32" s="189"/>
      <c r="W32" s="189">
        <v>0</v>
      </c>
      <c r="X32" s="189"/>
      <c r="Y32" s="189">
        <v>54389715</v>
      </c>
      <c r="Z32" s="189"/>
      <c r="AA32" s="186">
        <v>0</v>
      </c>
      <c r="AB32" s="190"/>
      <c r="AC32" s="191"/>
      <c r="AD32" s="190">
        <v>0</v>
      </c>
      <c r="AE32" s="190"/>
      <c r="AF32" s="190">
        <v>0</v>
      </c>
      <c r="AG32" s="190"/>
      <c r="AH32" s="190">
        <v>0</v>
      </c>
      <c r="AI32" s="190"/>
      <c r="AJ32" s="190">
        <v>0</v>
      </c>
      <c r="AK32" s="190"/>
      <c r="AL32" s="190">
        <v>0</v>
      </c>
      <c r="AM32" s="190"/>
      <c r="AN32" s="190">
        <v>9045741</v>
      </c>
      <c r="AO32" s="190"/>
      <c r="AP32" s="190">
        <v>0</v>
      </c>
      <c r="AQ32" s="181"/>
      <c r="AR32" s="192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>
        <v>0.1663</v>
      </c>
      <c r="BD32" s="193"/>
      <c r="BE32" s="193"/>
      <c r="BF32" s="181"/>
      <c r="BG32" s="181" t="s">
        <v>1746</v>
      </c>
    </row>
    <row r="33" spans="1:59">
      <c r="A33" s="181" t="s">
        <v>1647</v>
      </c>
      <c r="B33" s="181" t="s">
        <v>1648</v>
      </c>
      <c r="C33" s="182" t="s">
        <v>357</v>
      </c>
      <c r="D33" s="183">
        <v>4022</v>
      </c>
      <c r="E33" s="184">
        <v>40022</v>
      </c>
      <c r="F33" s="182" t="s">
        <v>1612</v>
      </c>
      <c r="G33" s="185">
        <v>4515419</v>
      </c>
      <c r="H33" s="186">
        <v>943</v>
      </c>
      <c r="I33" s="182" t="s">
        <v>1604</v>
      </c>
      <c r="J33" s="187" t="s">
        <v>1602</v>
      </c>
      <c r="K33" s="187">
        <v>212</v>
      </c>
      <c r="L33" s="188"/>
      <c r="M33" s="189">
        <v>0</v>
      </c>
      <c r="N33" s="189"/>
      <c r="O33" s="189">
        <v>0</v>
      </c>
      <c r="P33" s="189"/>
      <c r="Q33" s="189">
        <v>0</v>
      </c>
      <c r="R33" s="189"/>
      <c r="S33" s="189">
        <v>0</v>
      </c>
      <c r="T33" s="189"/>
      <c r="U33" s="189">
        <v>0</v>
      </c>
      <c r="V33" s="189"/>
      <c r="W33" s="189">
        <v>0</v>
      </c>
      <c r="X33" s="189"/>
      <c r="Y33" s="189">
        <v>83566447</v>
      </c>
      <c r="Z33" s="189"/>
      <c r="AA33" s="186">
        <v>0</v>
      </c>
      <c r="AB33" s="190"/>
      <c r="AC33" s="191"/>
      <c r="AD33" s="190">
        <v>0</v>
      </c>
      <c r="AE33" s="190"/>
      <c r="AF33" s="190">
        <v>0</v>
      </c>
      <c r="AG33" s="190"/>
      <c r="AH33" s="190">
        <v>0</v>
      </c>
      <c r="AI33" s="190"/>
      <c r="AJ33" s="190">
        <v>0</v>
      </c>
      <c r="AK33" s="190"/>
      <c r="AL33" s="190">
        <v>0</v>
      </c>
      <c r="AM33" s="190"/>
      <c r="AN33" s="190">
        <v>19692749</v>
      </c>
      <c r="AO33" s="190"/>
      <c r="AP33" s="190">
        <v>0</v>
      </c>
      <c r="AQ33" s="181"/>
      <c r="AR33" s="192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>
        <v>0.23569999999999999</v>
      </c>
      <c r="BD33" s="193"/>
      <c r="BE33" s="193"/>
      <c r="BF33" s="181"/>
      <c r="BG33" s="181" t="s">
        <v>1746</v>
      </c>
    </row>
    <row r="34" spans="1:59">
      <c r="A34" s="181" t="s">
        <v>1644</v>
      </c>
      <c r="B34" s="181" t="s">
        <v>1645</v>
      </c>
      <c r="C34" s="182" t="s">
        <v>385</v>
      </c>
      <c r="D34" s="183">
        <v>3022</v>
      </c>
      <c r="E34" s="184">
        <v>30022</v>
      </c>
      <c r="F34" s="182" t="s">
        <v>1612</v>
      </c>
      <c r="G34" s="185">
        <v>1733853</v>
      </c>
      <c r="H34" s="186">
        <v>930</v>
      </c>
      <c r="I34" s="182" t="s">
        <v>1609</v>
      </c>
      <c r="J34" s="187" t="s">
        <v>1602</v>
      </c>
      <c r="K34" s="187">
        <v>58</v>
      </c>
      <c r="L34" s="188"/>
      <c r="M34" s="189">
        <v>0</v>
      </c>
      <c r="N34" s="189"/>
      <c r="O34" s="189">
        <v>0</v>
      </c>
      <c r="P34" s="189"/>
      <c r="Q34" s="189">
        <v>0</v>
      </c>
      <c r="R34" s="189"/>
      <c r="S34" s="189">
        <v>0</v>
      </c>
      <c r="T34" s="189"/>
      <c r="U34" s="189">
        <v>0</v>
      </c>
      <c r="V34" s="189"/>
      <c r="W34" s="189">
        <v>0</v>
      </c>
      <c r="X34" s="189"/>
      <c r="Y34" s="189">
        <v>30547053</v>
      </c>
      <c r="Z34" s="189"/>
      <c r="AA34" s="186">
        <v>0</v>
      </c>
      <c r="AB34" s="190"/>
      <c r="AC34" s="191"/>
      <c r="AD34" s="190">
        <v>0</v>
      </c>
      <c r="AE34" s="190"/>
      <c r="AF34" s="190">
        <v>0</v>
      </c>
      <c r="AG34" s="190"/>
      <c r="AH34" s="190">
        <v>0</v>
      </c>
      <c r="AI34" s="190"/>
      <c r="AJ34" s="190">
        <v>0</v>
      </c>
      <c r="AK34" s="190"/>
      <c r="AL34" s="190">
        <v>0</v>
      </c>
      <c r="AM34" s="190"/>
      <c r="AN34" s="190">
        <v>2154526</v>
      </c>
      <c r="AO34" s="190"/>
      <c r="AP34" s="190">
        <v>0</v>
      </c>
      <c r="AQ34" s="181"/>
      <c r="AR34" s="192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>
        <v>7.0499999999999993E-2</v>
      </c>
      <c r="BD34" s="193"/>
      <c r="BE34" s="193"/>
      <c r="BF34" s="181"/>
      <c r="BG34" s="181" t="s">
        <v>1746</v>
      </c>
    </row>
    <row r="35" spans="1:59">
      <c r="A35" s="181" t="s">
        <v>1642</v>
      </c>
      <c r="B35" s="181" t="s">
        <v>1643</v>
      </c>
      <c r="C35" s="182" t="s">
        <v>351</v>
      </c>
      <c r="D35" s="183">
        <v>9026</v>
      </c>
      <c r="E35" s="184">
        <v>90026</v>
      </c>
      <c r="F35" s="182" t="s">
        <v>1612</v>
      </c>
      <c r="G35" s="185">
        <v>2956746</v>
      </c>
      <c r="H35" s="186">
        <v>906</v>
      </c>
      <c r="I35" s="182" t="s">
        <v>1609</v>
      </c>
      <c r="J35" s="187" t="s">
        <v>1602</v>
      </c>
      <c r="K35" s="187">
        <v>103</v>
      </c>
      <c r="L35" s="188"/>
      <c r="M35" s="189">
        <v>0</v>
      </c>
      <c r="N35" s="189"/>
      <c r="O35" s="189">
        <v>0</v>
      </c>
      <c r="P35" s="189"/>
      <c r="Q35" s="189">
        <v>0</v>
      </c>
      <c r="R35" s="189"/>
      <c r="S35" s="189">
        <v>0</v>
      </c>
      <c r="T35" s="189"/>
      <c r="U35" s="189">
        <v>0</v>
      </c>
      <c r="V35" s="189"/>
      <c r="W35" s="189">
        <v>0</v>
      </c>
      <c r="X35" s="189"/>
      <c r="Y35" s="189">
        <v>52502166</v>
      </c>
      <c r="Z35" s="189"/>
      <c r="AA35" s="186">
        <v>0</v>
      </c>
      <c r="AB35" s="190"/>
      <c r="AC35" s="191"/>
      <c r="AD35" s="190">
        <v>0</v>
      </c>
      <c r="AE35" s="190"/>
      <c r="AF35" s="190">
        <v>0</v>
      </c>
      <c r="AG35" s="190"/>
      <c r="AH35" s="190">
        <v>0</v>
      </c>
      <c r="AI35" s="190"/>
      <c r="AJ35" s="190">
        <v>0</v>
      </c>
      <c r="AK35" s="190"/>
      <c r="AL35" s="190">
        <v>0</v>
      </c>
      <c r="AM35" s="190"/>
      <c r="AN35" s="190">
        <v>9579691</v>
      </c>
      <c r="AO35" s="190"/>
      <c r="AP35" s="190">
        <v>0</v>
      </c>
      <c r="AQ35" s="181"/>
      <c r="AR35" s="192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>
        <v>0.1825</v>
      </c>
      <c r="BD35" s="193"/>
      <c r="BE35" s="193"/>
      <c r="BF35" s="181"/>
      <c r="BG35" s="181" t="s">
        <v>1746</v>
      </c>
    </row>
    <row r="36" spans="1:59">
      <c r="A36" s="181" t="s">
        <v>1753</v>
      </c>
      <c r="B36" s="181" t="s">
        <v>1646</v>
      </c>
      <c r="C36" s="182" t="s">
        <v>370</v>
      </c>
      <c r="D36" s="183">
        <v>5027</v>
      </c>
      <c r="E36" s="184">
        <v>50027</v>
      </c>
      <c r="F36" s="182" t="s">
        <v>1600</v>
      </c>
      <c r="G36" s="185">
        <v>2650890</v>
      </c>
      <c r="H36" s="186">
        <v>823</v>
      </c>
      <c r="I36" s="182" t="s">
        <v>1609</v>
      </c>
      <c r="J36" s="187" t="s">
        <v>1602</v>
      </c>
      <c r="K36" s="187">
        <v>76</v>
      </c>
      <c r="L36" s="188"/>
      <c r="M36" s="189">
        <v>0</v>
      </c>
      <c r="N36" s="189"/>
      <c r="O36" s="189">
        <v>0</v>
      </c>
      <c r="P36" s="189"/>
      <c r="Q36" s="189">
        <v>0</v>
      </c>
      <c r="R36" s="189"/>
      <c r="S36" s="189">
        <v>0</v>
      </c>
      <c r="T36" s="189"/>
      <c r="U36" s="189">
        <v>0</v>
      </c>
      <c r="V36" s="189"/>
      <c r="W36" s="189">
        <v>0</v>
      </c>
      <c r="X36" s="189"/>
      <c r="Y36" s="189">
        <v>31871652</v>
      </c>
      <c r="Z36" s="189"/>
      <c r="AA36" s="186">
        <v>0</v>
      </c>
      <c r="AB36" s="190"/>
      <c r="AC36" s="191"/>
      <c r="AD36" s="190">
        <v>0</v>
      </c>
      <c r="AE36" s="190"/>
      <c r="AF36" s="190">
        <v>0</v>
      </c>
      <c r="AG36" s="190"/>
      <c r="AH36" s="190">
        <v>0</v>
      </c>
      <c r="AI36" s="190"/>
      <c r="AJ36" s="190">
        <v>0</v>
      </c>
      <c r="AK36" s="190"/>
      <c r="AL36" s="190">
        <v>0</v>
      </c>
      <c r="AM36" s="190"/>
      <c r="AN36" s="190">
        <v>4153269</v>
      </c>
      <c r="AO36" s="190"/>
      <c r="AP36" s="190">
        <v>0</v>
      </c>
      <c r="AQ36" s="181"/>
      <c r="AR36" s="192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>
        <v>0.1303</v>
      </c>
      <c r="BD36" s="193"/>
      <c r="BE36" s="193"/>
      <c r="BF36" s="181"/>
      <c r="BG36" s="181" t="s">
        <v>1746</v>
      </c>
    </row>
    <row r="37" spans="1:59">
      <c r="A37" s="181" t="s">
        <v>1753</v>
      </c>
      <c r="B37" s="181" t="s">
        <v>1646</v>
      </c>
      <c r="C37" s="182" t="s">
        <v>370</v>
      </c>
      <c r="D37" s="183">
        <v>5027</v>
      </c>
      <c r="E37" s="184">
        <v>50027</v>
      </c>
      <c r="F37" s="182" t="s">
        <v>1600</v>
      </c>
      <c r="G37" s="185">
        <v>2650890</v>
      </c>
      <c r="H37" s="186">
        <v>823</v>
      </c>
      <c r="I37" s="182" t="s">
        <v>1610</v>
      </c>
      <c r="J37" s="187" t="s">
        <v>1605</v>
      </c>
      <c r="K37" s="187">
        <v>20</v>
      </c>
      <c r="L37" s="188"/>
      <c r="M37" s="189">
        <v>213780</v>
      </c>
      <c r="N37" s="189"/>
      <c r="O37" s="189">
        <v>0</v>
      </c>
      <c r="P37" s="189"/>
      <c r="Q37" s="189">
        <v>0</v>
      </c>
      <c r="R37" s="189"/>
      <c r="S37" s="189">
        <v>0</v>
      </c>
      <c r="T37" s="189"/>
      <c r="U37" s="189">
        <v>0</v>
      </c>
      <c r="V37" s="189"/>
      <c r="W37" s="189">
        <v>0</v>
      </c>
      <c r="X37" s="189"/>
      <c r="Y37" s="189">
        <v>0</v>
      </c>
      <c r="Z37" s="189"/>
      <c r="AA37" s="186">
        <v>0</v>
      </c>
      <c r="AB37" s="190"/>
      <c r="AC37" s="191"/>
      <c r="AD37" s="190">
        <v>63438</v>
      </c>
      <c r="AE37" s="190"/>
      <c r="AF37" s="190">
        <v>0</v>
      </c>
      <c r="AG37" s="190"/>
      <c r="AH37" s="190">
        <v>0</v>
      </c>
      <c r="AI37" s="190"/>
      <c r="AJ37" s="190">
        <v>0</v>
      </c>
      <c r="AK37" s="190"/>
      <c r="AL37" s="190">
        <v>0</v>
      </c>
      <c r="AM37" s="190"/>
      <c r="AN37" s="190">
        <v>0</v>
      </c>
      <c r="AO37" s="190"/>
      <c r="AP37" s="190">
        <v>0</v>
      </c>
      <c r="AQ37" s="181"/>
      <c r="AR37" s="192"/>
      <c r="AS37" s="193">
        <v>0.29670000000000002</v>
      </c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81"/>
      <c r="BG37" s="181" t="s">
        <v>1746</v>
      </c>
    </row>
    <row r="38" spans="1:59">
      <c r="A38" s="181" t="s">
        <v>1650</v>
      </c>
      <c r="B38" s="181" t="s">
        <v>1651</v>
      </c>
      <c r="C38" s="182" t="s">
        <v>351</v>
      </c>
      <c r="D38" s="183">
        <v>9013</v>
      </c>
      <c r="E38" s="184">
        <v>90013</v>
      </c>
      <c r="F38" s="182" t="s">
        <v>1612</v>
      </c>
      <c r="G38" s="185">
        <v>1664496</v>
      </c>
      <c r="H38" s="186">
        <v>635</v>
      </c>
      <c r="I38" s="182" t="s">
        <v>1609</v>
      </c>
      <c r="J38" s="187" t="s">
        <v>1602</v>
      </c>
      <c r="K38" s="187">
        <v>61</v>
      </c>
      <c r="L38" s="188"/>
      <c r="M38" s="189">
        <v>0</v>
      </c>
      <c r="N38" s="189"/>
      <c r="O38" s="189">
        <v>0</v>
      </c>
      <c r="P38" s="189"/>
      <c r="Q38" s="189">
        <v>0</v>
      </c>
      <c r="R38" s="189"/>
      <c r="S38" s="189">
        <v>0</v>
      </c>
      <c r="T38" s="189"/>
      <c r="U38" s="189">
        <v>0</v>
      </c>
      <c r="V38" s="189"/>
      <c r="W38" s="189">
        <v>0</v>
      </c>
      <c r="X38" s="189"/>
      <c r="Y38" s="189">
        <v>22062611</v>
      </c>
      <c r="Z38" s="189"/>
      <c r="AA38" s="186">
        <v>0</v>
      </c>
      <c r="AB38" s="190"/>
      <c r="AC38" s="191"/>
      <c r="AD38" s="190">
        <v>0</v>
      </c>
      <c r="AE38" s="190"/>
      <c r="AF38" s="190">
        <v>0</v>
      </c>
      <c r="AG38" s="190"/>
      <c r="AH38" s="190">
        <v>0</v>
      </c>
      <c r="AI38" s="190"/>
      <c r="AJ38" s="190">
        <v>0</v>
      </c>
      <c r="AK38" s="190"/>
      <c r="AL38" s="190">
        <v>0</v>
      </c>
      <c r="AM38" s="190"/>
      <c r="AN38" s="190">
        <v>3093884</v>
      </c>
      <c r="AO38" s="190"/>
      <c r="AP38" s="190">
        <v>0</v>
      </c>
      <c r="AQ38" s="181"/>
      <c r="AR38" s="192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>
        <v>0.14019999999999999</v>
      </c>
      <c r="BD38" s="193"/>
      <c r="BE38" s="193"/>
      <c r="BF38" s="181"/>
      <c r="BG38" s="181" t="s">
        <v>1746</v>
      </c>
    </row>
    <row r="39" spans="1:59">
      <c r="A39" s="181" t="s">
        <v>1652</v>
      </c>
      <c r="B39" s="181" t="s">
        <v>1649</v>
      </c>
      <c r="C39" s="182" t="s">
        <v>351</v>
      </c>
      <c r="D39" s="183">
        <v>9003</v>
      </c>
      <c r="E39" s="184">
        <v>90003</v>
      </c>
      <c r="F39" s="182" t="s">
        <v>1612</v>
      </c>
      <c r="G39" s="185">
        <v>3281212</v>
      </c>
      <c r="H39" s="186">
        <v>616</v>
      </c>
      <c r="I39" s="182" t="s">
        <v>1604</v>
      </c>
      <c r="J39" s="187" t="s">
        <v>1602</v>
      </c>
      <c r="K39" s="187">
        <v>599</v>
      </c>
      <c r="L39" s="188"/>
      <c r="M39" s="189">
        <v>0</v>
      </c>
      <c r="N39" s="189"/>
      <c r="O39" s="189">
        <v>0</v>
      </c>
      <c r="P39" s="189"/>
      <c r="Q39" s="189">
        <v>0</v>
      </c>
      <c r="R39" s="189"/>
      <c r="S39" s="189">
        <v>0</v>
      </c>
      <c r="T39" s="189"/>
      <c r="U39" s="189">
        <v>0</v>
      </c>
      <c r="V39" s="189"/>
      <c r="W39" s="189">
        <v>0</v>
      </c>
      <c r="X39" s="189"/>
      <c r="Y39" s="189">
        <v>298200780</v>
      </c>
      <c r="Z39" s="189"/>
      <c r="AA39" s="186">
        <v>0</v>
      </c>
      <c r="AB39" s="190"/>
      <c r="AC39" s="191"/>
      <c r="AD39" s="190">
        <v>0</v>
      </c>
      <c r="AE39" s="190"/>
      <c r="AF39" s="190">
        <v>0</v>
      </c>
      <c r="AG39" s="190"/>
      <c r="AH39" s="190">
        <v>0</v>
      </c>
      <c r="AI39" s="190"/>
      <c r="AJ39" s="190">
        <v>0</v>
      </c>
      <c r="AK39" s="190"/>
      <c r="AL39" s="190">
        <v>0</v>
      </c>
      <c r="AM39" s="190"/>
      <c r="AN39" s="190">
        <v>61097126</v>
      </c>
      <c r="AO39" s="190"/>
      <c r="AP39" s="190">
        <v>0</v>
      </c>
      <c r="AQ39" s="181"/>
      <c r="AR39" s="192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>
        <v>0.2049</v>
      </c>
      <c r="BD39" s="193"/>
      <c r="BE39" s="193"/>
      <c r="BF39" s="181"/>
      <c r="BG39" s="181" t="s">
        <v>1746</v>
      </c>
    </row>
    <row r="40" spans="1:59">
      <c r="A40" s="181" t="s">
        <v>1754</v>
      </c>
      <c r="B40" s="181" t="s">
        <v>1755</v>
      </c>
      <c r="C40" s="182" t="s">
        <v>371</v>
      </c>
      <c r="D40" s="183">
        <v>7006</v>
      </c>
      <c r="E40" s="184">
        <v>70006</v>
      </c>
      <c r="F40" s="182" t="s">
        <v>1612</v>
      </c>
      <c r="G40" s="185">
        <v>2150706</v>
      </c>
      <c r="H40" s="186">
        <v>493</v>
      </c>
      <c r="I40" s="182" t="s">
        <v>1609</v>
      </c>
      <c r="J40" s="187" t="s">
        <v>1602</v>
      </c>
      <c r="K40" s="187">
        <v>50</v>
      </c>
      <c r="L40" s="188"/>
      <c r="M40" s="189">
        <v>0</v>
      </c>
      <c r="N40" s="189"/>
      <c r="O40" s="189">
        <v>0</v>
      </c>
      <c r="P40" s="189"/>
      <c r="Q40" s="189">
        <v>0</v>
      </c>
      <c r="R40" s="189"/>
      <c r="S40" s="189">
        <v>0</v>
      </c>
      <c r="T40" s="189"/>
      <c r="U40" s="189">
        <v>0</v>
      </c>
      <c r="V40" s="189"/>
      <c r="W40" s="189">
        <v>0</v>
      </c>
      <c r="X40" s="189"/>
      <c r="Y40" s="189">
        <v>36496148</v>
      </c>
      <c r="Z40" s="189"/>
      <c r="AA40" s="186">
        <v>0</v>
      </c>
      <c r="AB40" s="190"/>
      <c r="AC40" s="191"/>
      <c r="AD40" s="190">
        <v>0</v>
      </c>
      <c r="AE40" s="190"/>
      <c r="AF40" s="190">
        <v>0</v>
      </c>
      <c r="AG40" s="190"/>
      <c r="AH40" s="190">
        <v>0</v>
      </c>
      <c r="AI40" s="190"/>
      <c r="AJ40" s="190">
        <v>0</v>
      </c>
      <c r="AK40" s="190"/>
      <c r="AL40" s="190">
        <v>0</v>
      </c>
      <c r="AM40" s="190"/>
      <c r="AN40" s="190">
        <v>5934378</v>
      </c>
      <c r="AO40" s="190"/>
      <c r="AP40" s="190">
        <v>0</v>
      </c>
      <c r="AQ40" s="181"/>
      <c r="AR40" s="192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>
        <v>0.16259999999999999</v>
      </c>
      <c r="BD40" s="193"/>
      <c r="BE40" s="193"/>
      <c r="BF40" s="181"/>
      <c r="BG40" s="181" t="s">
        <v>1746</v>
      </c>
    </row>
    <row r="41" spans="1:59">
      <c r="A41" s="181" t="s">
        <v>1654</v>
      </c>
      <c r="B41" s="181" t="s">
        <v>1655</v>
      </c>
      <c r="C41" s="182" t="s">
        <v>382</v>
      </c>
      <c r="D41" s="183">
        <v>5015</v>
      </c>
      <c r="E41" s="184">
        <v>50015</v>
      </c>
      <c r="F41" s="182" t="s">
        <v>1612</v>
      </c>
      <c r="G41" s="185">
        <v>1780673</v>
      </c>
      <c r="H41" s="186">
        <v>418</v>
      </c>
      <c r="I41" s="182" t="s">
        <v>1609</v>
      </c>
      <c r="J41" s="187" t="s">
        <v>1602</v>
      </c>
      <c r="K41" s="187">
        <v>6</v>
      </c>
      <c r="L41" s="188"/>
      <c r="M41" s="189">
        <v>0</v>
      </c>
      <c r="N41" s="189"/>
      <c r="O41" s="189">
        <v>0</v>
      </c>
      <c r="P41" s="189"/>
      <c r="Q41" s="189">
        <v>0</v>
      </c>
      <c r="R41" s="189"/>
      <c r="S41" s="189">
        <v>0</v>
      </c>
      <c r="T41" s="189"/>
      <c r="U41" s="189">
        <v>0</v>
      </c>
      <c r="V41" s="189"/>
      <c r="W41" s="189">
        <v>0</v>
      </c>
      <c r="X41" s="189"/>
      <c r="Y41" s="189">
        <v>11321758</v>
      </c>
      <c r="Z41" s="189"/>
      <c r="AA41" s="186">
        <v>0</v>
      </c>
      <c r="AB41" s="190"/>
      <c r="AC41" s="191"/>
      <c r="AD41" s="190">
        <v>0</v>
      </c>
      <c r="AE41" s="190"/>
      <c r="AF41" s="190">
        <v>0</v>
      </c>
      <c r="AG41" s="190"/>
      <c r="AH41" s="190">
        <v>0</v>
      </c>
      <c r="AI41" s="190"/>
      <c r="AJ41" s="190">
        <v>0</v>
      </c>
      <c r="AK41" s="190"/>
      <c r="AL41" s="190">
        <v>0</v>
      </c>
      <c r="AM41" s="190"/>
      <c r="AN41" s="190">
        <v>625941</v>
      </c>
      <c r="AO41" s="190"/>
      <c r="AP41" s="190">
        <v>0</v>
      </c>
      <c r="AQ41" s="181"/>
      <c r="AR41" s="192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>
        <v>5.5300000000000002E-2</v>
      </c>
      <c r="BD41" s="193"/>
      <c r="BE41" s="193"/>
      <c r="BF41" s="181"/>
      <c r="BG41" s="181" t="s">
        <v>1746</v>
      </c>
    </row>
    <row r="42" spans="1:59">
      <c r="A42" s="181" t="s">
        <v>1654</v>
      </c>
      <c r="B42" s="181" t="s">
        <v>1655</v>
      </c>
      <c r="C42" s="182" t="s">
        <v>382</v>
      </c>
      <c r="D42" s="183">
        <v>5015</v>
      </c>
      <c r="E42" s="184">
        <v>50015</v>
      </c>
      <c r="F42" s="182" t="s">
        <v>1612</v>
      </c>
      <c r="G42" s="185">
        <v>1780673</v>
      </c>
      <c r="H42" s="186">
        <v>418</v>
      </c>
      <c r="I42" s="182" t="s">
        <v>1604</v>
      </c>
      <c r="J42" s="187" t="s">
        <v>1602</v>
      </c>
      <c r="K42" s="187">
        <v>16</v>
      </c>
      <c r="L42" s="188"/>
      <c r="M42" s="189">
        <v>0</v>
      </c>
      <c r="N42" s="189"/>
      <c r="O42" s="189">
        <v>0</v>
      </c>
      <c r="P42" s="189"/>
      <c r="Q42" s="189">
        <v>0</v>
      </c>
      <c r="R42" s="189"/>
      <c r="S42" s="189">
        <v>0</v>
      </c>
      <c r="T42" s="189"/>
      <c r="U42" s="189">
        <v>0</v>
      </c>
      <c r="V42" s="189"/>
      <c r="W42" s="189">
        <v>0</v>
      </c>
      <c r="X42" s="189"/>
      <c r="Y42" s="189">
        <v>20768378</v>
      </c>
      <c r="Z42" s="189"/>
      <c r="AA42" s="186">
        <v>0</v>
      </c>
      <c r="AB42" s="190"/>
      <c r="AC42" s="191"/>
      <c r="AD42" s="190">
        <v>0</v>
      </c>
      <c r="AE42" s="190"/>
      <c r="AF42" s="190">
        <v>0</v>
      </c>
      <c r="AG42" s="190"/>
      <c r="AH42" s="190">
        <v>0</v>
      </c>
      <c r="AI42" s="190"/>
      <c r="AJ42" s="190">
        <v>0</v>
      </c>
      <c r="AK42" s="190"/>
      <c r="AL42" s="190">
        <v>0</v>
      </c>
      <c r="AM42" s="190"/>
      <c r="AN42" s="190">
        <v>2295631</v>
      </c>
      <c r="AO42" s="190"/>
      <c r="AP42" s="190">
        <v>0</v>
      </c>
      <c r="AQ42" s="181"/>
      <c r="AR42" s="192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>
        <v>0.1105</v>
      </c>
      <c r="BD42" s="193"/>
      <c r="BE42" s="193"/>
      <c r="BF42" s="181"/>
      <c r="BG42" s="181" t="s">
        <v>1746</v>
      </c>
    </row>
    <row r="43" spans="1:59">
      <c r="A43" s="181" t="s">
        <v>1658</v>
      </c>
      <c r="B43" s="181" t="s">
        <v>1659</v>
      </c>
      <c r="C43" s="182" t="s">
        <v>396</v>
      </c>
      <c r="D43" s="183">
        <v>3083</v>
      </c>
      <c r="E43" s="184">
        <v>30083</v>
      </c>
      <c r="F43" s="182" t="s">
        <v>1612</v>
      </c>
      <c r="G43" s="185">
        <v>1439666</v>
      </c>
      <c r="H43" s="186">
        <v>417</v>
      </c>
      <c r="I43" s="182" t="s">
        <v>1609</v>
      </c>
      <c r="J43" s="187" t="s">
        <v>1602</v>
      </c>
      <c r="K43" s="187">
        <v>6</v>
      </c>
      <c r="L43" s="188"/>
      <c r="M43" s="189">
        <v>0</v>
      </c>
      <c r="N43" s="189"/>
      <c r="O43" s="189">
        <v>0</v>
      </c>
      <c r="P43" s="189"/>
      <c r="Q43" s="189">
        <v>0</v>
      </c>
      <c r="R43" s="189"/>
      <c r="S43" s="189">
        <v>0</v>
      </c>
      <c r="T43" s="189"/>
      <c r="U43" s="189">
        <v>0</v>
      </c>
      <c r="V43" s="189"/>
      <c r="W43" s="189">
        <v>0</v>
      </c>
      <c r="X43" s="189"/>
      <c r="Y43" s="189">
        <v>3318000</v>
      </c>
      <c r="Z43" s="189"/>
      <c r="AA43" s="186">
        <v>0</v>
      </c>
      <c r="AB43" s="190"/>
      <c r="AC43" s="191"/>
      <c r="AD43" s="190">
        <v>0</v>
      </c>
      <c r="AE43" s="190"/>
      <c r="AF43" s="190">
        <v>0</v>
      </c>
      <c r="AG43" s="190"/>
      <c r="AH43" s="190">
        <v>0</v>
      </c>
      <c r="AI43" s="190"/>
      <c r="AJ43" s="190">
        <v>0</v>
      </c>
      <c r="AK43" s="190"/>
      <c r="AL43" s="190">
        <v>0</v>
      </c>
      <c r="AM43" s="190"/>
      <c r="AN43" s="190">
        <v>345837</v>
      </c>
      <c r="AO43" s="190"/>
      <c r="AP43" s="190">
        <v>0</v>
      </c>
      <c r="AQ43" s="181"/>
      <c r="AR43" s="192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>
        <v>0.1042</v>
      </c>
      <c r="BD43" s="193"/>
      <c r="BE43" s="193"/>
      <c r="BF43" s="181"/>
      <c r="BG43" s="181" t="s">
        <v>1746</v>
      </c>
    </row>
    <row r="44" spans="1:59">
      <c r="A44" s="181" t="s">
        <v>1656</v>
      </c>
      <c r="B44" s="181" t="s">
        <v>1657</v>
      </c>
      <c r="C44" s="182" t="s">
        <v>374</v>
      </c>
      <c r="D44" s="183">
        <v>4008</v>
      </c>
      <c r="E44" s="184">
        <v>40008</v>
      </c>
      <c r="F44" s="182" t="s">
        <v>1615</v>
      </c>
      <c r="G44" s="185">
        <v>1249442</v>
      </c>
      <c r="H44" s="186">
        <v>409</v>
      </c>
      <c r="I44" s="182" t="s">
        <v>1609</v>
      </c>
      <c r="J44" s="187" t="s">
        <v>1602</v>
      </c>
      <c r="K44" s="187">
        <v>36</v>
      </c>
      <c r="L44" s="188"/>
      <c r="M44" s="189">
        <v>0</v>
      </c>
      <c r="N44" s="189"/>
      <c r="O44" s="189">
        <v>0</v>
      </c>
      <c r="P44" s="189"/>
      <c r="Q44" s="189">
        <v>0</v>
      </c>
      <c r="R44" s="189"/>
      <c r="S44" s="189">
        <v>0</v>
      </c>
      <c r="T44" s="189"/>
      <c r="U44" s="189">
        <v>0</v>
      </c>
      <c r="V44" s="189"/>
      <c r="W44" s="189">
        <v>0</v>
      </c>
      <c r="X44" s="189"/>
      <c r="Y44" s="189">
        <v>16786660</v>
      </c>
      <c r="Z44" s="189"/>
      <c r="AA44" s="186">
        <v>0</v>
      </c>
      <c r="AB44" s="190"/>
      <c r="AC44" s="191"/>
      <c r="AD44" s="190">
        <v>0</v>
      </c>
      <c r="AE44" s="190"/>
      <c r="AF44" s="190">
        <v>0</v>
      </c>
      <c r="AG44" s="190"/>
      <c r="AH44" s="190">
        <v>0</v>
      </c>
      <c r="AI44" s="190"/>
      <c r="AJ44" s="190">
        <v>0</v>
      </c>
      <c r="AK44" s="190"/>
      <c r="AL44" s="190">
        <v>0</v>
      </c>
      <c r="AM44" s="190"/>
      <c r="AN44" s="190">
        <v>2267804</v>
      </c>
      <c r="AO44" s="190"/>
      <c r="AP44" s="190">
        <v>0</v>
      </c>
      <c r="AQ44" s="181"/>
      <c r="AR44" s="192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>
        <v>0.1351</v>
      </c>
      <c r="BD44" s="193"/>
      <c r="BE44" s="193"/>
      <c r="BF44" s="181"/>
      <c r="BG44" s="181" t="s">
        <v>1746</v>
      </c>
    </row>
    <row r="45" spans="1:59">
      <c r="A45" s="181" t="s">
        <v>1660</v>
      </c>
      <c r="B45" s="181" t="s">
        <v>1614</v>
      </c>
      <c r="C45" s="182" t="s">
        <v>398</v>
      </c>
      <c r="D45" s="183">
        <v>40</v>
      </c>
      <c r="E45" s="184">
        <v>40</v>
      </c>
      <c r="F45" s="182" t="s">
        <v>1612</v>
      </c>
      <c r="G45" s="185">
        <v>3059393</v>
      </c>
      <c r="H45" s="186">
        <v>381</v>
      </c>
      <c r="I45" s="182" t="s">
        <v>1610</v>
      </c>
      <c r="J45" s="187" t="s">
        <v>1605</v>
      </c>
      <c r="K45" s="187">
        <v>70</v>
      </c>
      <c r="L45" s="188"/>
      <c r="M45" s="189">
        <v>625305</v>
      </c>
      <c r="N45" s="189"/>
      <c r="O45" s="189">
        <v>0</v>
      </c>
      <c r="P45" s="189"/>
      <c r="Q45" s="189">
        <v>0</v>
      </c>
      <c r="R45" s="189"/>
      <c r="S45" s="189">
        <v>0</v>
      </c>
      <c r="T45" s="189"/>
      <c r="U45" s="189">
        <v>0</v>
      </c>
      <c r="V45" s="189"/>
      <c r="W45" s="189">
        <v>0</v>
      </c>
      <c r="X45" s="189"/>
      <c r="Y45" s="189">
        <v>0</v>
      </c>
      <c r="Z45" s="189"/>
      <c r="AA45" s="186">
        <v>0</v>
      </c>
      <c r="AB45" s="190"/>
      <c r="AC45" s="191"/>
      <c r="AD45" s="190">
        <v>335545</v>
      </c>
      <c r="AE45" s="190"/>
      <c r="AF45" s="190">
        <v>0</v>
      </c>
      <c r="AG45" s="190"/>
      <c r="AH45" s="190">
        <v>0</v>
      </c>
      <c r="AI45" s="190"/>
      <c r="AJ45" s="190">
        <v>0</v>
      </c>
      <c r="AK45" s="190"/>
      <c r="AL45" s="190">
        <v>0</v>
      </c>
      <c r="AM45" s="190"/>
      <c r="AN45" s="190">
        <v>0</v>
      </c>
      <c r="AO45" s="190"/>
      <c r="AP45" s="190">
        <v>0</v>
      </c>
      <c r="AQ45" s="181"/>
      <c r="AR45" s="192"/>
      <c r="AS45" s="193">
        <v>0.53659999999999997</v>
      </c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81"/>
      <c r="BG45" s="181" t="s">
        <v>1746</v>
      </c>
    </row>
    <row r="46" spans="1:59">
      <c r="A46" s="181" t="s">
        <v>1660</v>
      </c>
      <c r="B46" s="181" t="s">
        <v>1614</v>
      </c>
      <c r="C46" s="182" t="s">
        <v>398</v>
      </c>
      <c r="D46" s="183">
        <v>40</v>
      </c>
      <c r="E46" s="184">
        <v>40</v>
      </c>
      <c r="F46" s="182" t="s">
        <v>1612</v>
      </c>
      <c r="G46" s="185">
        <v>3059393</v>
      </c>
      <c r="H46" s="186">
        <v>381</v>
      </c>
      <c r="I46" s="182" t="s">
        <v>1609</v>
      </c>
      <c r="J46" s="187" t="s">
        <v>1602</v>
      </c>
      <c r="K46" s="187">
        <v>48</v>
      </c>
      <c r="L46" s="188"/>
      <c r="M46" s="189">
        <v>0</v>
      </c>
      <c r="N46" s="189"/>
      <c r="O46" s="189">
        <v>0</v>
      </c>
      <c r="P46" s="189"/>
      <c r="Q46" s="189">
        <v>0</v>
      </c>
      <c r="R46" s="189"/>
      <c r="S46" s="189">
        <v>0</v>
      </c>
      <c r="T46" s="189"/>
      <c r="U46" s="189">
        <v>0</v>
      </c>
      <c r="V46" s="189"/>
      <c r="W46" s="189">
        <v>0</v>
      </c>
      <c r="X46" s="189"/>
      <c r="Y46" s="189">
        <v>20355203</v>
      </c>
      <c r="Z46" s="189"/>
      <c r="AA46" s="186">
        <v>0</v>
      </c>
      <c r="AB46" s="190"/>
      <c r="AC46" s="191"/>
      <c r="AD46" s="190">
        <v>0</v>
      </c>
      <c r="AE46" s="190"/>
      <c r="AF46" s="190">
        <v>0</v>
      </c>
      <c r="AG46" s="190"/>
      <c r="AH46" s="190">
        <v>0</v>
      </c>
      <c r="AI46" s="190"/>
      <c r="AJ46" s="190">
        <v>0</v>
      </c>
      <c r="AK46" s="190"/>
      <c r="AL46" s="190">
        <v>0</v>
      </c>
      <c r="AM46" s="190"/>
      <c r="AN46" s="190">
        <v>4232555</v>
      </c>
      <c r="AO46" s="190"/>
      <c r="AP46" s="190">
        <v>0</v>
      </c>
      <c r="AQ46" s="181"/>
      <c r="AR46" s="192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>
        <v>0.2079</v>
      </c>
      <c r="BD46" s="193"/>
      <c r="BE46" s="193"/>
      <c r="BF46" s="181"/>
      <c r="BG46" s="181" t="s">
        <v>1746</v>
      </c>
    </row>
    <row r="47" spans="1:59">
      <c r="A47" s="181" t="s">
        <v>1662</v>
      </c>
      <c r="B47" s="181" t="s">
        <v>1663</v>
      </c>
      <c r="C47" s="182" t="s">
        <v>381</v>
      </c>
      <c r="D47" s="183">
        <v>2004</v>
      </c>
      <c r="E47" s="184">
        <v>20004</v>
      </c>
      <c r="F47" s="182" t="s">
        <v>1612</v>
      </c>
      <c r="G47" s="185">
        <v>935906</v>
      </c>
      <c r="H47" s="186">
        <v>359</v>
      </c>
      <c r="I47" s="182" t="s">
        <v>1609</v>
      </c>
      <c r="J47" s="187" t="s">
        <v>1602</v>
      </c>
      <c r="K47" s="187">
        <v>23</v>
      </c>
      <c r="L47" s="188"/>
      <c r="M47" s="189">
        <v>0</v>
      </c>
      <c r="N47" s="189"/>
      <c r="O47" s="189">
        <v>0</v>
      </c>
      <c r="P47" s="189"/>
      <c r="Q47" s="189">
        <v>0</v>
      </c>
      <c r="R47" s="189"/>
      <c r="S47" s="189">
        <v>0</v>
      </c>
      <c r="T47" s="189"/>
      <c r="U47" s="189">
        <v>0</v>
      </c>
      <c r="V47" s="189"/>
      <c r="W47" s="189">
        <v>0</v>
      </c>
      <c r="X47" s="189"/>
      <c r="Y47" s="189">
        <v>7920559</v>
      </c>
      <c r="Z47" s="189"/>
      <c r="AA47" s="186">
        <v>0</v>
      </c>
      <c r="AB47" s="190"/>
      <c r="AC47" s="191"/>
      <c r="AD47" s="190">
        <v>0</v>
      </c>
      <c r="AE47" s="190"/>
      <c r="AF47" s="190">
        <v>0</v>
      </c>
      <c r="AG47" s="190"/>
      <c r="AH47" s="190">
        <v>0</v>
      </c>
      <c r="AI47" s="190"/>
      <c r="AJ47" s="190">
        <v>0</v>
      </c>
      <c r="AK47" s="190"/>
      <c r="AL47" s="190">
        <v>0</v>
      </c>
      <c r="AM47" s="190"/>
      <c r="AN47" s="190">
        <v>990450</v>
      </c>
      <c r="AO47" s="190"/>
      <c r="AP47" s="190">
        <v>0</v>
      </c>
      <c r="AQ47" s="181"/>
      <c r="AR47" s="192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>
        <v>0.125</v>
      </c>
      <c r="BD47" s="193"/>
      <c r="BE47" s="193"/>
      <c r="BF47" s="181"/>
      <c r="BG47" s="181" t="s">
        <v>1746</v>
      </c>
    </row>
    <row r="48" spans="1:59">
      <c r="A48" s="181" t="s">
        <v>1667</v>
      </c>
      <c r="B48" s="181" t="s">
        <v>1668</v>
      </c>
      <c r="C48" s="182" t="s">
        <v>351</v>
      </c>
      <c r="D48" s="183">
        <v>9019</v>
      </c>
      <c r="E48" s="184">
        <v>90019</v>
      </c>
      <c r="F48" s="182" t="s">
        <v>1612</v>
      </c>
      <c r="G48" s="185">
        <v>1723634</v>
      </c>
      <c r="H48" s="186">
        <v>331</v>
      </c>
      <c r="I48" s="182" t="s">
        <v>1609</v>
      </c>
      <c r="J48" s="187" t="s">
        <v>1602</v>
      </c>
      <c r="K48" s="187">
        <v>69</v>
      </c>
      <c r="L48" s="188"/>
      <c r="M48" s="189">
        <v>0</v>
      </c>
      <c r="N48" s="189"/>
      <c r="O48" s="189">
        <v>0</v>
      </c>
      <c r="P48" s="189"/>
      <c r="Q48" s="189">
        <v>0</v>
      </c>
      <c r="R48" s="189"/>
      <c r="S48" s="189">
        <v>0</v>
      </c>
      <c r="T48" s="189"/>
      <c r="U48" s="189">
        <v>0</v>
      </c>
      <c r="V48" s="189"/>
      <c r="W48" s="189">
        <v>0</v>
      </c>
      <c r="X48" s="189"/>
      <c r="Y48" s="189">
        <v>30089655</v>
      </c>
      <c r="Z48" s="189"/>
      <c r="AA48" s="186">
        <v>0</v>
      </c>
      <c r="AB48" s="190"/>
      <c r="AC48" s="191"/>
      <c r="AD48" s="190">
        <v>0</v>
      </c>
      <c r="AE48" s="190"/>
      <c r="AF48" s="190">
        <v>0</v>
      </c>
      <c r="AG48" s="190"/>
      <c r="AH48" s="190">
        <v>0</v>
      </c>
      <c r="AI48" s="190"/>
      <c r="AJ48" s="190">
        <v>0</v>
      </c>
      <c r="AK48" s="190"/>
      <c r="AL48" s="190">
        <v>0</v>
      </c>
      <c r="AM48" s="190"/>
      <c r="AN48" s="190">
        <v>3768892</v>
      </c>
      <c r="AO48" s="190"/>
      <c r="AP48" s="190">
        <v>0</v>
      </c>
      <c r="AQ48" s="181"/>
      <c r="AR48" s="192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>
        <v>0.12529999999999999</v>
      </c>
      <c r="BD48" s="193"/>
      <c r="BE48" s="193"/>
      <c r="BF48" s="181"/>
      <c r="BG48" s="181" t="s">
        <v>1746</v>
      </c>
    </row>
    <row r="49" spans="1:59">
      <c r="A49" s="181" t="s">
        <v>1664</v>
      </c>
      <c r="B49" s="181" t="s">
        <v>1665</v>
      </c>
      <c r="C49" s="182" t="s">
        <v>390</v>
      </c>
      <c r="D49" s="183">
        <v>6007</v>
      </c>
      <c r="E49" s="184">
        <v>60007</v>
      </c>
      <c r="F49" s="182" t="s">
        <v>1612</v>
      </c>
      <c r="G49" s="185">
        <v>5121892</v>
      </c>
      <c r="H49" s="186">
        <v>312</v>
      </c>
      <c r="I49" s="182" t="s">
        <v>1610</v>
      </c>
      <c r="J49" s="187" t="s">
        <v>1605</v>
      </c>
      <c r="K49" s="187">
        <v>20</v>
      </c>
      <c r="L49" s="188"/>
      <c r="M49" s="189">
        <v>442412</v>
      </c>
      <c r="N49" s="189"/>
      <c r="O49" s="189">
        <v>0</v>
      </c>
      <c r="P49" s="189"/>
      <c r="Q49" s="189">
        <v>0</v>
      </c>
      <c r="R49" s="189"/>
      <c r="S49" s="189">
        <v>0</v>
      </c>
      <c r="T49" s="189"/>
      <c r="U49" s="189">
        <v>0</v>
      </c>
      <c r="V49" s="189"/>
      <c r="W49" s="189">
        <v>0</v>
      </c>
      <c r="X49" s="189"/>
      <c r="Y49" s="189">
        <v>0</v>
      </c>
      <c r="Z49" s="189"/>
      <c r="AA49" s="186">
        <v>0</v>
      </c>
      <c r="AB49" s="190"/>
      <c r="AC49" s="191"/>
      <c r="AD49" s="190">
        <v>2349673</v>
      </c>
      <c r="AE49" s="190"/>
      <c r="AF49" s="190">
        <v>0</v>
      </c>
      <c r="AG49" s="190"/>
      <c r="AH49" s="190">
        <v>0</v>
      </c>
      <c r="AI49" s="190"/>
      <c r="AJ49" s="190">
        <v>0</v>
      </c>
      <c r="AK49" s="190"/>
      <c r="AL49" s="190">
        <v>0</v>
      </c>
      <c r="AM49" s="190"/>
      <c r="AN49" s="190">
        <v>0</v>
      </c>
      <c r="AO49" s="190"/>
      <c r="AP49" s="190">
        <v>0</v>
      </c>
      <c r="AQ49" s="181"/>
      <c r="AR49" s="192"/>
      <c r="AS49" s="193">
        <v>5.3110999999999997</v>
      </c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81"/>
      <c r="BG49" s="181" t="s">
        <v>1746</v>
      </c>
    </row>
    <row r="50" spans="1:59">
      <c r="A50" s="181" t="s">
        <v>1666</v>
      </c>
      <c r="B50" s="181" t="s">
        <v>89</v>
      </c>
      <c r="C50" s="182" t="s">
        <v>378</v>
      </c>
      <c r="D50" s="183">
        <v>2098</v>
      </c>
      <c r="E50" s="184">
        <v>20098</v>
      </c>
      <c r="F50" s="182" t="s">
        <v>1612</v>
      </c>
      <c r="G50" s="185">
        <v>18351295</v>
      </c>
      <c r="H50" s="186">
        <v>310</v>
      </c>
      <c r="I50" s="182" t="s">
        <v>1604</v>
      </c>
      <c r="J50" s="187" t="s">
        <v>1602</v>
      </c>
      <c r="K50" s="187">
        <v>304</v>
      </c>
      <c r="L50" s="188"/>
      <c r="M50" s="189">
        <v>0</v>
      </c>
      <c r="N50" s="189"/>
      <c r="O50" s="189">
        <v>0</v>
      </c>
      <c r="P50" s="189"/>
      <c r="Q50" s="189">
        <v>0</v>
      </c>
      <c r="R50" s="189"/>
      <c r="S50" s="189">
        <v>0</v>
      </c>
      <c r="T50" s="189"/>
      <c r="U50" s="189">
        <v>0</v>
      </c>
      <c r="V50" s="189"/>
      <c r="W50" s="189">
        <v>0</v>
      </c>
      <c r="X50" s="189"/>
      <c r="Y50" s="189">
        <v>93567629</v>
      </c>
      <c r="Z50" s="189"/>
      <c r="AA50" s="186">
        <v>0</v>
      </c>
      <c r="AB50" s="190"/>
      <c r="AC50" s="191"/>
      <c r="AD50" s="190">
        <v>0</v>
      </c>
      <c r="AE50" s="190"/>
      <c r="AF50" s="190">
        <v>0</v>
      </c>
      <c r="AG50" s="190"/>
      <c r="AH50" s="190">
        <v>0</v>
      </c>
      <c r="AI50" s="190"/>
      <c r="AJ50" s="190">
        <v>0</v>
      </c>
      <c r="AK50" s="190"/>
      <c r="AL50" s="190">
        <v>0</v>
      </c>
      <c r="AM50" s="190"/>
      <c r="AN50" s="190">
        <v>13256385</v>
      </c>
      <c r="AO50" s="190"/>
      <c r="AP50" s="190">
        <v>0</v>
      </c>
      <c r="AQ50" s="181"/>
      <c r="AR50" s="192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>
        <v>0.14169999999999999</v>
      </c>
      <c r="BD50" s="193"/>
      <c r="BE50" s="193"/>
      <c r="BF50" s="181"/>
      <c r="BG50" s="181" t="s">
        <v>1746</v>
      </c>
    </row>
    <row r="51" spans="1:59">
      <c r="A51" s="181" t="s">
        <v>1670</v>
      </c>
      <c r="B51" s="181" t="s">
        <v>1671</v>
      </c>
      <c r="C51" s="182" t="s">
        <v>351</v>
      </c>
      <c r="D51" s="183">
        <v>9030</v>
      </c>
      <c r="E51" s="184">
        <v>90030</v>
      </c>
      <c r="F51" s="182" t="s">
        <v>1612</v>
      </c>
      <c r="G51" s="185">
        <v>2956746</v>
      </c>
      <c r="H51" s="186">
        <v>205</v>
      </c>
      <c r="I51" s="182" t="s">
        <v>1610</v>
      </c>
      <c r="J51" s="187" t="s">
        <v>1605</v>
      </c>
      <c r="K51" s="187">
        <v>24</v>
      </c>
      <c r="L51" s="188"/>
      <c r="M51" s="189">
        <v>766773</v>
      </c>
      <c r="N51" s="189"/>
      <c r="O51" s="189">
        <v>0</v>
      </c>
      <c r="P51" s="189"/>
      <c r="Q51" s="189">
        <v>0</v>
      </c>
      <c r="R51" s="189"/>
      <c r="S51" s="189">
        <v>0</v>
      </c>
      <c r="T51" s="189"/>
      <c r="U51" s="189">
        <v>0</v>
      </c>
      <c r="V51" s="189"/>
      <c r="W51" s="189">
        <v>0</v>
      </c>
      <c r="X51" s="189"/>
      <c r="Y51" s="189">
        <v>0</v>
      </c>
      <c r="Z51" s="189"/>
      <c r="AA51" s="186">
        <v>0</v>
      </c>
      <c r="AB51" s="190"/>
      <c r="AC51" s="191"/>
      <c r="AD51" s="190">
        <v>253519</v>
      </c>
      <c r="AE51" s="190"/>
      <c r="AF51" s="190">
        <v>0</v>
      </c>
      <c r="AG51" s="190"/>
      <c r="AH51" s="190">
        <v>0</v>
      </c>
      <c r="AI51" s="190"/>
      <c r="AJ51" s="190">
        <v>0</v>
      </c>
      <c r="AK51" s="190"/>
      <c r="AL51" s="190">
        <v>0</v>
      </c>
      <c r="AM51" s="190"/>
      <c r="AN51" s="190">
        <v>0</v>
      </c>
      <c r="AO51" s="190"/>
      <c r="AP51" s="190">
        <v>0</v>
      </c>
      <c r="AQ51" s="181"/>
      <c r="AR51" s="192"/>
      <c r="AS51" s="193">
        <v>0.3306</v>
      </c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81"/>
      <c r="BG51" s="181" t="s">
        <v>1746</v>
      </c>
    </row>
    <row r="52" spans="1:59">
      <c r="A52" s="181" t="s">
        <v>1672</v>
      </c>
      <c r="B52" s="181" t="s">
        <v>1611</v>
      </c>
      <c r="C52" s="182" t="s">
        <v>351</v>
      </c>
      <c r="D52" s="183">
        <v>9151</v>
      </c>
      <c r="E52" s="184">
        <v>90151</v>
      </c>
      <c r="F52" s="182" t="s">
        <v>1612</v>
      </c>
      <c r="G52" s="185">
        <v>12150996</v>
      </c>
      <c r="H52" s="186">
        <v>195</v>
      </c>
      <c r="I52" s="182" t="s">
        <v>1610</v>
      </c>
      <c r="J52" s="187" t="s">
        <v>1605</v>
      </c>
      <c r="K52" s="187">
        <v>195</v>
      </c>
      <c r="L52" s="188"/>
      <c r="M52" s="189">
        <v>8293151</v>
      </c>
      <c r="N52" s="189"/>
      <c r="O52" s="189">
        <v>0</v>
      </c>
      <c r="P52" s="189"/>
      <c r="Q52" s="189">
        <v>0</v>
      </c>
      <c r="R52" s="189"/>
      <c r="S52" s="189">
        <v>0</v>
      </c>
      <c r="T52" s="189"/>
      <c r="U52" s="189">
        <v>0</v>
      </c>
      <c r="V52" s="189"/>
      <c r="W52" s="189">
        <v>0</v>
      </c>
      <c r="X52" s="189"/>
      <c r="Y52" s="189">
        <v>0</v>
      </c>
      <c r="Z52" s="189"/>
      <c r="AA52" s="186">
        <v>0</v>
      </c>
      <c r="AB52" s="190"/>
      <c r="AC52" s="191"/>
      <c r="AD52" s="190">
        <v>2539026</v>
      </c>
      <c r="AE52" s="190"/>
      <c r="AF52" s="190">
        <v>0</v>
      </c>
      <c r="AG52" s="190"/>
      <c r="AH52" s="190">
        <v>0</v>
      </c>
      <c r="AI52" s="190"/>
      <c r="AJ52" s="190">
        <v>0</v>
      </c>
      <c r="AK52" s="190"/>
      <c r="AL52" s="190">
        <v>0</v>
      </c>
      <c r="AM52" s="190"/>
      <c r="AN52" s="190">
        <v>0</v>
      </c>
      <c r="AO52" s="190"/>
      <c r="AP52" s="190">
        <v>0</v>
      </c>
      <c r="AQ52" s="181"/>
      <c r="AR52" s="192"/>
      <c r="AS52" s="193">
        <v>0.30620000000000003</v>
      </c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81"/>
      <c r="BG52" s="181" t="s">
        <v>1746</v>
      </c>
    </row>
    <row r="53" spans="1:59">
      <c r="A53" s="181" t="s">
        <v>1675</v>
      </c>
      <c r="B53" s="181" t="s">
        <v>1661</v>
      </c>
      <c r="C53" s="182" t="s">
        <v>351</v>
      </c>
      <c r="D53" s="183">
        <v>9134</v>
      </c>
      <c r="E53" s="184">
        <v>90134</v>
      </c>
      <c r="F53" s="182" t="s">
        <v>1612</v>
      </c>
      <c r="G53" s="185">
        <v>3281212</v>
      </c>
      <c r="H53" s="186">
        <v>141</v>
      </c>
      <c r="I53" s="182" t="s">
        <v>1610</v>
      </c>
      <c r="J53" s="187" t="s">
        <v>1605</v>
      </c>
      <c r="K53" s="187">
        <v>111</v>
      </c>
      <c r="L53" s="188"/>
      <c r="M53" s="189">
        <v>3805923</v>
      </c>
      <c r="N53" s="189"/>
      <c r="O53" s="189">
        <v>0</v>
      </c>
      <c r="P53" s="189"/>
      <c r="Q53" s="189">
        <v>0</v>
      </c>
      <c r="R53" s="189"/>
      <c r="S53" s="189">
        <v>0</v>
      </c>
      <c r="T53" s="189"/>
      <c r="U53" s="189">
        <v>0</v>
      </c>
      <c r="V53" s="189"/>
      <c r="W53" s="189">
        <v>0</v>
      </c>
      <c r="X53" s="189"/>
      <c r="Y53" s="189">
        <v>0</v>
      </c>
      <c r="Z53" s="189"/>
      <c r="AA53" s="186">
        <v>0</v>
      </c>
      <c r="AB53" s="190"/>
      <c r="AC53" s="191"/>
      <c r="AD53" s="190">
        <v>1179829</v>
      </c>
      <c r="AE53" s="190"/>
      <c r="AF53" s="190">
        <v>0</v>
      </c>
      <c r="AG53" s="190"/>
      <c r="AH53" s="190">
        <v>0</v>
      </c>
      <c r="AI53" s="190"/>
      <c r="AJ53" s="190">
        <v>0</v>
      </c>
      <c r="AK53" s="190"/>
      <c r="AL53" s="190">
        <v>0</v>
      </c>
      <c r="AM53" s="190"/>
      <c r="AN53" s="190">
        <v>0</v>
      </c>
      <c r="AO53" s="190"/>
      <c r="AP53" s="190">
        <v>0</v>
      </c>
      <c r="AQ53" s="181"/>
      <c r="AR53" s="192"/>
      <c r="AS53" s="193">
        <v>0.31</v>
      </c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81"/>
      <c r="BG53" s="181" t="s">
        <v>1746</v>
      </c>
    </row>
    <row r="54" spans="1:59">
      <c r="A54" s="181" t="s">
        <v>1679</v>
      </c>
      <c r="B54" s="181" t="s">
        <v>1674</v>
      </c>
      <c r="C54" s="182" t="s">
        <v>396</v>
      </c>
      <c r="D54" s="183">
        <v>3073</v>
      </c>
      <c r="E54" s="184">
        <v>30073</v>
      </c>
      <c r="F54" s="182" t="s">
        <v>1612</v>
      </c>
      <c r="G54" s="185">
        <v>4586770</v>
      </c>
      <c r="H54" s="186">
        <v>99</v>
      </c>
      <c r="I54" s="182" t="s">
        <v>1610</v>
      </c>
      <c r="J54" s="187" t="s">
        <v>1605</v>
      </c>
      <c r="K54" s="187">
        <v>99</v>
      </c>
      <c r="L54" s="188"/>
      <c r="M54" s="189">
        <v>1430638</v>
      </c>
      <c r="N54" s="189"/>
      <c r="O54" s="189">
        <v>0</v>
      </c>
      <c r="P54" s="189"/>
      <c r="Q54" s="189">
        <v>0</v>
      </c>
      <c r="R54" s="189"/>
      <c r="S54" s="189">
        <v>0</v>
      </c>
      <c r="T54" s="189"/>
      <c r="U54" s="189">
        <v>0</v>
      </c>
      <c r="V54" s="189"/>
      <c r="W54" s="189">
        <v>0</v>
      </c>
      <c r="X54" s="189"/>
      <c r="Y54" s="189">
        <v>0</v>
      </c>
      <c r="Z54" s="189"/>
      <c r="AA54" s="186">
        <v>0</v>
      </c>
      <c r="AB54" s="190"/>
      <c r="AC54" s="191"/>
      <c r="AD54" s="190">
        <v>333956</v>
      </c>
      <c r="AE54" s="190"/>
      <c r="AF54" s="190">
        <v>0</v>
      </c>
      <c r="AG54" s="190"/>
      <c r="AH54" s="190">
        <v>0</v>
      </c>
      <c r="AI54" s="190"/>
      <c r="AJ54" s="190">
        <v>0</v>
      </c>
      <c r="AK54" s="190"/>
      <c r="AL54" s="190">
        <v>0</v>
      </c>
      <c r="AM54" s="190"/>
      <c r="AN54" s="190">
        <v>0</v>
      </c>
      <c r="AO54" s="190"/>
      <c r="AP54" s="190">
        <v>0</v>
      </c>
      <c r="AQ54" s="181"/>
      <c r="AR54" s="192"/>
      <c r="AS54" s="193">
        <v>0.2334</v>
      </c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81"/>
      <c r="BG54" s="181" t="s">
        <v>1746</v>
      </c>
    </row>
    <row r="55" spans="1:59">
      <c r="A55" s="181" t="s">
        <v>1680</v>
      </c>
      <c r="B55" s="181" t="s">
        <v>1681</v>
      </c>
      <c r="C55" s="182" t="s">
        <v>378</v>
      </c>
      <c r="D55" s="183">
        <v>2075</v>
      </c>
      <c r="E55" s="184">
        <v>20075</v>
      </c>
      <c r="F55" s="182" t="s">
        <v>1612</v>
      </c>
      <c r="G55" s="185">
        <v>5441567</v>
      </c>
      <c r="H55" s="186">
        <v>78</v>
      </c>
      <c r="I55" s="182" t="s">
        <v>1604</v>
      </c>
      <c r="J55" s="187" t="s">
        <v>1602</v>
      </c>
      <c r="K55" s="187">
        <v>78</v>
      </c>
      <c r="L55" s="188"/>
      <c r="M55" s="189">
        <v>0</v>
      </c>
      <c r="N55" s="189"/>
      <c r="O55" s="189">
        <v>0</v>
      </c>
      <c r="P55" s="189"/>
      <c r="Q55" s="189">
        <v>0</v>
      </c>
      <c r="R55" s="189"/>
      <c r="S55" s="189">
        <v>0</v>
      </c>
      <c r="T55" s="189"/>
      <c r="U55" s="189">
        <v>0</v>
      </c>
      <c r="V55" s="189"/>
      <c r="W55" s="189">
        <v>0</v>
      </c>
      <c r="X55" s="189"/>
      <c r="Y55" s="189">
        <v>32179173</v>
      </c>
      <c r="Z55" s="189"/>
      <c r="AA55" s="186">
        <v>0</v>
      </c>
      <c r="AB55" s="190"/>
      <c r="AC55" s="191"/>
      <c r="AD55" s="190">
        <v>0</v>
      </c>
      <c r="AE55" s="190"/>
      <c r="AF55" s="190">
        <v>0</v>
      </c>
      <c r="AG55" s="190"/>
      <c r="AH55" s="190">
        <v>0</v>
      </c>
      <c r="AI55" s="190"/>
      <c r="AJ55" s="190">
        <v>0</v>
      </c>
      <c r="AK55" s="190"/>
      <c r="AL55" s="190">
        <v>0</v>
      </c>
      <c r="AM55" s="190"/>
      <c r="AN55" s="190">
        <v>4661254</v>
      </c>
      <c r="AO55" s="190"/>
      <c r="AP55" s="190">
        <v>0</v>
      </c>
      <c r="AQ55" s="181"/>
      <c r="AR55" s="192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>
        <v>0.1449</v>
      </c>
      <c r="BD55" s="193"/>
      <c r="BE55" s="193"/>
      <c r="BF55" s="181"/>
      <c r="BG55" s="181" t="s">
        <v>1746</v>
      </c>
    </row>
    <row r="56" spans="1:59">
      <c r="A56" s="181" t="s">
        <v>1683</v>
      </c>
      <c r="B56" s="181" t="s">
        <v>1684</v>
      </c>
      <c r="C56" s="182" t="s">
        <v>362</v>
      </c>
      <c r="D56" s="183">
        <v>5104</v>
      </c>
      <c r="E56" s="184">
        <v>50104</v>
      </c>
      <c r="F56" s="182" t="s">
        <v>1612</v>
      </c>
      <c r="G56" s="185">
        <v>8608208</v>
      </c>
      <c r="H56" s="186">
        <v>70</v>
      </c>
      <c r="I56" s="182" t="s">
        <v>1610</v>
      </c>
      <c r="J56" s="187" t="s">
        <v>1602</v>
      </c>
      <c r="K56" s="187">
        <v>70</v>
      </c>
      <c r="L56" s="188"/>
      <c r="M56" s="189">
        <v>0</v>
      </c>
      <c r="N56" s="189"/>
      <c r="O56" s="189">
        <v>0</v>
      </c>
      <c r="P56" s="189"/>
      <c r="Q56" s="189">
        <v>0</v>
      </c>
      <c r="R56" s="189"/>
      <c r="S56" s="189">
        <v>0</v>
      </c>
      <c r="T56" s="189"/>
      <c r="U56" s="189">
        <v>0</v>
      </c>
      <c r="V56" s="189"/>
      <c r="W56" s="189">
        <v>0</v>
      </c>
      <c r="X56" s="189"/>
      <c r="Y56" s="189">
        <v>18158000</v>
      </c>
      <c r="Z56" s="189"/>
      <c r="AA56" s="186">
        <v>0</v>
      </c>
      <c r="AB56" s="190"/>
      <c r="AC56" s="191"/>
      <c r="AD56" s="190">
        <v>0</v>
      </c>
      <c r="AE56" s="190"/>
      <c r="AF56" s="190">
        <v>0</v>
      </c>
      <c r="AG56" s="190"/>
      <c r="AH56" s="190">
        <v>0</v>
      </c>
      <c r="AI56" s="190"/>
      <c r="AJ56" s="190">
        <v>0</v>
      </c>
      <c r="AK56" s="190"/>
      <c r="AL56" s="190">
        <v>0</v>
      </c>
      <c r="AM56" s="190"/>
      <c r="AN56" s="190">
        <v>3510093</v>
      </c>
      <c r="AO56" s="190"/>
      <c r="AP56" s="190">
        <v>0</v>
      </c>
      <c r="AQ56" s="181"/>
      <c r="AR56" s="192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>
        <v>0.1933</v>
      </c>
      <c r="BD56" s="193"/>
      <c r="BE56" s="193"/>
      <c r="BF56" s="181"/>
      <c r="BG56" s="181" t="s">
        <v>1746</v>
      </c>
    </row>
    <row r="57" spans="1:59">
      <c r="A57" s="181" t="s">
        <v>1756</v>
      </c>
      <c r="B57" s="181" t="s">
        <v>1682</v>
      </c>
      <c r="C57" s="182" t="s">
        <v>356</v>
      </c>
      <c r="D57" s="183">
        <v>4077</v>
      </c>
      <c r="E57" s="184">
        <v>40077</v>
      </c>
      <c r="F57" s="182" t="s">
        <v>1612</v>
      </c>
      <c r="G57" s="185">
        <v>5502379</v>
      </c>
      <c r="H57" s="186">
        <v>65</v>
      </c>
      <c r="I57" s="182" t="s">
        <v>1610</v>
      </c>
      <c r="J57" s="187" t="s">
        <v>1605</v>
      </c>
      <c r="K57" s="187">
        <v>43</v>
      </c>
      <c r="L57" s="188"/>
      <c r="M57" s="189">
        <v>2838234</v>
      </c>
      <c r="N57" s="189"/>
      <c r="O57" s="189">
        <v>0</v>
      </c>
      <c r="P57" s="189"/>
      <c r="Q57" s="189">
        <v>0</v>
      </c>
      <c r="R57" s="189"/>
      <c r="S57" s="189">
        <v>0</v>
      </c>
      <c r="T57" s="189"/>
      <c r="U57" s="189">
        <v>0</v>
      </c>
      <c r="V57" s="189"/>
      <c r="W57" s="189">
        <v>0</v>
      </c>
      <c r="X57" s="189"/>
      <c r="Y57" s="189">
        <v>0</v>
      </c>
      <c r="Z57" s="189"/>
      <c r="AA57" s="186">
        <v>0</v>
      </c>
      <c r="AB57" s="190"/>
      <c r="AC57" s="191"/>
      <c r="AD57" s="190">
        <v>1018267</v>
      </c>
      <c r="AE57" s="190"/>
      <c r="AF57" s="190">
        <v>0</v>
      </c>
      <c r="AG57" s="190"/>
      <c r="AH57" s="190">
        <v>0</v>
      </c>
      <c r="AI57" s="190"/>
      <c r="AJ57" s="190">
        <v>0</v>
      </c>
      <c r="AK57" s="190"/>
      <c r="AL57" s="190">
        <v>0</v>
      </c>
      <c r="AM57" s="190"/>
      <c r="AN57" s="190">
        <v>0</v>
      </c>
      <c r="AO57" s="190"/>
      <c r="AP57" s="190">
        <v>0</v>
      </c>
      <c r="AQ57" s="181"/>
      <c r="AR57" s="192"/>
      <c r="AS57" s="193">
        <v>0.35880000000000001</v>
      </c>
      <c r="AT57" s="193"/>
      <c r="AU57" s="193"/>
      <c r="AV57" s="193"/>
      <c r="AW57" s="193"/>
      <c r="AX57" s="193"/>
      <c r="AY57" s="193"/>
      <c r="AZ57" s="193"/>
      <c r="BA57" s="193"/>
      <c r="BB57" s="193"/>
      <c r="BC57" s="193"/>
      <c r="BD57" s="193"/>
      <c r="BE57" s="193"/>
      <c r="BF57" s="181"/>
      <c r="BG57" s="181" t="s">
        <v>1746</v>
      </c>
    </row>
    <row r="58" spans="1:59">
      <c r="A58" s="181" t="s">
        <v>1685</v>
      </c>
      <c r="B58" s="181" t="s">
        <v>1673</v>
      </c>
      <c r="C58" s="182" t="s">
        <v>379</v>
      </c>
      <c r="D58" s="183">
        <v>6111</v>
      </c>
      <c r="E58" s="184">
        <v>60111</v>
      </c>
      <c r="F58" s="182" t="s">
        <v>1612</v>
      </c>
      <c r="G58" s="185">
        <v>741318</v>
      </c>
      <c r="H58" s="186">
        <v>58</v>
      </c>
      <c r="I58" s="182" t="s">
        <v>1610</v>
      </c>
      <c r="J58" s="187" t="s">
        <v>1605</v>
      </c>
      <c r="K58" s="187">
        <v>25</v>
      </c>
      <c r="L58" s="188"/>
      <c r="M58" s="189">
        <v>0</v>
      </c>
      <c r="N58" s="189"/>
      <c r="O58" s="189">
        <v>0</v>
      </c>
      <c r="P58" s="189"/>
      <c r="Q58" s="189">
        <v>0</v>
      </c>
      <c r="R58" s="189"/>
      <c r="S58" s="189">
        <v>0</v>
      </c>
      <c r="T58" s="189"/>
      <c r="U58" s="189">
        <v>792273</v>
      </c>
      <c r="V58" s="189"/>
      <c r="W58" s="189">
        <v>0</v>
      </c>
      <c r="X58" s="189"/>
      <c r="Y58" s="189">
        <v>0</v>
      </c>
      <c r="Z58" s="189"/>
      <c r="AA58" s="186">
        <v>0</v>
      </c>
      <c r="AB58" s="190"/>
      <c r="AC58" s="191"/>
      <c r="AD58" s="190">
        <v>350453</v>
      </c>
      <c r="AE58" s="190"/>
      <c r="AF58" s="190">
        <v>0</v>
      </c>
      <c r="AG58" s="190"/>
      <c r="AH58" s="190">
        <v>0</v>
      </c>
      <c r="AI58" s="190"/>
      <c r="AJ58" s="190">
        <v>0</v>
      </c>
      <c r="AK58" s="190"/>
      <c r="AL58" s="190">
        <v>0</v>
      </c>
      <c r="AM58" s="190"/>
      <c r="AN58" s="190">
        <v>0</v>
      </c>
      <c r="AO58" s="190"/>
      <c r="AP58" s="190">
        <v>0</v>
      </c>
      <c r="AQ58" s="181"/>
      <c r="AR58" s="192"/>
      <c r="AS58" s="193"/>
      <c r="AT58" s="193"/>
      <c r="AU58" s="193"/>
      <c r="AV58" s="193"/>
      <c r="AW58" s="193"/>
      <c r="AX58" s="193"/>
      <c r="AY58" s="193"/>
      <c r="AZ58" s="193"/>
      <c r="BA58" s="193"/>
      <c r="BB58" s="193"/>
      <c r="BC58" s="193"/>
      <c r="BD58" s="193"/>
      <c r="BE58" s="193"/>
      <c r="BF58" s="181"/>
      <c r="BG58" s="181" t="s">
        <v>1746</v>
      </c>
    </row>
    <row r="59" spans="1:59">
      <c r="A59" s="181" t="s">
        <v>1687</v>
      </c>
      <c r="B59" s="181" t="s">
        <v>1629</v>
      </c>
      <c r="C59" s="182" t="s">
        <v>1550</v>
      </c>
      <c r="D59" s="183">
        <v>4094</v>
      </c>
      <c r="E59" s="184">
        <v>40094</v>
      </c>
      <c r="F59" s="182" t="s">
        <v>1626</v>
      </c>
      <c r="G59" s="185">
        <v>2148346</v>
      </c>
      <c r="H59" s="186">
        <v>54</v>
      </c>
      <c r="I59" s="182" t="s">
        <v>1604</v>
      </c>
      <c r="J59" s="187" t="s">
        <v>1605</v>
      </c>
      <c r="K59" s="187">
        <v>32</v>
      </c>
      <c r="L59" s="188"/>
      <c r="M59" s="189">
        <v>0</v>
      </c>
      <c r="N59" s="189"/>
      <c r="O59" s="189">
        <v>0</v>
      </c>
      <c r="P59" s="189"/>
      <c r="Q59" s="189">
        <v>0</v>
      </c>
      <c r="R59" s="189"/>
      <c r="S59" s="189">
        <v>0</v>
      </c>
      <c r="T59" s="189"/>
      <c r="U59" s="189">
        <v>0</v>
      </c>
      <c r="V59" s="189"/>
      <c r="W59" s="189">
        <v>0</v>
      </c>
      <c r="X59" s="189"/>
      <c r="Y59" s="189">
        <v>4009792</v>
      </c>
      <c r="Z59" s="189"/>
      <c r="AA59" s="186">
        <v>0</v>
      </c>
      <c r="AB59" s="190"/>
      <c r="AC59" s="191"/>
      <c r="AD59" s="190">
        <v>0</v>
      </c>
      <c r="AE59" s="190"/>
      <c r="AF59" s="190">
        <v>0</v>
      </c>
      <c r="AG59" s="190"/>
      <c r="AH59" s="190">
        <v>0</v>
      </c>
      <c r="AI59" s="190"/>
      <c r="AJ59" s="190">
        <v>0</v>
      </c>
      <c r="AK59" s="190"/>
      <c r="AL59" s="190">
        <v>0</v>
      </c>
      <c r="AM59" s="190"/>
      <c r="AN59" s="190">
        <v>1432878</v>
      </c>
      <c r="AO59" s="190"/>
      <c r="AP59" s="190">
        <v>0</v>
      </c>
      <c r="AQ59" s="181"/>
      <c r="AR59" s="192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>
        <v>0.35730000000000001</v>
      </c>
      <c r="BD59" s="193"/>
      <c r="BE59" s="193"/>
      <c r="BF59" s="181"/>
      <c r="BG59" s="181" t="s">
        <v>1746</v>
      </c>
    </row>
    <row r="60" spans="1:59">
      <c r="A60" s="181" t="s">
        <v>1686</v>
      </c>
      <c r="B60" s="181" t="s">
        <v>1669</v>
      </c>
      <c r="C60" s="182" t="s">
        <v>389</v>
      </c>
      <c r="D60" s="183">
        <v>4159</v>
      </c>
      <c r="E60" s="184">
        <v>40159</v>
      </c>
      <c r="F60" s="182" t="s">
        <v>1612</v>
      </c>
      <c r="G60" s="185">
        <v>969587</v>
      </c>
      <c r="H60" s="186">
        <v>46</v>
      </c>
      <c r="I60" s="182" t="s">
        <v>1610</v>
      </c>
      <c r="J60" s="187" t="s">
        <v>1605</v>
      </c>
      <c r="K60" s="187">
        <v>8</v>
      </c>
      <c r="L60" s="188"/>
      <c r="M60" s="189">
        <v>195054</v>
      </c>
      <c r="N60" s="189"/>
      <c r="O60" s="189">
        <v>0</v>
      </c>
      <c r="P60" s="189"/>
      <c r="Q60" s="189">
        <v>0</v>
      </c>
      <c r="R60" s="189"/>
      <c r="S60" s="189">
        <v>0</v>
      </c>
      <c r="T60" s="189"/>
      <c r="U60" s="189">
        <v>0</v>
      </c>
      <c r="V60" s="189"/>
      <c r="W60" s="189">
        <v>0</v>
      </c>
      <c r="X60" s="189"/>
      <c r="Y60" s="189">
        <v>0</v>
      </c>
      <c r="Z60" s="189"/>
      <c r="AA60" s="186">
        <v>0</v>
      </c>
      <c r="AB60" s="190"/>
      <c r="AC60" s="191"/>
      <c r="AD60" s="190">
        <v>71832</v>
      </c>
      <c r="AE60" s="190"/>
      <c r="AF60" s="190">
        <v>0</v>
      </c>
      <c r="AG60" s="190"/>
      <c r="AH60" s="190">
        <v>0</v>
      </c>
      <c r="AI60" s="190"/>
      <c r="AJ60" s="190">
        <v>0</v>
      </c>
      <c r="AK60" s="190"/>
      <c r="AL60" s="190">
        <v>0</v>
      </c>
      <c r="AM60" s="190"/>
      <c r="AN60" s="190">
        <v>0</v>
      </c>
      <c r="AO60" s="190"/>
      <c r="AP60" s="190">
        <v>0</v>
      </c>
      <c r="AQ60" s="181"/>
      <c r="AR60" s="192"/>
      <c r="AS60" s="193">
        <v>0.36830000000000002</v>
      </c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81"/>
      <c r="BG60" s="181" t="s">
        <v>1746</v>
      </c>
    </row>
    <row r="61" spans="1:59">
      <c r="A61" s="181" t="s">
        <v>1757</v>
      </c>
      <c r="B61" s="181" t="s">
        <v>1690</v>
      </c>
      <c r="C61" s="182" t="s">
        <v>381</v>
      </c>
      <c r="D61" s="183">
        <v>2099</v>
      </c>
      <c r="E61" s="184">
        <v>20099</v>
      </c>
      <c r="F61" s="182" t="s">
        <v>1600</v>
      </c>
      <c r="G61" s="185">
        <v>18351295</v>
      </c>
      <c r="H61" s="186">
        <v>44</v>
      </c>
      <c r="I61" s="182" t="s">
        <v>1604</v>
      </c>
      <c r="J61" s="187" t="s">
        <v>1602</v>
      </c>
      <c r="K61" s="187">
        <v>44</v>
      </c>
      <c r="L61" s="188"/>
      <c r="M61" s="189">
        <v>0</v>
      </c>
      <c r="N61" s="189"/>
      <c r="O61" s="189">
        <v>0</v>
      </c>
      <c r="P61" s="189"/>
      <c r="Q61" s="189">
        <v>0</v>
      </c>
      <c r="R61" s="189"/>
      <c r="S61" s="189">
        <v>0</v>
      </c>
      <c r="T61" s="189"/>
      <c r="U61" s="189">
        <v>0</v>
      </c>
      <c r="V61" s="189"/>
      <c r="W61" s="189">
        <v>0</v>
      </c>
      <c r="X61" s="189"/>
      <c r="Y61" s="189">
        <v>27982542</v>
      </c>
      <c r="Z61" s="189"/>
      <c r="AA61" s="186">
        <v>0</v>
      </c>
      <c r="AB61" s="190"/>
      <c r="AC61" s="191"/>
      <c r="AD61" s="190">
        <v>0</v>
      </c>
      <c r="AE61" s="190"/>
      <c r="AF61" s="190">
        <v>0</v>
      </c>
      <c r="AG61" s="190"/>
      <c r="AH61" s="190">
        <v>0</v>
      </c>
      <c r="AI61" s="190"/>
      <c r="AJ61" s="190">
        <v>0</v>
      </c>
      <c r="AK61" s="190"/>
      <c r="AL61" s="190">
        <v>0</v>
      </c>
      <c r="AM61" s="190"/>
      <c r="AN61" s="190">
        <v>2267541</v>
      </c>
      <c r="AO61" s="190"/>
      <c r="AP61" s="190">
        <v>0</v>
      </c>
      <c r="AQ61" s="181"/>
      <c r="AR61" s="192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>
        <v>8.1000000000000003E-2</v>
      </c>
      <c r="BD61" s="193"/>
      <c r="BE61" s="193"/>
      <c r="BF61" s="181"/>
      <c r="BG61" s="181" t="s">
        <v>1746</v>
      </c>
    </row>
    <row r="62" spans="1:59">
      <c r="A62" s="181" t="s">
        <v>1688</v>
      </c>
      <c r="B62" s="181" t="s">
        <v>1689</v>
      </c>
      <c r="C62" s="182" t="s">
        <v>353</v>
      </c>
      <c r="D62" s="183">
        <v>1102</v>
      </c>
      <c r="E62" s="184">
        <v>10102</v>
      </c>
      <c r="F62" s="182" t="s">
        <v>1626</v>
      </c>
      <c r="G62" s="185">
        <v>924859</v>
      </c>
      <c r="H62" s="186">
        <v>43</v>
      </c>
      <c r="I62" s="182" t="s">
        <v>1610</v>
      </c>
      <c r="J62" s="187" t="s">
        <v>1605</v>
      </c>
      <c r="K62" s="187">
        <v>28</v>
      </c>
      <c r="L62" s="188"/>
      <c r="M62" s="189">
        <v>1678569</v>
      </c>
      <c r="N62" s="189"/>
      <c r="O62" s="189">
        <v>0</v>
      </c>
      <c r="P62" s="189"/>
      <c r="Q62" s="189">
        <v>0</v>
      </c>
      <c r="R62" s="189"/>
      <c r="S62" s="189">
        <v>0</v>
      </c>
      <c r="T62" s="189"/>
      <c r="U62" s="189">
        <v>0</v>
      </c>
      <c r="V62" s="189"/>
      <c r="W62" s="189">
        <v>0</v>
      </c>
      <c r="X62" s="189"/>
      <c r="Y62" s="189">
        <v>0</v>
      </c>
      <c r="Z62" s="189"/>
      <c r="AA62" s="186">
        <v>0</v>
      </c>
      <c r="AB62" s="190"/>
      <c r="AC62" s="191"/>
      <c r="AD62" s="190">
        <v>724004</v>
      </c>
      <c r="AE62" s="190"/>
      <c r="AF62" s="190">
        <v>0</v>
      </c>
      <c r="AG62" s="190"/>
      <c r="AH62" s="190">
        <v>0</v>
      </c>
      <c r="AI62" s="190"/>
      <c r="AJ62" s="190">
        <v>0</v>
      </c>
      <c r="AK62" s="190"/>
      <c r="AL62" s="190">
        <v>0</v>
      </c>
      <c r="AM62" s="190"/>
      <c r="AN62" s="190">
        <v>0</v>
      </c>
      <c r="AO62" s="190"/>
      <c r="AP62" s="190">
        <v>0</v>
      </c>
      <c r="AQ62" s="181"/>
      <c r="AR62" s="192"/>
      <c r="AS62" s="193">
        <v>0.43130000000000002</v>
      </c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81"/>
      <c r="BG62" s="181" t="s">
        <v>1746</v>
      </c>
    </row>
    <row r="63" spans="1:59">
      <c r="A63" s="181" t="s">
        <v>1692</v>
      </c>
      <c r="B63" s="181" t="s">
        <v>1639</v>
      </c>
      <c r="C63" s="182" t="s">
        <v>350</v>
      </c>
      <c r="D63" s="183">
        <v>9209</v>
      </c>
      <c r="E63" s="184">
        <v>90209</v>
      </c>
      <c r="F63" s="182" t="s">
        <v>1608</v>
      </c>
      <c r="G63" s="185">
        <v>3629114</v>
      </c>
      <c r="H63" s="186">
        <v>38</v>
      </c>
      <c r="I63" s="182" t="s">
        <v>1609</v>
      </c>
      <c r="J63" s="187" t="s">
        <v>1605</v>
      </c>
      <c r="K63" s="187">
        <v>38</v>
      </c>
      <c r="L63" s="188"/>
      <c r="M63" s="189">
        <v>0</v>
      </c>
      <c r="N63" s="189"/>
      <c r="O63" s="189">
        <v>0</v>
      </c>
      <c r="P63" s="189"/>
      <c r="Q63" s="189">
        <v>0</v>
      </c>
      <c r="R63" s="189"/>
      <c r="S63" s="189">
        <v>0</v>
      </c>
      <c r="T63" s="189"/>
      <c r="U63" s="189">
        <v>0</v>
      </c>
      <c r="V63" s="189"/>
      <c r="W63" s="189">
        <v>0</v>
      </c>
      <c r="X63" s="189"/>
      <c r="Y63" s="189">
        <v>23474521</v>
      </c>
      <c r="Z63" s="189"/>
      <c r="AA63" s="186">
        <v>0</v>
      </c>
      <c r="AB63" s="190"/>
      <c r="AC63" s="191"/>
      <c r="AD63" s="190">
        <v>0</v>
      </c>
      <c r="AE63" s="190"/>
      <c r="AF63" s="190">
        <v>0</v>
      </c>
      <c r="AG63" s="190"/>
      <c r="AH63" s="190">
        <v>0</v>
      </c>
      <c r="AI63" s="190"/>
      <c r="AJ63" s="190">
        <v>0</v>
      </c>
      <c r="AK63" s="190"/>
      <c r="AL63" s="190">
        <v>0</v>
      </c>
      <c r="AM63" s="190"/>
      <c r="AN63" s="190">
        <v>3452467</v>
      </c>
      <c r="AO63" s="190"/>
      <c r="AP63" s="190">
        <v>0</v>
      </c>
      <c r="AQ63" s="181"/>
      <c r="AR63" s="192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>
        <v>0.14710000000000001</v>
      </c>
      <c r="BD63" s="193"/>
      <c r="BE63" s="193"/>
      <c r="BF63" s="181"/>
      <c r="BG63" s="181" t="s">
        <v>1746</v>
      </c>
    </row>
    <row r="64" spans="1:59">
      <c r="A64" s="181" t="s">
        <v>1693</v>
      </c>
      <c r="B64" s="181" t="s">
        <v>1678</v>
      </c>
      <c r="C64" s="182" t="s">
        <v>351</v>
      </c>
      <c r="D64" s="183">
        <v>9182</v>
      </c>
      <c r="E64" s="184">
        <v>90182</v>
      </c>
      <c r="F64" s="182" t="s">
        <v>1612</v>
      </c>
      <c r="G64" s="185">
        <v>370583</v>
      </c>
      <c r="H64" s="186">
        <v>35</v>
      </c>
      <c r="I64" s="182" t="s">
        <v>1610</v>
      </c>
      <c r="J64" s="187" t="s">
        <v>1605</v>
      </c>
      <c r="K64" s="187">
        <v>35</v>
      </c>
      <c r="L64" s="188"/>
      <c r="M64" s="189">
        <v>514210</v>
      </c>
      <c r="N64" s="189"/>
      <c r="O64" s="189">
        <v>0</v>
      </c>
      <c r="P64" s="189"/>
      <c r="Q64" s="189">
        <v>0</v>
      </c>
      <c r="R64" s="189"/>
      <c r="S64" s="189">
        <v>0</v>
      </c>
      <c r="T64" s="189"/>
      <c r="U64" s="189">
        <v>0</v>
      </c>
      <c r="V64" s="189"/>
      <c r="W64" s="189">
        <v>0</v>
      </c>
      <c r="X64" s="189"/>
      <c r="Y64" s="189">
        <v>0</v>
      </c>
      <c r="Z64" s="189"/>
      <c r="AA64" s="186">
        <v>0</v>
      </c>
      <c r="AB64" s="190"/>
      <c r="AC64" s="191"/>
      <c r="AD64" s="190">
        <v>130583</v>
      </c>
      <c r="AE64" s="190"/>
      <c r="AF64" s="190">
        <v>0</v>
      </c>
      <c r="AG64" s="190"/>
      <c r="AH64" s="190">
        <v>0</v>
      </c>
      <c r="AI64" s="190"/>
      <c r="AJ64" s="190">
        <v>0</v>
      </c>
      <c r="AK64" s="190"/>
      <c r="AL64" s="190">
        <v>0</v>
      </c>
      <c r="AM64" s="190"/>
      <c r="AN64" s="190">
        <v>0</v>
      </c>
      <c r="AO64" s="190"/>
      <c r="AP64" s="190">
        <v>0</v>
      </c>
      <c r="AQ64" s="181"/>
      <c r="AR64" s="192"/>
      <c r="AS64" s="193">
        <v>0.25390000000000001</v>
      </c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81"/>
      <c r="BG64" s="181" t="s">
        <v>1746</v>
      </c>
    </row>
    <row r="65" spans="1:59">
      <c r="A65" s="181" t="s">
        <v>1758</v>
      </c>
      <c r="B65" s="181" t="s">
        <v>1677</v>
      </c>
      <c r="C65" s="182" t="s">
        <v>356</v>
      </c>
      <c r="D65" s="183">
        <v>4232</v>
      </c>
      <c r="E65" s="184">
        <v>40232</v>
      </c>
      <c r="F65" s="182" t="s">
        <v>1626</v>
      </c>
      <c r="G65" s="185">
        <v>1510516</v>
      </c>
      <c r="H65" s="186">
        <v>25</v>
      </c>
      <c r="I65" s="182" t="s">
        <v>1610</v>
      </c>
      <c r="J65" s="187" t="s">
        <v>1605</v>
      </c>
      <c r="K65" s="187">
        <v>25</v>
      </c>
      <c r="L65" s="188"/>
      <c r="M65" s="189">
        <v>810032</v>
      </c>
      <c r="N65" s="189"/>
      <c r="O65" s="189">
        <v>0</v>
      </c>
      <c r="P65" s="189"/>
      <c r="Q65" s="189">
        <v>0</v>
      </c>
      <c r="R65" s="189"/>
      <c r="S65" s="189">
        <v>0</v>
      </c>
      <c r="T65" s="189"/>
      <c r="U65" s="189">
        <v>0</v>
      </c>
      <c r="V65" s="189"/>
      <c r="W65" s="189">
        <v>0</v>
      </c>
      <c r="X65" s="189"/>
      <c r="Y65" s="189">
        <v>0</v>
      </c>
      <c r="Z65" s="189"/>
      <c r="AA65" s="186">
        <v>0</v>
      </c>
      <c r="AB65" s="190"/>
      <c r="AC65" s="191"/>
      <c r="AD65" s="190">
        <v>486222</v>
      </c>
      <c r="AE65" s="190"/>
      <c r="AF65" s="190">
        <v>0</v>
      </c>
      <c r="AG65" s="190"/>
      <c r="AH65" s="190">
        <v>0</v>
      </c>
      <c r="AI65" s="190"/>
      <c r="AJ65" s="190">
        <v>0</v>
      </c>
      <c r="AK65" s="190"/>
      <c r="AL65" s="190">
        <v>0</v>
      </c>
      <c r="AM65" s="190"/>
      <c r="AN65" s="190">
        <v>0</v>
      </c>
      <c r="AO65" s="190"/>
      <c r="AP65" s="190">
        <v>0</v>
      </c>
      <c r="AQ65" s="181"/>
      <c r="AR65" s="192"/>
      <c r="AS65" s="193">
        <v>0.60029999999999994</v>
      </c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81"/>
      <c r="BG65" s="181" t="s">
        <v>1746</v>
      </c>
    </row>
    <row r="66" spans="1:59">
      <c r="A66" s="181" t="s">
        <v>1694</v>
      </c>
      <c r="B66" s="181" t="s">
        <v>1641</v>
      </c>
      <c r="C66" s="182" t="s">
        <v>368</v>
      </c>
      <c r="D66" s="183">
        <v>1115</v>
      </c>
      <c r="E66" s="184">
        <v>10115</v>
      </c>
      <c r="F66" s="182" t="s">
        <v>1612</v>
      </c>
      <c r="G66" s="185">
        <v>203914</v>
      </c>
      <c r="H66" s="186">
        <v>21</v>
      </c>
      <c r="I66" s="182" t="s">
        <v>1610</v>
      </c>
      <c r="J66" s="187" t="s">
        <v>1605</v>
      </c>
      <c r="K66" s="187">
        <v>21</v>
      </c>
      <c r="L66" s="188"/>
      <c r="M66" s="189">
        <v>628302</v>
      </c>
      <c r="N66" s="189"/>
      <c r="O66" s="189">
        <v>0</v>
      </c>
      <c r="P66" s="189"/>
      <c r="Q66" s="189">
        <v>0</v>
      </c>
      <c r="R66" s="189"/>
      <c r="S66" s="189">
        <v>0</v>
      </c>
      <c r="T66" s="189"/>
      <c r="U66" s="189">
        <v>0</v>
      </c>
      <c r="V66" s="189"/>
      <c r="W66" s="189">
        <v>0</v>
      </c>
      <c r="X66" s="189"/>
      <c r="Y66" s="189">
        <v>0</v>
      </c>
      <c r="Z66" s="189"/>
      <c r="AA66" s="186">
        <v>0</v>
      </c>
      <c r="AB66" s="190"/>
      <c r="AC66" s="191"/>
      <c r="AD66" s="190">
        <v>0</v>
      </c>
      <c r="AE66" s="190"/>
      <c r="AF66" s="190">
        <v>0</v>
      </c>
      <c r="AG66" s="190"/>
      <c r="AH66" s="190">
        <v>0</v>
      </c>
      <c r="AI66" s="190"/>
      <c r="AJ66" s="190">
        <v>0</v>
      </c>
      <c r="AK66" s="190"/>
      <c r="AL66" s="190">
        <v>0</v>
      </c>
      <c r="AM66" s="190"/>
      <c r="AN66" s="190">
        <v>0</v>
      </c>
      <c r="AO66" s="190"/>
      <c r="AP66" s="190">
        <v>0</v>
      </c>
      <c r="AQ66" s="181"/>
      <c r="AR66" s="192"/>
      <c r="AS66" s="193">
        <v>0</v>
      </c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81"/>
      <c r="BG66" s="181" t="s">
        <v>1746</v>
      </c>
    </row>
    <row r="67" spans="1:59">
      <c r="A67" s="181" t="s">
        <v>1691</v>
      </c>
      <c r="B67" s="181" t="s">
        <v>1676</v>
      </c>
      <c r="C67" s="182" t="s">
        <v>385</v>
      </c>
      <c r="D67" s="183">
        <v>3057</v>
      </c>
      <c r="E67" s="184">
        <v>30057</v>
      </c>
      <c r="F67" s="182" t="s">
        <v>1626</v>
      </c>
      <c r="G67" s="185">
        <v>5441567</v>
      </c>
      <c r="H67" s="186">
        <v>20</v>
      </c>
      <c r="I67" s="182" t="s">
        <v>1610</v>
      </c>
      <c r="J67" s="187" t="s">
        <v>1605</v>
      </c>
      <c r="K67" s="187">
        <v>20</v>
      </c>
      <c r="L67" s="188"/>
      <c r="M67" s="189">
        <v>0</v>
      </c>
      <c r="N67" s="189"/>
      <c r="O67" s="189">
        <v>0</v>
      </c>
      <c r="P67" s="189"/>
      <c r="Q67" s="189">
        <v>0</v>
      </c>
      <c r="R67" s="189"/>
      <c r="S67" s="189">
        <v>0</v>
      </c>
      <c r="T67" s="189"/>
      <c r="U67" s="189">
        <v>0</v>
      </c>
      <c r="V67" s="189"/>
      <c r="W67" s="189">
        <v>0</v>
      </c>
      <c r="X67" s="189"/>
      <c r="Y67" s="189">
        <v>27325354</v>
      </c>
      <c r="Z67" s="189"/>
      <c r="AA67" s="186">
        <v>0</v>
      </c>
      <c r="AB67" s="190"/>
      <c r="AC67" s="191"/>
      <c r="AD67" s="190">
        <v>0</v>
      </c>
      <c r="AE67" s="190"/>
      <c r="AF67" s="190">
        <v>0</v>
      </c>
      <c r="AG67" s="190"/>
      <c r="AH67" s="190">
        <v>0</v>
      </c>
      <c r="AI67" s="190"/>
      <c r="AJ67" s="190">
        <v>0</v>
      </c>
      <c r="AK67" s="190"/>
      <c r="AL67" s="190">
        <v>0</v>
      </c>
      <c r="AM67" s="190"/>
      <c r="AN67" s="190">
        <v>0</v>
      </c>
      <c r="AO67" s="190"/>
      <c r="AP67" s="190">
        <v>0</v>
      </c>
      <c r="AQ67" s="181"/>
      <c r="AR67" s="192"/>
      <c r="AS67" s="193"/>
      <c r="AT67" s="193"/>
      <c r="AU67" s="193"/>
      <c r="AV67" s="193"/>
      <c r="AW67" s="193"/>
      <c r="AX67" s="193"/>
      <c r="AY67" s="193"/>
      <c r="AZ67" s="193"/>
      <c r="BA67" s="193"/>
      <c r="BB67" s="193"/>
      <c r="BC67" s="193">
        <v>0</v>
      </c>
      <c r="BD67" s="193"/>
      <c r="BE67" s="193"/>
      <c r="BF67" s="181"/>
      <c r="BG67" s="181" t="s">
        <v>1746</v>
      </c>
    </row>
    <row r="68" spans="1:59">
      <c r="A68" s="181" t="s">
        <v>1696</v>
      </c>
      <c r="B68" s="181" t="s">
        <v>1695</v>
      </c>
      <c r="C68" s="182" t="s">
        <v>351</v>
      </c>
      <c r="D68" s="183"/>
      <c r="E68" s="184">
        <v>90299</v>
      </c>
      <c r="F68" s="182" t="s">
        <v>1612</v>
      </c>
      <c r="G68" s="185">
        <v>308231</v>
      </c>
      <c r="H68" s="186">
        <v>12</v>
      </c>
      <c r="I68" s="182" t="s">
        <v>1610</v>
      </c>
      <c r="J68" s="187" t="s">
        <v>1602</v>
      </c>
      <c r="K68" s="187">
        <v>12</v>
      </c>
      <c r="L68" s="188"/>
      <c r="M68" s="189">
        <v>286520</v>
      </c>
      <c r="N68" s="189"/>
      <c r="O68" s="189">
        <v>0</v>
      </c>
      <c r="P68" s="189"/>
      <c r="Q68" s="189">
        <v>0</v>
      </c>
      <c r="R68" s="189"/>
      <c r="S68" s="189">
        <v>0</v>
      </c>
      <c r="T68" s="189"/>
      <c r="U68" s="189">
        <v>0</v>
      </c>
      <c r="V68" s="189"/>
      <c r="W68" s="189">
        <v>0</v>
      </c>
      <c r="X68" s="189"/>
      <c r="Y68" s="189">
        <v>0</v>
      </c>
      <c r="Z68" s="189"/>
      <c r="AA68" s="186">
        <v>0</v>
      </c>
      <c r="AB68" s="190"/>
      <c r="AC68" s="191"/>
      <c r="AD68" s="190">
        <v>931897</v>
      </c>
      <c r="AE68" s="190"/>
      <c r="AF68" s="190">
        <v>0</v>
      </c>
      <c r="AG68" s="190"/>
      <c r="AH68" s="190">
        <v>0</v>
      </c>
      <c r="AI68" s="190"/>
      <c r="AJ68" s="190">
        <v>0</v>
      </c>
      <c r="AK68" s="190"/>
      <c r="AL68" s="190">
        <v>0</v>
      </c>
      <c r="AM68" s="190"/>
      <c r="AN68" s="190">
        <v>0</v>
      </c>
      <c r="AO68" s="190"/>
      <c r="AP68" s="190">
        <v>0</v>
      </c>
      <c r="AQ68" s="181"/>
      <c r="AR68" s="192"/>
      <c r="AS68" s="193">
        <v>3.2524999999999999</v>
      </c>
      <c r="AT68" s="193"/>
      <c r="AU68" s="193"/>
      <c r="AV68" s="193"/>
      <c r="AW68" s="193"/>
      <c r="AX68" s="193"/>
      <c r="AY68" s="193"/>
      <c r="AZ68" s="193"/>
      <c r="BA68" s="193"/>
      <c r="BB68" s="193"/>
      <c r="BC68" s="193"/>
      <c r="BD68" s="193"/>
      <c r="BE68" s="193"/>
      <c r="BF68" s="181"/>
      <c r="BG68" s="181" t="s">
        <v>1746</v>
      </c>
    </row>
    <row r="70" spans="1:59">
      <c r="M70" s="154">
        <f>SUM(M1:M68)</f>
        <v>104995073</v>
      </c>
      <c r="N70" s="154">
        <f t="shared" ref="N70:AB70" si="0">SUM(N1:N68)</f>
        <v>0</v>
      </c>
      <c r="O70" s="154">
        <f t="shared" si="0"/>
        <v>0</v>
      </c>
      <c r="P70" s="154">
        <f t="shared" si="0"/>
        <v>0</v>
      </c>
      <c r="Q70" s="154">
        <f t="shared" si="0"/>
        <v>0</v>
      </c>
      <c r="R70" s="154">
        <f t="shared" si="0"/>
        <v>0</v>
      </c>
      <c r="S70" s="154">
        <f t="shared" si="0"/>
        <v>0</v>
      </c>
      <c r="T70" s="154">
        <f t="shared" si="0"/>
        <v>0</v>
      </c>
      <c r="U70" s="154">
        <f t="shared" si="0"/>
        <v>792273</v>
      </c>
      <c r="V70" s="154">
        <f t="shared" si="0"/>
        <v>0</v>
      </c>
      <c r="W70" s="154">
        <f t="shared" si="0"/>
        <v>0</v>
      </c>
      <c r="X70" s="154">
        <f t="shared" si="0"/>
        <v>0</v>
      </c>
      <c r="Y70" s="154">
        <f t="shared" si="0"/>
        <v>6030683824</v>
      </c>
      <c r="Z70" s="154">
        <f t="shared" si="0"/>
        <v>0</v>
      </c>
      <c r="AA70" s="154">
        <f t="shared" si="0"/>
        <v>0</v>
      </c>
      <c r="AB70" s="154">
        <f t="shared" si="0"/>
        <v>0</v>
      </c>
    </row>
  </sheetData>
  <conditionalFormatting sqref="A2:BG68">
    <cfRule type="expression" dxfId="2" priority="1">
      <formula>MOD(ROW(),2)=0</formula>
    </cfRule>
  </conditionalFormatting>
  <conditionalFormatting sqref="K5:K6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B63-3EA1-4B4C-B4A9-4B93EF7FE12F}">
  <sheetPr>
    <tabColor rgb="FFFFCC66"/>
  </sheetPr>
  <dimension ref="B2:X64"/>
  <sheetViews>
    <sheetView workbookViewId="0">
      <selection activeCell="M13" sqref="M13"/>
    </sheetView>
  </sheetViews>
  <sheetFormatPr defaultRowHeight="14.75"/>
  <cols>
    <col min="2" max="2" width="18.26953125" customWidth="1"/>
    <col min="3" max="3" width="9.86328125" bestFit="1" customWidth="1"/>
    <col min="4" max="4" width="11.40625" customWidth="1"/>
    <col min="5" max="5" width="22.40625" bestFit="1" customWidth="1"/>
    <col min="6" max="6" width="15.26953125" bestFit="1" customWidth="1"/>
    <col min="7" max="7" width="16.86328125" bestFit="1" customWidth="1"/>
    <col min="8" max="8" width="15.86328125" customWidth="1"/>
    <col min="9" max="9" width="18.54296875" customWidth="1"/>
    <col min="10" max="10" width="16.40625" bestFit="1" customWidth="1"/>
    <col min="11" max="11" width="17.86328125" bestFit="1" customWidth="1"/>
    <col min="12" max="12" width="9.7265625" bestFit="1" customWidth="1"/>
    <col min="13" max="13" width="14.26953125" bestFit="1" customWidth="1"/>
    <col min="14" max="20" width="14.26953125" customWidth="1"/>
    <col min="21" max="21" width="18.1328125" bestFit="1" customWidth="1"/>
    <col min="22" max="22" width="19.40625" bestFit="1" customWidth="1"/>
  </cols>
  <sheetData>
    <row r="2" spans="2:22">
      <c r="B2" s="16" t="s">
        <v>1808</v>
      </c>
      <c r="C2" s="154">
        <v>138700</v>
      </c>
    </row>
    <row r="3" spans="2:22">
      <c r="B3" s="16" t="s">
        <v>1809</v>
      </c>
      <c r="C3">
        <v>3412.14</v>
      </c>
      <c r="H3" s="155"/>
    </row>
    <row r="4" spans="2:22">
      <c r="B4" s="16" t="s">
        <v>1549</v>
      </c>
      <c r="C4" s="156" t="s">
        <v>1810</v>
      </c>
      <c r="D4" s="156" t="s">
        <v>1604</v>
      </c>
      <c r="E4" s="156" t="s">
        <v>1610</v>
      </c>
      <c r="F4" s="156" t="s">
        <v>1609</v>
      </c>
    </row>
    <row r="5" spans="2:22">
      <c r="B5" s="16"/>
      <c r="C5" s="16"/>
      <c r="D5" s="16"/>
      <c r="E5" s="16"/>
      <c r="F5" s="16"/>
    </row>
    <row r="6" spans="2:22">
      <c r="B6" s="16"/>
      <c r="C6" s="16"/>
      <c r="D6" s="16"/>
      <c r="E6" s="157" t="s">
        <v>1811</v>
      </c>
      <c r="F6" s="157"/>
      <c r="G6" s="158"/>
      <c r="H6" s="158"/>
      <c r="I6" s="158"/>
      <c r="J6" s="158"/>
      <c r="K6" s="158"/>
      <c r="L6" s="158"/>
      <c r="M6" s="158"/>
      <c r="N6" s="158"/>
      <c r="O6" s="158"/>
      <c r="P6" s="159" t="s">
        <v>1812</v>
      </c>
      <c r="Q6" s="160"/>
      <c r="R6" s="160"/>
      <c r="S6" s="160"/>
      <c r="T6" s="160"/>
      <c r="U6" s="160"/>
      <c r="V6" s="160"/>
    </row>
    <row r="7" spans="2:22">
      <c r="G7" s="161"/>
      <c r="H7" s="16" t="s">
        <v>1777</v>
      </c>
      <c r="I7" s="16"/>
      <c r="J7" s="16"/>
      <c r="K7" s="16"/>
      <c r="N7" s="16"/>
      <c r="O7" s="16"/>
    </row>
    <row r="8" spans="2:22">
      <c r="B8" s="74" t="s">
        <v>130</v>
      </c>
      <c r="C8" s="74" t="s">
        <v>130</v>
      </c>
      <c r="D8" s="16" t="s">
        <v>1813</v>
      </c>
      <c r="E8" s="16" t="s">
        <v>1562</v>
      </c>
      <c r="F8" s="16" t="s">
        <v>1572</v>
      </c>
      <c r="G8" s="16" t="s">
        <v>1594</v>
      </c>
      <c r="H8" s="16" t="s">
        <v>1778</v>
      </c>
      <c r="I8" s="16" t="s">
        <v>1788</v>
      </c>
      <c r="J8" s="16" t="s">
        <v>1814</v>
      </c>
      <c r="K8" s="16" t="s">
        <v>1815</v>
      </c>
      <c r="L8" s="162" t="s">
        <v>1816</v>
      </c>
      <c r="M8" s="162" t="s">
        <v>1817</v>
      </c>
      <c r="N8" s="162" t="s">
        <v>1818</v>
      </c>
      <c r="O8" s="162" t="s">
        <v>1819</v>
      </c>
      <c r="P8" s="16" t="s">
        <v>1761</v>
      </c>
      <c r="Q8" s="16" t="s">
        <v>1769</v>
      </c>
      <c r="R8" s="16" t="s">
        <v>1773</v>
      </c>
      <c r="S8" s="16" t="s">
        <v>1820</v>
      </c>
      <c r="T8" s="16" t="s">
        <v>1821</v>
      </c>
      <c r="U8" s="162" t="s">
        <v>1822</v>
      </c>
      <c r="V8" s="162" t="s">
        <v>1823</v>
      </c>
    </row>
    <row r="9" spans="2:22">
      <c r="B9" s="75" t="s">
        <v>112</v>
      </c>
      <c r="C9" s="75" t="s">
        <v>348</v>
      </c>
      <c r="D9" t="s">
        <v>1824</v>
      </c>
      <c r="E9">
        <f>SUMIFS('Annual Service Data_rail only'!N:N,'Annual Service Data_rail only'!C:C,C9)</f>
        <v>0</v>
      </c>
      <c r="F9" s="161">
        <f>SUMIFS('Annual Service Data_rail only'!X:X,'Annual Service Data_rail only'!C:C,C9)</f>
        <v>0</v>
      </c>
      <c r="G9" s="161">
        <f>SUMIFS('Annual Service Data_rail only'!AT:AT,'Annual Service Data_rail only'!C:C,C9)</f>
        <v>0</v>
      </c>
      <c r="H9">
        <f>SUMIFS('Fuel and Energy_rail only'!AD:AD,'Fuel and Energy_rail only'!C:C,C9)</f>
        <v>0</v>
      </c>
      <c r="I9">
        <f>SUMIFS('Fuel and Energy_rail only'!AN:AN,'Fuel and Energy_rail only'!C:C,C9)</f>
        <v>0</v>
      </c>
      <c r="J9" s="155">
        <f>IFERROR(H9/SUM($H9:$I9),0)</f>
        <v>0</v>
      </c>
      <c r="K9" s="155">
        <f>IFERROR(I9/SUM($H9:$I9),0)</f>
        <v>0</v>
      </c>
      <c r="L9" s="163">
        <f t="shared" ref="L9:L59" si="0">IFERROR(G9/F9,0)</f>
        <v>0</v>
      </c>
      <c r="M9" s="164">
        <f t="shared" ref="M9:M59" si="1">IFERROR(F9/E9,0)</f>
        <v>0</v>
      </c>
      <c r="N9" s="164">
        <f>E9*J9</f>
        <v>0</v>
      </c>
      <c r="O9" s="164">
        <f>K9*E9</f>
        <v>0</v>
      </c>
      <c r="P9">
        <f>SUMIFS('Fuel and Energy_rail only'!M:M,'Fuel and Energy_rail only'!C:C,C9)</f>
        <v>0</v>
      </c>
      <c r="Q9">
        <f>SUMIFS('Fuel and Energy_rail only'!U:U,'Fuel and Energy_rail only'!C:C,C9)</f>
        <v>0</v>
      </c>
      <c r="R9">
        <f>SUMIFS('Fuel and Energy_rail only'!Y:Y,'Fuel and Energy_rail only'!C:C,C9)</f>
        <v>0</v>
      </c>
      <c r="S9">
        <f>SUM(P9:Q9)*$C$2</f>
        <v>0</v>
      </c>
      <c r="T9">
        <f>R9*$C$3</f>
        <v>0</v>
      </c>
      <c r="U9" s="165">
        <f>IFERROR(($L9*$M9*N9)/S9,0)</f>
        <v>0</v>
      </c>
      <c r="V9" s="165">
        <f>IFERROR(($L9*$M9*O9)/T9,0)</f>
        <v>0</v>
      </c>
    </row>
    <row r="10" spans="2:22">
      <c r="B10" s="75" t="s">
        <v>123</v>
      </c>
      <c r="C10" s="75" t="s">
        <v>132</v>
      </c>
      <c r="D10" t="s">
        <v>1825</v>
      </c>
      <c r="E10">
        <f>SUMIFS('Annual Service Data_rail only'!N:N,'Annual Service Data_rail only'!C:C,C10)</f>
        <v>0</v>
      </c>
      <c r="F10" s="161">
        <f>SUMIFS('Annual Service Data_rail only'!X:X,'Annual Service Data_rail only'!C:C,C10)</f>
        <v>0</v>
      </c>
      <c r="G10" s="161">
        <f>SUMIFS('Annual Service Data_rail only'!AT:AT,'Annual Service Data_rail only'!C:C,C10)</f>
        <v>0</v>
      </c>
      <c r="H10">
        <f>SUMIFS('Fuel and Energy_rail only'!AD:AD,'Fuel and Energy_rail only'!C:C,C10)</f>
        <v>0</v>
      </c>
      <c r="I10">
        <f>SUMIFS('Fuel and Energy_rail only'!AN:AN,'Fuel and Energy_rail only'!C:C,C10)</f>
        <v>0</v>
      </c>
      <c r="J10" s="155">
        <f t="shared" ref="J10:K59" si="2">IFERROR(H10/SUM($H10:$I10),0)</f>
        <v>0</v>
      </c>
      <c r="K10" s="155">
        <f t="shared" si="2"/>
        <v>0</v>
      </c>
      <c r="L10" s="163">
        <f t="shared" si="0"/>
        <v>0</v>
      </c>
      <c r="M10" s="164">
        <f t="shared" si="1"/>
        <v>0</v>
      </c>
      <c r="N10" s="164">
        <f t="shared" ref="N10:N59" si="3">E10*J10</f>
        <v>0</v>
      </c>
      <c r="O10" s="164">
        <f t="shared" ref="O10:O59" si="4">K10*E10</f>
        <v>0</v>
      </c>
      <c r="P10">
        <f>SUMIFS('Fuel and Energy_rail only'!M:M,'Fuel and Energy_rail only'!C:C,C10)</f>
        <v>0</v>
      </c>
      <c r="Q10">
        <f>SUMIFS('Fuel and Energy_rail only'!U:U,'Fuel and Energy_rail only'!C:C,C10)</f>
        <v>0</v>
      </c>
      <c r="R10">
        <f>SUMIFS('Fuel and Energy_rail only'!Y:Y,'Fuel and Energy_rail only'!C:C,C10)</f>
        <v>0</v>
      </c>
      <c r="S10">
        <f t="shared" ref="S10:S59" si="5">SUM(P10:Q10)*$C$2</f>
        <v>0</v>
      </c>
      <c r="T10">
        <f t="shared" ref="T10:T59" si="6">R10*$C$3</f>
        <v>0</v>
      </c>
      <c r="U10" s="165">
        <f t="shared" ref="U10:V59" si="7">IFERROR(($L10*$M10*N10)/S10,0)</f>
        <v>0</v>
      </c>
      <c r="V10" s="165">
        <f t="shared" si="7"/>
        <v>0</v>
      </c>
    </row>
    <row r="11" spans="2:22">
      <c r="B11" s="75" t="s">
        <v>1</v>
      </c>
      <c r="C11" s="75" t="s">
        <v>350</v>
      </c>
      <c r="D11" t="s">
        <v>1826</v>
      </c>
      <c r="E11">
        <f>SUMIFS('Annual Service Data_rail only'!N:N,'Annual Service Data_rail only'!C:C,C11)</f>
        <v>17</v>
      </c>
      <c r="F11" s="161">
        <f>SUMIFS('Annual Service Data_rail only'!X:X,'Annual Service Data_rail only'!C:C,C11)</f>
        <v>3435184</v>
      </c>
      <c r="G11" s="161">
        <f>SUMIFS('Annual Service Data_rail only'!AT:AT,'Annual Service Data_rail only'!C:C,C11)</f>
        <v>90553779</v>
      </c>
      <c r="H11">
        <f>SUMIFS('Fuel and Energy_rail only'!AD:AD,'Fuel and Energy_rail only'!C:C,C11)</f>
        <v>0</v>
      </c>
      <c r="I11">
        <f>SUMIFS('Fuel and Energy_rail only'!AN:AN,'Fuel and Energy_rail only'!C:C,C11)</f>
        <v>3452467</v>
      </c>
      <c r="J11" s="155">
        <f t="shared" si="2"/>
        <v>0</v>
      </c>
      <c r="K11" s="155">
        <f t="shared" si="2"/>
        <v>1</v>
      </c>
      <c r="L11" s="163">
        <f t="shared" si="0"/>
        <v>26.360677914196152</v>
      </c>
      <c r="M11" s="164">
        <f t="shared" si="1"/>
        <v>202069.64705882352</v>
      </c>
      <c r="N11" s="164">
        <f t="shared" si="3"/>
        <v>0</v>
      </c>
      <c r="O11" s="164">
        <f>K11*E11</f>
        <v>17</v>
      </c>
      <c r="P11">
        <f>SUMIFS('Fuel and Energy_rail only'!M:M,'Fuel and Energy_rail only'!C:C,C11)</f>
        <v>0</v>
      </c>
      <c r="Q11">
        <f>SUMIFS('Fuel and Energy_rail only'!U:U,'Fuel and Energy_rail only'!C:C,C11)</f>
        <v>0</v>
      </c>
      <c r="R11">
        <f>SUMIFS('Fuel and Energy_rail only'!Y:Y,'Fuel and Energy_rail only'!C:C,C11)</f>
        <v>23474521</v>
      </c>
      <c r="S11">
        <f t="shared" si="5"/>
        <v>0</v>
      </c>
      <c r="T11">
        <f t="shared" si="6"/>
        <v>80098352084.940002</v>
      </c>
      <c r="U11" s="165">
        <f t="shared" si="7"/>
        <v>0</v>
      </c>
      <c r="V11" s="165">
        <f t="shared" si="7"/>
        <v>1.1305323598164989E-3</v>
      </c>
    </row>
    <row r="12" spans="2:22">
      <c r="B12" s="75" t="s">
        <v>113</v>
      </c>
      <c r="C12" s="75" t="s">
        <v>349</v>
      </c>
      <c r="D12" t="s">
        <v>1827</v>
      </c>
      <c r="E12">
        <f>SUMIFS('Annual Service Data_rail only'!N:N,'Annual Service Data_rail only'!C:C,C12)</f>
        <v>0</v>
      </c>
      <c r="F12" s="161">
        <f>SUMIFS('Annual Service Data_rail only'!X:X,'Annual Service Data_rail only'!C:C,C12)</f>
        <v>0</v>
      </c>
      <c r="G12" s="161">
        <f>SUMIFS('Annual Service Data_rail only'!AT:AT,'Annual Service Data_rail only'!C:C,C12)</f>
        <v>0</v>
      </c>
      <c r="H12">
        <f>SUMIFS('Fuel and Energy_rail only'!AD:AD,'Fuel and Energy_rail only'!C:C,C12)</f>
        <v>0</v>
      </c>
      <c r="I12">
        <f>SUMIFS('Fuel and Energy_rail only'!AN:AN,'Fuel and Energy_rail only'!C:C,C12)</f>
        <v>0</v>
      </c>
      <c r="J12" s="155">
        <f t="shared" si="2"/>
        <v>0</v>
      </c>
      <c r="K12" s="155">
        <f t="shared" si="2"/>
        <v>0</v>
      </c>
      <c r="L12" s="163">
        <f t="shared" si="0"/>
        <v>0</v>
      </c>
      <c r="M12" s="164">
        <f t="shared" si="1"/>
        <v>0</v>
      </c>
      <c r="N12" s="164">
        <f t="shared" si="3"/>
        <v>0</v>
      </c>
      <c r="O12" s="164">
        <f t="shared" si="4"/>
        <v>0</v>
      </c>
      <c r="P12">
        <f>SUMIFS('Fuel and Energy_rail only'!M:M,'Fuel and Energy_rail only'!C:C,C12)</f>
        <v>0</v>
      </c>
      <c r="Q12">
        <f>SUMIFS('Fuel and Energy_rail only'!U:U,'Fuel and Energy_rail only'!C:C,C12)</f>
        <v>0</v>
      </c>
      <c r="R12">
        <f>SUMIFS('Fuel and Energy_rail only'!Y:Y,'Fuel and Energy_rail only'!C:C,C12)</f>
        <v>0</v>
      </c>
      <c r="S12">
        <f t="shared" si="5"/>
        <v>0</v>
      </c>
      <c r="T12">
        <f t="shared" si="6"/>
        <v>0</v>
      </c>
      <c r="U12" s="165">
        <f t="shared" si="7"/>
        <v>0</v>
      </c>
      <c r="V12" s="165">
        <f t="shared" si="7"/>
        <v>0</v>
      </c>
    </row>
    <row r="13" spans="2:22">
      <c r="B13" s="75" t="s">
        <v>124</v>
      </c>
      <c r="C13" s="75" t="s">
        <v>351</v>
      </c>
      <c r="D13" t="s">
        <v>1828</v>
      </c>
      <c r="E13">
        <f>SUMIFS('Annual Service Data_rail only'!N:N,'Annual Service Data_rail only'!C:C,C13)</f>
        <v>441</v>
      </c>
      <c r="F13" s="161">
        <f>SUMIFS('Annual Service Data_rail only'!X:X,'Annual Service Data_rail only'!C:C,C13)</f>
        <v>139399021</v>
      </c>
      <c r="G13" s="161">
        <f>SUMIFS('Annual Service Data_rail only'!AT:AT,'Annual Service Data_rail only'!C:C,C13)</f>
        <v>2812423160</v>
      </c>
      <c r="H13">
        <f>SUMIFS('Fuel and Energy_rail only'!AD:AD,'Fuel and Energy_rail only'!C:C,C13)</f>
        <v>5034854</v>
      </c>
      <c r="I13">
        <f>SUMIFS('Fuel and Energy_rail only'!AN:AN,'Fuel and Energy_rail only'!C:C,C13)</f>
        <v>106204511</v>
      </c>
      <c r="J13" s="155">
        <f t="shared" si="2"/>
        <v>4.5261441397116929E-2</v>
      </c>
      <c r="K13" s="155">
        <f t="shared" si="2"/>
        <v>0.95473855860288304</v>
      </c>
      <c r="L13" s="163">
        <f t="shared" si="0"/>
        <v>20.175343699149796</v>
      </c>
      <c r="M13" s="164">
        <f t="shared" si="1"/>
        <v>316097.55328798183</v>
      </c>
      <c r="N13" s="164">
        <f t="shared" si="3"/>
        <v>19.960295656128565</v>
      </c>
      <c r="O13" s="164">
        <f t="shared" si="4"/>
        <v>421.03970434387139</v>
      </c>
      <c r="P13">
        <f>SUMIFS('Fuel and Energy_rail only'!M:M,'Fuel and Energy_rail only'!C:C,C13)</f>
        <v>13666577</v>
      </c>
      <c r="Q13">
        <f>SUMIFS('Fuel and Energy_rail only'!U:U,'Fuel and Energy_rail only'!C:C,C13)</f>
        <v>0</v>
      </c>
      <c r="R13">
        <f>SUMIFS('Fuel and Energy_rail only'!Y:Y,'Fuel and Energy_rail only'!C:C,C13)</f>
        <v>681466893</v>
      </c>
      <c r="S13">
        <f t="shared" si="5"/>
        <v>1895554229900</v>
      </c>
      <c r="T13">
        <f t="shared" si="6"/>
        <v>2325260444281.02</v>
      </c>
      <c r="U13" s="165">
        <f t="shared" si="7"/>
        <v>6.7154146282034786E-5</v>
      </c>
      <c r="V13" s="165">
        <f t="shared" si="7"/>
        <v>1.154764766486198E-3</v>
      </c>
    </row>
    <row r="14" spans="2:22">
      <c r="B14" s="75" t="s">
        <v>118</v>
      </c>
      <c r="C14" s="75" t="s">
        <v>352</v>
      </c>
      <c r="D14" t="s">
        <v>1829</v>
      </c>
      <c r="E14">
        <f>SUMIFS('Annual Service Data_rail only'!N:N,'Annual Service Data_rail only'!C:C,C14)</f>
        <v>56</v>
      </c>
      <c r="F14" s="161">
        <f>SUMIFS('Annual Service Data_rail only'!X:X,'Annual Service Data_rail only'!C:C,C14)</f>
        <v>15749288</v>
      </c>
      <c r="G14" s="161">
        <f>SUMIFS('Annual Service Data_rail only'!AT:AT,'Annual Service Data_rail only'!C:C,C14)</f>
        <v>129461494</v>
      </c>
      <c r="H14">
        <f>SUMIFS('Fuel and Energy_rail only'!AD:AD,'Fuel and Energy_rail only'!C:C,C14)</f>
        <v>0</v>
      </c>
      <c r="I14">
        <f>SUMIFS('Fuel and Energy_rail only'!AN:AN,'Fuel and Energy_rail only'!C:C,C14)</f>
        <v>15639401</v>
      </c>
      <c r="J14" s="155">
        <f t="shared" si="2"/>
        <v>0</v>
      </c>
      <c r="K14" s="155">
        <f t="shared" si="2"/>
        <v>1</v>
      </c>
      <c r="L14" s="163">
        <f t="shared" si="0"/>
        <v>8.2201489997516077</v>
      </c>
      <c r="M14" s="164">
        <f t="shared" si="1"/>
        <v>281237.28571428574</v>
      </c>
      <c r="N14" s="164">
        <f t="shared" si="3"/>
        <v>0</v>
      </c>
      <c r="O14" s="164">
        <f t="shared" si="4"/>
        <v>56</v>
      </c>
      <c r="P14">
        <f>SUMIFS('Fuel and Energy_rail only'!M:M,'Fuel and Energy_rail only'!C:C,C14)</f>
        <v>0</v>
      </c>
      <c r="Q14">
        <f>SUMIFS('Fuel and Energy_rail only'!U:U,'Fuel and Energy_rail only'!C:C,C14)</f>
        <v>0</v>
      </c>
      <c r="R14">
        <f>SUMIFS('Fuel and Energy_rail only'!Y:Y,'Fuel and Energy_rail only'!C:C,C14)</f>
        <v>101468806</v>
      </c>
      <c r="S14">
        <f t="shared" si="5"/>
        <v>0</v>
      </c>
      <c r="T14">
        <f t="shared" si="6"/>
        <v>346225771704.83997</v>
      </c>
      <c r="U14" s="165">
        <f t="shared" si="7"/>
        <v>0</v>
      </c>
      <c r="V14" s="165">
        <f t="shared" si="7"/>
        <v>3.739221761641906E-4</v>
      </c>
    </row>
    <row r="15" spans="2:22">
      <c r="B15" s="75" t="s">
        <v>80</v>
      </c>
      <c r="C15" s="75" t="s">
        <v>353</v>
      </c>
      <c r="D15" t="s">
        <v>1830</v>
      </c>
      <c r="E15">
        <f>SUMIFS('Annual Service Data_rail only'!N:N,'Annual Service Data_rail only'!C:C,C15)</f>
        <v>5</v>
      </c>
      <c r="F15" s="161">
        <f>SUMIFS('Annual Service Data_rail only'!X:X,'Annual Service Data_rail only'!C:C,C15)</f>
        <v>1717047</v>
      </c>
      <c r="G15" s="161">
        <f>SUMIFS('Annual Service Data_rail only'!AT:AT,'Annual Service Data_rail only'!C:C,C15)</f>
        <v>12884750</v>
      </c>
      <c r="H15">
        <f>SUMIFS('Fuel and Energy_rail only'!AD:AD,'Fuel and Energy_rail only'!C:C,C15)</f>
        <v>724004</v>
      </c>
      <c r="I15">
        <f>SUMIFS('Fuel and Energy_rail only'!AN:AN,'Fuel and Energy_rail only'!C:C,C15)</f>
        <v>0</v>
      </c>
      <c r="J15" s="155">
        <f t="shared" si="2"/>
        <v>1</v>
      </c>
      <c r="K15" s="155">
        <f t="shared" si="2"/>
        <v>0</v>
      </c>
      <c r="L15" s="163">
        <f t="shared" si="0"/>
        <v>7.5040170711692804</v>
      </c>
      <c r="M15" s="164">
        <f t="shared" si="1"/>
        <v>343409.4</v>
      </c>
      <c r="N15" s="164">
        <f t="shared" si="3"/>
        <v>5</v>
      </c>
      <c r="O15" s="164">
        <f t="shared" si="4"/>
        <v>0</v>
      </c>
      <c r="P15">
        <f>SUMIFS('Fuel and Energy_rail only'!M:M,'Fuel and Energy_rail only'!C:C,C15)</f>
        <v>1678569</v>
      </c>
      <c r="Q15">
        <f>SUMIFS('Fuel and Energy_rail only'!U:U,'Fuel and Energy_rail only'!C:C,C15)</f>
        <v>0</v>
      </c>
      <c r="R15">
        <f>SUMIFS('Fuel and Energy_rail only'!Y:Y,'Fuel and Energy_rail only'!C:C,C15)</f>
        <v>0</v>
      </c>
      <c r="S15">
        <f t="shared" si="5"/>
        <v>232817520300</v>
      </c>
      <c r="T15">
        <f t="shared" si="6"/>
        <v>0</v>
      </c>
      <c r="U15" s="165">
        <f t="shared" si="7"/>
        <v>5.5342699223826415E-5</v>
      </c>
      <c r="V15" s="165">
        <f t="shared" si="7"/>
        <v>0</v>
      </c>
    </row>
    <row r="16" spans="2:22">
      <c r="B16" s="75" t="s">
        <v>86</v>
      </c>
      <c r="C16" s="75" t="s">
        <v>355</v>
      </c>
      <c r="D16" t="s">
        <v>1831</v>
      </c>
      <c r="E16">
        <f>SUMIFS('Annual Service Data_rail only'!N:N,'Annual Service Data_rail only'!C:C,C16)</f>
        <v>0</v>
      </c>
      <c r="F16" s="161">
        <f>SUMIFS('Annual Service Data_rail only'!X:X,'Annual Service Data_rail only'!C:C,C16)</f>
        <v>0</v>
      </c>
      <c r="G16" s="161">
        <f>SUMIFS('Annual Service Data_rail only'!AT:AT,'Annual Service Data_rail only'!C:C,C16)</f>
        <v>0</v>
      </c>
      <c r="H16">
        <f>SUMIFS('Fuel and Energy_rail only'!AD:AD,'Fuel and Energy_rail only'!C:C,C16)</f>
        <v>0</v>
      </c>
      <c r="I16">
        <f>SUMIFS('Fuel and Energy_rail only'!AN:AN,'Fuel and Energy_rail only'!C:C,C16)</f>
        <v>0</v>
      </c>
      <c r="J16" s="155">
        <f t="shared" si="2"/>
        <v>0</v>
      </c>
      <c r="K16" s="155">
        <f t="shared" si="2"/>
        <v>0</v>
      </c>
      <c r="L16" s="163">
        <f t="shared" si="0"/>
        <v>0</v>
      </c>
      <c r="M16" s="164">
        <f t="shared" si="1"/>
        <v>0</v>
      </c>
      <c r="N16" s="164">
        <f t="shared" si="3"/>
        <v>0</v>
      </c>
      <c r="O16" s="164">
        <f t="shared" si="4"/>
        <v>0</v>
      </c>
      <c r="P16">
        <f>SUMIFS('Fuel and Energy_rail only'!M:M,'Fuel and Energy_rail only'!C:C,C16)</f>
        <v>0</v>
      </c>
      <c r="Q16">
        <f>SUMIFS('Fuel and Energy_rail only'!U:U,'Fuel and Energy_rail only'!C:C,C16)</f>
        <v>0</v>
      </c>
      <c r="R16">
        <f>SUMIFS('Fuel and Energy_rail only'!Y:Y,'Fuel and Energy_rail only'!C:C,C16)</f>
        <v>0</v>
      </c>
      <c r="S16">
        <f t="shared" si="5"/>
        <v>0</v>
      </c>
      <c r="T16">
        <f t="shared" si="6"/>
        <v>0</v>
      </c>
      <c r="U16" s="165">
        <f t="shared" si="7"/>
        <v>0</v>
      </c>
      <c r="V16" s="165">
        <f t="shared" si="7"/>
        <v>0</v>
      </c>
    </row>
    <row r="17" spans="2:22">
      <c r="B17" s="75" t="s">
        <v>354</v>
      </c>
      <c r="C17" s="75" t="s">
        <v>354</v>
      </c>
      <c r="D17" t="s">
        <v>1832</v>
      </c>
      <c r="E17">
        <f>SUMIFS('Annual Service Data_rail only'!N:N,'Annual Service Data_rail only'!C:C,C17)</f>
        <v>129</v>
      </c>
      <c r="F17" s="161">
        <f>SUMIFS('Annual Service Data_rail only'!X:X,'Annual Service Data_rail only'!C:C,C17)</f>
        <v>82234530</v>
      </c>
      <c r="G17" s="161">
        <f>SUMIFS('Annual Service Data_rail only'!AT:AT,'Annual Service Data_rail only'!C:C,C17)</f>
        <v>985922295</v>
      </c>
      <c r="H17">
        <f>SUMIFS('Fuel and Energy_rail only'!AD:AD,'Fuel and Energy_rail only'!C:C,C17)</f>
        <v>0</v>
      </c>
      <c r="I17">
        <f>SUMIFS('Fuel and Energy_rail only'!AN:AN,'Fuel and Energy_rail only'!C:C,C17)</f>
        <v>64920984</v>
      </c>
      <c r="J17" s="155">
        <f t="shared" si="2"/>
        <v>0</v>
      </c>
      <c r="K17" s="155">
        <f t="shared" si="2"/>
        <v>1</v>
      </c>
      <c r="L17" s="163">
        <f t="shared" si="0"/>
        <v>11.9891521846115</v>
      </c>
      <c r="M17" s="164">
        <f t="shared" si="1"/>
        <v>637476.97674418602</v>
      </c>
      <c r="N17" s="164">
        <f t="shared" si="3"/>
        <v>0</v>
      </c>
      <c r="O17" s="164">
        <f t="shared" si="4"/>
        <v>129</v>
      </c>
      <c r="P17">
        <f>SUMIFS('Fuel and Energy_rail only'!M:M,'Fuel and Energy_rail only'!C:C,C17)</f>
        <v>0</v>
      </c>
      <c r="Q17">
        <f>SUMIFS('Fuel and Energy_rail only'!U:U,'Fuel and Energy_rail only'!C:C,C17)</f>
        <v>0</v>
      </c>
      <c r="R17">
        <f>SUMIFS('Fuel and Energy_rail only'!Y:Y,'Fuel and Energy_rail only'!C:C,C17)</f>
        <v>576455528</v>
      </c>
      <c r="S17">
        <f t="shared" si="5"/>
        <v>0</v>
      </c>
      <c r="T17">
        <f t="shared" si="6"/>
        <v>1966946965309.9199</v>
      </c>
      <c r="U17" s="165">
        <f t="shared" si="7"/>
        <v>0</v>
      </c>
      <c r="V17" s="165">
        <f t="shared" si="7"/>
        <v>5.0124498137887213E-4</v>
      </c>
    </row>
    <row r="18" spans="2:22">
      <c r="B18" s="75" t="s">
        <v>91</v>
      </c>
      <c r="C18" s="75" t="s">
        <v>356</v>
      </c>
      <c r="D18" t="s">
        <v>1833</v>
      </c>
      <c r="E18">
        <f>SUMIFS('Annual Service Data_rail only'!N:N,'Annual Service Data_rail only'!C:C,C18)</f>
        <v>35</v>
      </c>
      <c r="F18" s="161">
        <f>SUMIFS('Annual Service Data_rail only'!X:X,'Annual Service Data_rail only'!C:C,C18)</f>
        <v>11964512</v>
      </c>
      <c r="G18" s="161">
        <f>SUMIFS('Annual Service Data_rail only'!AT:AT,'Annual Service Data_rail only'!C:C,C18)</f>
        <v>203966246</v>
      </c>
      <c r="H18">
        <f>SUMIFS('Fuel and Energy_rail only'!AD:AD,'Fuel and Energy_rail only'!C:C,C18)</f>
        <v>1504489</v>
      </c>
      <c r="I18">
        <f>SUMIFS('Fuel and Energy_rail only'!AN:AN,'Fuel and Energy_rail only'!C:C,C18)</f>
        <v>559892</v>
      </c>
      <c r="J18" s="155">
        <f t="shared" si="2"/>
        <v>0.72878456060194319</v>
      </c>
      <c r="K18" s="155">
        <f t="shared" si="2"/>
        <v>0.27121543939805687</v>
      </c>
      <c r="L18" s="163">
        <f t="shared" si="0"/>
        <v>17.047602610118993</v>
      </c>
      <c r="M18" s="164">
        <f t="shared" si="1"/>
        <v>341843.20000000001</v>
      </c>
      <c r="N18" s="164">
        <f t="shared" si="3"/>
        <v>25.507459621068012</v>
      </c>
      <c r="O18" s="164">
        <f t="shared" si="4"/>
        <v>9.4925403789319898</v>
      </c>
      <c r="P18">
        <f>SUMIFS('Fuel and Energy_rail only'!M:M,'Fuel and Energy_rail only'!C:C,C18)</f>
        <v>3648266</v>
      </c>
      <c r="Q18">
        <f>SUMIFS('Fuel and Energy_rail only'!U:U,'Fuel and Energy_rail only'!C:C,C18)</f>
        <v>0</v>
      </c>
      <c r="R18">
        <f>SUMIFS('Fuel and Energy_rail only'!Y:Y,'Fuel and Energy_rail only'!C:C,C18)</f>
        <v>66954261</v>
      </c>
      <c r="S18">
        <f t="shared" si="5"/>
        <v>506014494200</v>
      </c>
      <c r="T18">
        <f t="shared" si="6"/>
        <v>228457312128.53998</v>
      </c>
      <c r="U18" s="165">
        <f t="shared" si="7"/>
        <v>2.9376125125377459E-4</v>
      </c>
      <c r="V18" s="165">
        <f t="shared" si="7"/>
        <v>2.421406192511685E-4</v>
      </c>
    </row>
    <row r="19" spans="2:22">
      <c r="B19" s="75" t="s">
        <v>92</v>
      </c>
      <c r="C19" s="75" t="s">
        <v>357</v>
      </c>
      <c r="D19" t="s">
        <v>1834</v>
      </c>
      <c r="E19">
        <f>SUMIFS('Annual Service Data_rail only'!N:N,'Annual Service Data_rail only'!C:C,C19)</f>
        <v>39</v>
      </c>
      <c r="F19" s="161">
        <f>SUMIFS('Annual Service Data_rail only'!X:X,'Annual Service Data_rail only'!C:C,C19)</f>
        <v>21145309</v>
      </c>
      <c r="G19" s="161">
        <f>SUMIFS('Annual Service Data_rail only'!AT:AT,'Annual Service Data_rail only'!C:C,C19)</f>
        <v>329631085</v>
      </c>
      <c r="H19">
        <f>SUMIFS('Fuel and Energy_rail only'!AD:AD,'Fuel and Energy_rail only'!C:C,C19)</f>
        <v>0</v>
      </c>
      <c r="I19">
        <f>SUMIFS('Fuel and Energy_rail only'!AN:AN,'Fuel and Energy_rail only'!C:C,C19)</f>
        <v>19692749</v>
      </c>
      <c r="J19" s="155">
        <f t="shared" si="2"/>
        <v>0</v>
      </c>
      <c r="K19" s="155">
        <f t="shared" si="2"/>
        <v>1</v>
      </c>
      <c r="L19" s="163">
        <f t="shared" si="0"/>
        <v>15.588851645535186</v>
      </c>
      <c r="M19" s="164">
        <f t="shared" si="1"/>
        <v>542187.41025641025</v>
      </c>
      <c r="N19" s="164">
        <f t="shared" si="3"/>
        <v>0</v>
      </c>
      <c r="O19" s="164">
        <f t="shared" si="4"/>
        <v>39</v>
      </c>
      <c r="P19">
        <f>SUMIFS('Fuel and Energy_rail only'!M:M,'Fuel and Energy_rail only'!C:C,C19)</f>
        <v>0</v>
      </c>
      <c r="Q19">
        <f>SUMIFS('Fuel and Energy_rail only'!U:U,'Fuel and Energy_rail only'!C:C,C19)</f>
        <v>0</v>
      </c>
      <c r="R19">
        <f>SUMIFS('Fuel and Energy_rail only'!Y:Y,'Fuel and Energy_rail only'!C:C,C19)</f>
        <v>83566447</v>
      </c>
      <c r="S19">
        <f t="shared" si="5"/>
        <v>0</v>
      </c>
      <c r="T19">
        <f t="shared" si="6"/>
        <v>285140416466.58002</v>
      </c>
      <c r="U19" s="165">
        <f t="shared" si="7"/>
        <v>0</v>
      </c>
      <c r="V19" s="165">
        <f t="shared" si="7"/>
        <v>1.1560307342071744E-3</v>
      </c>
    </row>
    <row r="20" spans="2:22">
      <c r="B20" s="75" t="s">
        <v>125</v>
      </c>
      <c r="C20" s="75" t="s">
        <v>358</v>
      </c>
      <c r="D20" t="s">
        <v>1835</v>
      </c>
      <c r="E20">
        <f>SUMIFS('Annual Service Data_rail only'!N:N,'Annual Service Data_rail only'!C:C,C20)</f>
        <v>0</v>
      </c>
      <c r="F20" s="161">
        <f>SUMIFS('Annual Service Data_rail only'!X:X,'Annual Service Data_rail only'!C:C,C20)</f>
        <v>0</v>
      </c>
      <c r="G20" s="161">
        <f>SUMIFS('Annual Service Data_rail only'!AT:AT,'Annual Service Data_rail only'!C:C,C20)</f>
        <v>0</v>
      </c>
      <c r="H20">
        <f>SUMIFS('Fuel and Energy_rail only'!AD:AD,'Fuel and Energy_rail only'!C:C,C20)</f>
        <v>0</v>
      </c>
      <c r="I20">
        <f>SUMIFS('Fuel and Energy_rail only'!AN:AN,'Fuel and Energy_rail only'!C:C,C20)</f>
        <v>0</v>
      </c>
      <c r="J20" s="155">
        <f t="shared" si="2"/>
        <v>0</v>
      </c>
      <c r="K20" s="155">
        <f t="shared" si="2"/>
        <v>0</v>
      </c>
      <c r="L20" s="163">
        <f t="shared" si="0"/>
        <v>0</v>
      </c>
      <c r="M20" s="164">
        <f t="shared" si="1"/>
        <v>0</v>
      </c>
      <c r="N20" s="164">
        <f t="shared" si="3"/>
        <v>0</v>
      </c>
      <c r="O20" s="164">
        <f t="shared" si="4"/>
        <v>0</v>
      </c>
      <c r="P20">
        <f>SUMIFS('Fuel and Energy_rail only'!M:M,'Fuel and Energy_rail only'!C:C,C20)</f>
        <v>0</v>
      </c>
      <c r="Q20">
        <f>SUMIFS('Fuel and Energy_rail only'!U:U,'Fuel and Energy_rail only'!C:C,C20)</f>
        <v>0</v>
      </c>
      <c r="R20">
        <f>SUMIFS('Fuel and Energy_rail only'!Y:Y,'Fuel and Energy_rail only'!C:C,C20)</f>
        <v>0</v>
      </c>
      <c r="S20">
        <f t="shared" si="5"/>
        <v>0</v>
      </c>
      <c r="T20">
        <f t="shared" si="6"/>
        <v>0</v>
      </c>
      <c r="U20" s="165">
        <f t="shared" si="7"/>
        <v>0</v>
      </c>
      <c r="V20" s="165">
        <f t="shared" si="7"/>
        <v>0</v>
      </c>
    </row>
    <row r="21" spans="2:22">
      <c r="B21" s="75" t="s">
        <v>119</v>
      </c>
      <c r="C21" s="75" t="s">
        <v>360</v>
      </c>
      <c r="D21" t="s">
        <v>1836</v>
      </c>
      <c r="E21">
        <f>SUMIFS('Annual Service Data_rail only'!N:N,'Annual Service Data_rail only'!C:C,C21)</f>
        <v>0</v>
      </c>
      <c r="F21" s="161">
        <f>SUMIFS('Annual Service Data_rail only'!X:X,'Annual Service Data_rail only'!C:C,C21)</f>
        <v>0</v>
      </c>
      <c r="G21" s="161">
        <f>SUMIFS('Annual Service Data_rail only'!AT:AT,'Annual Service Data_rail only'!C:C,C21)</f>
        <v>0</v>
      </c>
      <c r="H21">
        <f>SUMIFS('Fuel and Energy_rail only'!AD:AD,'Fuel and Energy_rail only'!C:C,C21)</f>
        <v>0</v>
      </c>
      <c r="I21">
        <f>SUMIFS('Fuel and Energy_rail only'!AN:AN,'Fuel and Energy_rail only'!C:C,C21)</f>
        <v>0</v>
      </c>
      <c r="J21" s="155">
        <f t="shared" si="2"/>
        <v>0</v>
      </c>
      <c r="K21" s="155">
        <f t="shared" si="2"/>
        <v>0</v>
      </c>
      <c r="L21" s="163">
        <f t="shared" si="0"/>
        <v>0</v>
      </c>
      <c r="M21" s="164">
        <f t="shared" si="1"/>
        <v>0</v>
      </c>
      <c r="N21" s="164">
        <f t="shared" si="3"/>
        <v>0</v>
      </c>
      <c r="O21" s="164">
        <f t="shared" si="4"/>
        <v>0</v>
      </c>
      <c r="P21">
        <f>SUMIFS('Fuel and Energy_rail only'!M:M,'Fuel and Energy_rail only'!C:C,C21)</f>
        <v>0</v>
      </c>
      <c r="Q21">
        <f>SUMIFS('Fuel and Energy_rail only'!U:U,'Fuel and Energy_rail only'!C:C,C21)</f>
        <v>0</v>
      </c>
      <c r="R21">
        <f>SUMIFS('Fuel and Energy_rail only'!Y:Y,'Fuel and Energy_rail only'!C:C,C21)</f>
        <v>0</v>
      </c>
      <c r="S21">
        <f t="shared" si="5"/>
        <v>0</v>
      </c>
      <c r="T21">
        <f t="shared" si="6"/>
        <v>0</v>
      </c>
      <c r="U21" s="165">
        <f t="shared" si="7"/>
        <v>0</v>
      </c>
      <c r="V21" s="165">
        <f t="shared" si="7"/>
        <v>0</v>
      </c>
    </row>
    <row r="22" spans="2:22">
      <c r="B22" s="75" t="s">
        <v>97</v>
      </c>
      <c r="C22" s="75" t="s">
        <v>361</v>
      </c>
      <c r="D22" t="s">
        <v>1837</v>
      </c>
      <c r="E22">
        <f>SUMIFS('Annual Service Data_rail only'!N:N,'Annual Service Data_rail only'!C:C,C22)</f>
        <v>251</v>
      </c>
      <c r="F22" s="161">
        <f>SUMIFS('Annual Service Data_rail only'!X:X,'Annual Service Data_rail only'!C:C,C22)</f>
        <v>102408279</v>
      </c>
      <c r="G22" s="161">
        <f>SUMIFS('Annual Service Data_rail only'!AT:AT,'Annual Service Data_rail only'!C:C,C22)</f>
        <v>839546950</v>
      </c>
      <c r="H22">
        <f>SUMIFS('Fuel and Energy_rail only'!AD:AD,'Fuel and Energy_rail only'!C:C,C22)</f>
        <v>5202961</v>
      </c>
      <c r="I22">
        <f>SUMIFS('Fuel and Energy_rail only'!AN:AN,'Fuel and Energy_rail only'!C:C,C22)</f>
        <v>66917044</v>
      </c>
      <c r="J22" s="155">
        <f t="shared" si="2"/>
        <v>7.2143103706107617E-2</v>
      </c>
      <c r="K22" s="155">
        <f t="shared" si="2"/>
        <v>0.92785689629389234</v>
      </c>
      <c r="L22" s="163">
        <f t="shared" si="0"/>
        <v>8.1980378754338794</v>
      </c>
      <c r="M22" s="164">
        <f t="shared" si="1"/>
        <v>408001.11155378487</v>
      </c>
      <c r="N22" s="164">
        <f t="shared" si="3"/>
        <v>18.107919030233013</v>
      </c>
      <c r="O22" s="164">
        <f t="shared" si="4"/>
        <v>232.89208096976697</v>
      </c>
      <c r="P22">
        <f>SUMIFS('Fuel and Energy_rail only'!M:M,'Fuel and Energy_rail only'!C:C,C22)</f>
        <v>36200086</v>
      </c>
      <c r="Q22">
        <f>SUMIFS('Fuel and Energy_rail only'!U:U,'Fuel and Energy_rail only'!C:C,C22)</f>
        <v>0</v>
      </c>
      <c r="R22">
        <f>SUMIFS('Fuel and Energy_rail only'!Y:Y,'Fuel and Energy_rail only'!C:C,C22)</f>
        <v>422807803</v>
      </c>
      <c r="S22">
        <f t="shared" si="5"/>
        <v>5020951928200</v>
      </c>
      <c r="T22">
        <f t="shared" si="6"/>
        <v>1442679416928.4199</v>
      </c>
      <c r="U22" s="165">
        <f t="shared" si="7"/>
        <v>1.2062956097990302E-5</v>
      </c>
      <c r="V22" s="165">
        <f t="shared" si="7"/>
        <v>5.399532412949464E-4</v>
      </c>
    </row>
    <row r="23" spans="2:22">
      <c r="B23" s="75" t="s">
        <v>98</v>
      </c>
      <c r="C23" s="75" t="s">
        <v>362</v>
      </c>
      <c r="D23" t="s">
        <v>1838</v>
      </c>
      <c r="E23">
        <f>SUMIFS('Annual Service Data_rail only'!N:N,'Annual Service Data_rail only'!C:C,C23)</f>
        <v>17</v>
      </c>
      <c r="F23" s="161">
        <f>SUMIFS('Annual Service Data_rail only'!X:X,'Annual Service Data_rail only'!C:C,C23)</f>
        <v>3988838</v>
      </c>
      <c r="G23" s="161">
        <f>SUMIFS('Annual Service Data_rail only'!AT:AT,'Annual Service Data_rail only'!C:C,C23)</f>
        <v>32836617</v>
      </c>
      <c r="H23">
        <f>SUMIFS('Fuel and Energy_rail only'!AD:AD,'Fuel and Energy_rail only'!C:C,C23)</f>
        <v>0</v>
      </c>
      <c r="I23">
        <f>SUMIFS('Fuel and Energy_rail only'!AN:AN,'Fuel and Energy_rail only'!C:C,C23)</f>
        <v>3510093</v>
      </c>
      <c r="J23" s="155">
        <f t="shared" si="2"/>
        <v>0</v>
      </c>
      <c r="K23" s="155">
        <f t="shared" si="2"/>
        <v>1</v>
      </c>
      <c r="L23" s="163">
        <f t="shared" si="0"/>
        <v>8.2321259975962917</v>
      </c>
      <c r="M23" s="164">
        <f t="shared" si="1"/>
        <v>234637.5294117647</v>
      </c>
      <c r="N23" s="164">
        <f t="shared" si="3"/>
        <v>0</v>
      </c>
      <c r="O23" s="164">
        <f t="shared" si="4"/>
        <v>17</v>
      </c>
      <c r="P23">
        <f>SUMIFS('Fuel and Energy_rail only'!M:M,'Fuel and Energy_rail only'!C:C,C23)</f>
        <v>0</v>
      </c>
      <c r="Q23">
        <f>SUMIFS('Fuel and Energy_rail only'!U:U,'Fuel and Energy_rail only'!C:C,C23)</f>
        <v>0</v>
      </c>
      <c r="R23">
        <f>SUMIFS('Fuel and Energy_rail only'!Y:Y,'Fuel and Energy_rail only'!C:C,C23)</f>
        <v>18158000</v>
      </c>
      <c r="S23">
        <f t="shared" si="5"/>
        <v>0</v>
      </c>
      <c r="T23">
        <f t="shared" si="6"/>
        <v>61957638120</v>
      </c>
      <c r="U23" s="165">
        <f t="shared" si="7"/>
        <v>0</v>
      </c>
      <c r="V23" s="165">
        <f t="shared" si="7"/>
        <v>5.2998497031797435E-4</v>
      </c>
    </row>
    <row r="24" spans="2:22">
      <c r="B24" s="75" t="s">
        <v>99</v>
      </c>
      <c r="C24" s="75" t="s">
        <v>359</v>
      </c>
      <c r="D24" t="s">
        <v>1839</v>
      </c>
      <c r="E24">
        <f>SUMIFS('Annual Service Data_rail only'!N:N,'Annual Service Data_rail only'!C:C,C24)</f>
        <v>0</v>
      </c>
      <c r="F24" s="161">
        <f>SUMIFS('Annual Service Data_rail only'!X:X,'Annual Service Data_rail only'!C:C,C24)</f>
        <v>0</v>
      </c>
      <c r="G24" s="161">
        <f>SUMIFS('Annual Service Data_rail only'!AT:AT,'Annual Service Data_rail only'!C:C,C24)</f>
        <v>0</v>
      </c>
      <c r="H24">
        <f>SUMIFS('Fuel and Energy_rail only'!AD:AD,'Fuel and Energy_rail only'!C:C,C24)</f>
        <v>0</v>
      </c>
      <c r="I24">
        <f>SUMIFS('Fuel and Energy_rail only'!AN:AN,'Fuel and Energy_rail only'!C:C,C24)</f>
        <v>0</v>
      </c>
      <c r="J24" s="155">
        <f t="shared" si="2"/>
        <v>0</v>
      </c>
      <c r="K24" s="155">
        <f t="shared" si="2"/>
        <v>0</v>
      </c>
      <c r="L24" s="163">
        <f t="shared" si="0"/>
        <v>0</v>
      </c>
      <c r="M24" s="164">
        <f t="shared" si="1"/>
        <v>0</v>
      </c>
      <c r="N24" s="164">
        <f t="shared" si="3"/>
        <v>0</v>
      </c>
      <c r="O24" s="164">
        <f t="shared" si="4"/>
        <v>0</v>
      </c>
      <c r="P24">
        <f>SUMIFS('Fuel and Energy_rail only'!M:M,'Fuel and Energy_rail only'!C:C,C24)</f>
        <v>0</v>
      </c>
      <c r="Q24">
        <f>SUMIFS('Fuel and Energy_rail only'!U:U,'Fuel and Energy_rail only'!C:C,C24)</f>
        <v>0</v>
      </c>
      <c r="R24">
        <f>SUMIFS('Fuel and Energy_rail only'!Y:Y,'Fuel and Energy_rail only'!C:C,C24)</f>
        <v>0</v>
      </c>
      <c r="S24">
        <f t="shared" si="5"/>
        <v>0</v>
      </c>
      <c r="T24">
        <f t="shared" si="6"/>
        <v>0</v>
      </c>
      <c r="U24" s="165">
        <f t="shared" si="7"/>
        <v>0</v>
      </c>
      <c r="V24" s="165">
        <f t="shared" si="7"/>
        <v>0</v>
      </c>
    </row>
    <row r="25" spans="2:22">
      <c r="B25" s="75" t="s">
        <v>100</v>
      </c>
      <c r="C25" s="75" t="s">
        <v>363</v>
      </c>
      <c r="D25" t="s">
        <v>1840</v>
      </c>
      <c r="E25">
        <f>SUMIFS('Annual Service Data_rail only'!N:N,'Annual Service Data_rail only'!C:C,C25)</f>
        <v>0</v>
      </c>
      <c r="F25" s="161">
        <f>SUMIFS('Annual Service Data_rail only'!X:X,'Annual Service Data_rail only'!C:C,C25)</f>
        <v>0</v>
      </c>
      <c r="G25" s="161">
        <f>SUMIFS('Annual Service Data_rail only'!AT:AT,'Annual Service Data_rail only'!C:C,C25)</f>
        <v>0</v>
      </c>
      <c r="H25">
        <f>SUMIFS('Fuel and Energy_rail only'!AD:AD,'Fuel and Energy_rail only'!C:C,C25)</f>
        <v>0</v>
      </c>
      <c r="I25">
        <f>SUMIFS('Fuel and Energy_rail only'!AN:AN,'Fuel and Energy_rail only'!C:C,C25)</f>
        <v>0</v>
      </c>
      <c r="J25" s="155">
        <f t="shared" si="2"/>
        <v>0</v>
      </c>
      <c r="K25" s="155">
        <f t="shared" si="2"/>
        <v>0</v>
      </c>
      <c r="L25" s="163">
        <f t="shared" si="0"/>
        <v>0</v>
      </c>
      <c r="M25" s="164">
        <f t="shared" si="1"/>
        <v>0</v>
      </c>
      <c r="N25" s="164">
        <f t="shared" si="3"/>
        <v>0</v>
      </c>
      <c r="O25" s="164">
        <f t="shared" si="4"/>
        <v>0</v>
      </c>
      <c r="P25">
        <f>SUMIFS('Fuel and Energy_rail only'!M:M,'Fuel and Energy_rail only'!C:C,C25)</f>
        <v>0</v>
      </c>
      <c r="Q25">
        <f>SUMIFS('Fuel and Energy_rail only'!U:U,'Fuel and Energy_rail only'!C:C,C25)</f>
        <v>0</v>
      </c>
      <c r="R25">
        <f>SUMIFS('Fuel and Energy_rail only'!Y:Y,'Fuel and Energy_rail only'!C:C,C25)</f>
        <v>0</v>
      </c>
      <c r="S25">
        <f t="shared" si="5"/>
        <v>0</v>
      </c>
      <c r="T25">
        <f t="shared" si="6"/>
        <v>0</v>
      </c>
      <c r="U25" s="165">
        <f t="shared" si="7"/>
        <v>0</v>
      </c>
      <c r="V25" s="165">
        <f t="shared" si="7"/>
        <v>0</v>
      </c>
    </row>
    <row r="26" spans="2:22">
      <c r="B26" s="75" t="s">
        <v>101</v>
      </c>
      <c r="C26" s="75" t="s">
        <v>364</v>
      </c>
      <c r="D26" t="s">
        <v>1841</v>
      </c>
      <c r="E26">
        <f>SUMIFS('Annual Service Data_rail only'!N:N,'Annual Service Data_rail only'!C:C,C26)</f>
        <v>0</v>
      </c>
      <c r="F26" s="161">
        <f>SUMIFS('Annual Service Data_rail only'!X:X,'Annual Service Data_rail only'!C:C,C26)</f>
        <v>0</v>
      </c>
      <c r="G26" s="161">
        <f>SUMIFS('Annual Service Data_rail only'!AT:AT,'Annual Service Data_rail only'!C:C,C26)</f>
        <v>0</v>
      </c>
      <c r="H26">
        <f>SUMIFS('Fuel and Energy_rail only'!AD:AD,'Fuel and Energy_rail only'!C:C,C26)</f>
        <v>0</v>
      </c>
      <c r="I26">
        <f>SUMIFS('Fuel and Energy_rail only'!AN:AN,'Fuel and Energy_rail only'!C:C,C26)</f>
        <v>0</v>
      </c>
      <c r="J26" s="155">
        <f t="shared" si="2"/>
        <v>0</v>
      </c>
      <c r="K26" s="155">
        <f t="shared" si="2"/>
        <v>0</v>
      </c>
      <c r="L26" s="163">
        <f t="shared" si="0"/>
        <v>0</v>
      </c>
      <c r="M26" s="164">
        <f t="shared" si="1"/>
        <v>0</v>
      </c>
      <c r="N26" s="164">
        <f t="shared" si="3"/>
        <v>0</v>
      </c>
      <c r="O26" s="164">
        <f t="shared" si="4"/>
        <v>0</v>
      </c>
      <c r="P26">
        <f>SUMIFS('Fuel and Energy_rail only'!M:M,'Fuel and Energy_rail only'!C:C,C26)</f>
        <v>0</v>
      </c>
      <c r="Q26">
        <f>SUMIFS('Fuel and Energy_rail only'!U:U,'Fuel and Energy_rail only'!C:C,C26)</f>
        <v>0</v>
      </c>
      <c r="R26">
        <f>SUMIFS('Fuel and Energy_rail only'!Y:Y,'Fuel and Energy_rail only'!C:C,C26)</f>
        <v>0</v>
      </c>
      <c r="S26">
        <f t="shared" si="5"/>
        <v>0</v>
      </c>
      <c r="T26">
        <f t="shared" si="6"/>
        <v>0</v>
      </c>
      <c r="U26" s="165">
        <f t="shared" si="7"/>
        <v>0</v>
      </c>
      <c r="V26" s="165">
        <f t="shared" si="7"/>
        <v>0</v>
      </c>
    </row>
    <row r="27" spans="2:22">
      <c r="B27" s="75" t="s">
        <v>114</v>
      </c>
      <c r="C27" s="75" t="s">
        <v>365</v>
      </c>
      <c r="D27" t="s">
        <v>1842</v>
      </c>
      <c r="E27">
        <f>SUMIFS('Annual Service Data_rail only'!N:N,'Annual Service Data_rail only'!C:C,C27)</f>
        <v>0</v>
      </c>
      <c r="F27" s="161">
        <f>SUMIFS('Annual Service Data_rail only'!X:X,'Annual Service Data_rail only'!C:C,C27)</f>
        <v>0</v>
      </c>
      <c r="G27" s="161">
        <f>SUMIFS('Annual Service Data_rail only'!AT:AT,'Annual Service Data_rail only'!C:C,C27)</f>
        <v>0</v>
      </c>
      <c r="H27">
        <f>SUMIFS('Fuel and Energy_rail only'!AD:AD,'Fuel and Energy_rail only'!C:C,C27)</f>
        <v>0</v>
      </c>
      <c r="I27">
        <f>SUMIFS('Fuel and Energy_rail only'!AN:AN,'Fuel and Energy_rail only'!C:C,C27)</f>
        <v>0</v>
      </c>
      <c r="J27" s="155">
        <f t="shared" si="2"/>
        <v>0</v>
      </c>
      <c r="K27" s="155">
        <f t="shared" si="2"/>
        <v>0</v>
      </c>
      <c r="L27" s="163">
        <f t="shared" si="0"/>
        <v>0</v>
      </c>
      <c r="M27" s="164">
        <f t="shared" si="1"/>
        <v>0</v>
      </c>
      <c r="N27" s="164">
        <f t="shared" si="3"/>
        <v>0</v>
      </c>
      <c r="O27" s="164">
        <f t="shared" si="4"/>
        <v>0</v>
      </c>
      <c r="P27">
        <f>SUMIFS('Fuel and Energy_rail only'!M:M,'Fuel and Energy_rail only'!C:C,C27)</f>
        <v>0</v>
      </c>
      <c r="Q27">
        <f>SUMIFS('Fuel and Energy_rail only'!U:U,'Fuel and Energy_rail only'!C:C,C27)</f>
        <v>0</v>
      </c>
      <c r="R27">
        <f>SUMIFS('Fuel and Energy_rail only'!Y:Y,'Fuel and Energy_rail only'!C:C,C27)</f>
        <v>0</v>
      </c>
      <c r="S27">
        <f t="shared" si="5"/>
        <v>0</v>
      </c>
      <c r="T27">
        <f t="shared" si="6"/>
        <v>0</v>
      </c>
      <c r="U27" s="165">
        <f t="shared" si="7"/>
        <v>0</v>
      </c>
      <c r="V27" s="165">
        <f t="shared" si="7"/>
        <v>0</v>
      </c>
    </row>
    <row r="28" spans="2:22">
      <c r="B28" s="75" t="s">
        <v>81</v>
      </c>
      <c r="C28" s="75" t="s">
        <v>368</v>
      </c>
      <c r="D28" t="s">
        <v>1843</v>
      </c>
      <c r="E28">
        <f>SUMIFS('Annual Service Data_rail only'!N:N,'Annual Service Data_rail only'!C:C,C28)</f>
        <v>3</v>
      </c>
      <c r="F28" s="161">
        <f>SUMIFS('Annual Service Data_rail only'!X:X,'Annual Service Data_rail only'!C:C,C28)</f>
        <v>1974842</v>
      </c>
      <c r="G28" s="161">
        <f>SUMIFS('Annual Service Data_rail only'!AT:AT,'Annual Service Data_rail only'!C:C,C28)</f>
        <v>33416609</v>
      </c>
      <c r="H28">
        <f>SUMIFS('Fuel and Energy_rail only'!AD:AD,'Fuel and Energy_rail only'!C:C,C28)</f>
        <v>0</v>
      </c>
      <c r="I28">
        <f>SUMIFS('Fuel and Energy_rail only'!AN:AN,'Fuel and Energy_rail only'!C:C,C28)</f>
        <v>0</v>
      </c>
      <c r="J28" s="155">
        <f t="shared" si="2"/>
        <v>0</v>
      </c>
      <c r="K28" s="155">
        <f t="shared" si="2"/>
        <v>0</v>
      </c>
      <c r="L28" s="163">
        <f t="shared" si="0"/>
        <v>16.921155717773878</v>
      </c>
      <c r="M28" s="164">
        <f t="shared" si="1"/>
        <v>658280.66666666663</v>
      </c>
      <c r="N28" s="164">
        <f t="shared" si="3"/>
        <v>0</v>
      </c>
      <c r="O28" s="164">
        <f t="shared" si="4"/>
        <v>0</v>
      </c>
      <c r="P28">
        <f>SUMIFS('Fuel and Energy_rail only'!M:M,'Fuel and Energy_rail only'!C:C,C28)</f>
        <v>628302</v>
      </c>
      <c r="Q28">
        <f>SUMIFS('Fuel and Energy_rail only'!U:U,'Fuel and Energy_rail only'!C:C,C28)</f>
        <v>0</v>
      </c>
      <c r="R28">
        <f>SUMIFS('Fuel and Energy_rail only'!Y:Y,'Fuel and Energy_rail only'!C:C,C28)</f>
        <v>0</v>
      </c>
      <c r="S28">
        <f t="shared" si="5"/>
        <v>87145487400</v>
      </c>
      <c r="T28">
        <f t="shared" si="6"/>
        <v>0</v>
      </c>
      <c r="U28" s="165">
        <f t="shared" si="7"/>
        <v>0</v>
      </c>
      <c r="V28" s="165">
        <f t="shared" si="7"/>
        <v>0</v>
      </c>
    </row>
    <row r="29" spans="2:22">
      <c r="B29" s="75" t="s">
        <v>87</v>
      </c>
      <c r="C29" s="75" t="s">
        <v>367</v>
      </c>
      <c r="D29" t="s">
        <v>1844</v>
      </c>
      <c r="E29">
        <f>SUMIFS('Annual Service Data_rail only'!N:N,'Annual Service Data_rail only'!C:C,C29)</f>
        <v>55</v>
      </c>
      <c r="F29" s="161">
        <f>SUMIFS('Annual Service Data_rail only'!X:X,'Annual Service Data_rail only'!C:C,C29)</f>
        <v>13332723</v>
      </c>
      <c r="G29" s="161">
        <f>SUMIFS('Annual Service Data_rail only'!AT:AT,'Annual Service Data_rail only'!C:C,C29)</f>
        <v>252169120</v>
      </c>
      <c r="H29">
        <f>SUMIFS('Fuel and Energy_rail only'!AD:AD,'Fuel and Energy_rail only'!C:C,C29)</f>
        <v>764117</v>
      </c>
      <c r="I29">
        <f>SUMIFS('Fuel and Energy_rail only'!AN:AN,'Fuel and Energy_rail only'!C:C,C29)</f>
        <v>2843642</v>
      </c>
      <c r="J29" s="155">
        <f t="shared" si="2"/>
        <v>0.21179823818608726</v>
      </c>
      <c r="K29" s="155">
        <f t="shared" si="2"/>
        <v>0.78820176181391277</v>
      </c>
      <c r="L29" s="163">
        <f t="shared" si="0"/>
        <v>18.913549767740619</v>
      </c>
      <c r="M29" s="164">
        <f t="shared" si="1"/>
        <v>242413.14545454545</v>
      </c>
      <c r="N29" s="164">
        <f t="shared" si="3"/>
        <v>11.648903100234799</v>
      </c>
      <c r="O29" s="164">
        <f t="shared" si="4"/>
        <v>43.351096899765203</v>
      </c>
      <c r="P29">
        <f>SUMIFS('Fuel and Energy_rail only'!M:M,'Fuel and Energy_rail only'!C:C,C29)</f>
        <v>3709703</v>
      </c>
      <c r="Q29">
        <f>SUMIFS('Fuel and Energy_rail only'!U:U,'Fuel and Energy_rail only'!C:C,C29)</f>
        <v>0</v>
      </c>
      <c r="R29">
        <f>SUMIFS('Fuel and Energy_rail only'!Y:Y,'Fuel and Energy_rail only'!C:C,C29)</f>
        <v>91224966</v>
      </c>
      <c r="S29">
        <f t="shared" si="5"/>
        <v>514535806100</v>
      </c>
      <c r="T29">
        <f t="shared" si="6"/>
        <v>311272355487.23999</v>
      </c>
      <c r="U29" s="165">
        <f t="shared" si="7"/>
        <v>1.0380030837067924E-4</v>
      </c>
      <c r="V29" s="165">
        <f t="shared" si="7"/>
        <v>6.3854094703637049E-4</v>
      </c>
    </row>
    <row r="30" spans="2:22">
      <c r="B30" s="75" t="s">
        <v>82</v>
      </c>
      <c r="C30" s="75" t="s">
        <v>366</v>
      </c>
      <c r="D30" t="s">
        <v>1845</v>
      </c>
      <c r="E30">
        <f>SUMIFS('Annual Service Data_rail only'!N:N,'Annual Service Data_rail only'!C:C,C30)</f>
        <v>209</v>
      </c>
      <c r="F30" s="161">
        <f>SUMIFS('Annual Service Data_rail only'!X:X,'Annual Service Data_rail only'!C:C,C30)</f>
        <v>50817429</v>
      </c>
      <c r="G30" s="161">
        <f>SUMIFS('Annual Service Data_rail only'!AT:AT,'Annual Service Data_rail only'!C:C,C30)</f>
        <v>1018614837</v>
      </c>
      <c r="H30">
        <f>SUMIFS('Fuel and Energy_rail only'!AD:AD,'Fuel and Energy_rail only'!C:C,C30)</f>
        <v>4339139</v>
      </c>
      <c r="I30">
        <f>SUMIFS('Fuel and Energy_rail only'!AN:AN,'Fuel and Energy_rail only'!C:C,C30)</f>
        <v>27601749</v>
      </c>
      <c r="J30" s="155">
        <f t="shared" si="2"/>
        <v>0.13584904089078551</v>
      </c>
      <c r="K30" s="155">
        <f t="shared" si="2"/>
        <v>0.86415095910921447</v>
      </c>
      <c r="L30" s="163">
        <f t="shared" si="0"/>
        <v>20.044596057781671</v>
      </c>
      <c r="M30" s="164">
        <f t="shared" si="1"/>
        <v>243145.59330143541</v>
      </c>
      <c r="N30" s="164">
        <f t="shared" si="3"/>
        <v>28.39244954617417</v>
      </c>
      <c r="O30" s="164">
        <f t="shared" si="4"/>
        <v>180.60755045382584</v>
      </c>
      <c r="P30">
        <f>SUMIFS('Fuel and Energy_rail only'!M:M,'Fuel and Energy_rail only'!C:C,C30)</f>
        <v>13360985</v>
      </c>
      <c r="Q30">
        <f>SUMIFS('Fuel and Energy_rail only'!U:U,'Fuel and Energy_rail only'!C:C,C30)</f>
        <v>0</v>
      </c>
      <c r="R30">
        <f>SUMIFS('Fuel and Energy_rail only'!Y:Y,'Fuel and Energy_rail only'!C:C,C30)</f>
        <v>225210199</v>
      </c>
      <c r="S30">
        <f t="shared" si="5"/>
        <v>1853168619500</v>
      </c>
      <c r="T30">
        <f t="shared" si="6"/>
        <v>768448728415.85999</v>
      </c>
      <c r="U30" s="165">
        <f t="shared" si="7"/>
        <v>7.4670943155140035E-5</v>
      </c>
      <c r="V30" s="165">
        <f t="shared" si="7"/>
        <v>1.1454726331202542E-3</v>
      </c>
    </row>
    <row r="31" spans="2:22">
      <c r="B31" s="75" t="s">
        <v>102</v>
      </c>
      <c r="C31" s="75" t="s">
        <v>369</v>
      </c>
      <c r="D31" t="s">
        <v>1846</v>
      </c>
      <c r="E31">
        <f>SUMIFS('Annual Service Data_rail only'!N:N,'Annual Service Data_rail only'!C:C,C31)</f>
        <v>0</v>
      </c>
      <c r="F31" s="161">
        <f>SUMIFS('Annual Service Data_rail only'!X:X,'Annual Service Data_rail only'!C:C,C31)</f>
        <v>0</v>
      </c>
      <c r="G31" s="161">
        <f>SUMIFS('Annual Service Data_rail only'!AT:AT,'Annual Service Data_rail only'!C:C,C31)</f>
        <v>0</v>
      </c>
      <c r="H31">
        <f>SUMIFS('Fuel and Energy_rail only'!AD:AD,'Fuel and Energy_rail only'!C:C,C31)</f>
        <v>0</v>
      </c>
      <c r="I31">
        <f>SUMIFS('Fuel and Energy_rail only'!AN:AN,'Fuel and Energy_rail only'!C:C,C31)</f>
        <v>0</v>
      </c>
      <c r="J31" s="155">
        <f t="shared" si="2"/>
        <v>0</v>
      </c>
      <c r="K31" s="155">
        <f t="shared" si="2"/>
        <v>0</v>
      </c>
      <c r="L31" s="163">
        <f t="shared" si="0"/>
        <v>0</v>
      </c>
      <c r="M31" s="164">
        <f t="shared" si="1"/>
        <v>0</v>
      </c>
      <c r="N31" s="164">
        <f t="shared" si="3"/>
        <v>0</v>
      </c>
      <c r="O31" s="164">
        <f t="shared" si="4"/>
        <v>0</v>
      </c>
      <c r="P31">
        <f>SUMIFS('Fuel and Energy_rail only'!M:M,'Fuel and Energy_rail only'!C:C,C31)</f>
        <v>0</v>
      </c>
      <c r="Q31">
        <f>SUMIFS('Fuel and Energy_rail only'!U:U,'Fuel and Energy_rail only'!C:C,C31)</f>
        <v>0</v>
      </c>
      <c r="R31">
        <f>SUMIFS('Fuel and Energy_rail only'!Y:Y,'Fuel and Energy_rail only'!C:C,C31)</f>
        <v>0</v>
      </c>
      <c r="S31">
        <f t="shared" si="5"/>
        <v>0</v>
      </c>
      <c r="T31">
        <f t="shared" si="6"/>
        <v>0</v>
      </c>
      <c r="U31" s="165">
        <f t="shared" si="7"/>
        <v>0</v>
      </c>
      <c r="V31" s="165">
        <f t="shared" si="7"/>
        <v>0</v>
      </c>
    </row>
    <row r="32" spans="2:22">
      <c r="B32" s="75" t="s">
        <v>103</v>
      </c>
      <c r="C32" s="75" t="s">
        <v>370</v>
      </c>
      <c r="D32" t="s">
        <v>1847</v>
      </c>
      <c r="E32">
        <f>SUMIFS('Annual Service Data_rail only'!N:N,'Annual Service Data_rail only'!C:C,C32)</f>
        <v>27</v>
      </c>
      <c r="F32" s="161">
        <f>SUMIFS('Annual Service Data_rail only'!X:X,'Annual Service Data_rail only'!C:C,C32)</f>
        <v>4386285</v>
      </c>
      <c r="G32" s="161">
        <f>SUMIFS('Annual Service Data_rail only'!AT:AT,'Annual Service Data_rail only'!C:C,C32)</f>
        <v>44505006</v>
      </c>
      <c r="H32">
        <f>SUMIFS('Fuel and Energy_rail only'!AD:AD,'Fuel and Energy_rail only'!C:C,C32)</f>
        <v>63438</v>
      </c>
      <c r="I32">
        <f>SUMIFS('Fuel and Energy_rail only'!AN:AN,'Fuel and Energy_rail only'!C:C,C32)</f>
        <v>4153269</v>
      </c>
      <c r="J32" s="155">
        <f t="shared" si="2"/>
        <v>1.5044441076887722E-2</v>
      </c>
      <c r="K32" s="155">
        <f t="shared" si="2"/>
        <v>0.98495555892311226</v>
      </c>
      <c r="L32" s="163">
        <f t="shared" si="0"/>
        <v>10.14640088366351</v>
      </c>
      <c r="M32" s="164">
        <f t="shared" si="1"/>
        <v>162455</v>
      </c>
      <c r="N32" s="164">
        <f t="shared" si="3"/>
        <v>0.40619990907596848</v>
      </c>
      <c r="O32" s="164">
        <f t="shared" si="4"/>
        <v>26.593800090924031</v>
      </c>
      <c r="P32">
        <f>SUMIFS('Fuel and Energy_rail only'!M:M,'Fuel and Energy_rail only'!C:C,C32)</f>
        <v>213780</v>
      </c>
      <c r="Q32">
        <f>SUMIFS('Fuel and Energy_rail only'!U:U,'Fuel and Energy_rail only'!C:C,C32)</f>
        <v>0</v>
      </c>
      <c r="R32">
        <f>SUMIFS('Fuel and Energy_rail only'!Y:Y,'Fuel and Energy_rail only'!C:C,C32)</f>
        <v>31871652</v>
      </c>
      <c r="S32">
        <f t="shared" si="5"/>
        <v>29651286000</v>
      </c>
      <c r="T32">
        <f t="shared" si="6"/>
        <v>108750538655.28</v>
      </c>
      <c r="U32" s="165">
        <f t="shared" si="7"/>
        <v>2.2580907296686373E-5</v>
      </c>
      <c r="V32" s="165">
        <f t="shared" si="7"/>
        <v>4.030826293059302E-4</v>
      </c>
    </row>
    <row r="33" spans="2:22">
      <c r="B33" s="75" t="s">
        <v>115</v>
      </c>
      <c r="C33" s="75" t="s">
        <v>372</v>
      </c>
      <c r="D33" t="s">
        <v>1848</v>
      </c>
      <c r="E33">
        <f>SUMIFS('Annual Service Data_rail only'!N:N,'Annual Service Data_rail only'!C:C,C33)</f>
        <v>0</v>
      </c>
      <c r="F33" s="161">
        <f>SUMIFS('Annual Service Data_rail only'!X:X,'Annual Service Data_rail only'!C:C,C33)</f>
        <v>0</v>
      </c>
      <c r="G33" s="161">
        <f>SUMIFS('Annual Service Data_rail only'!AT:AT,'Annual Service Data_rail only'!C:C,C33)</f>
        <v>0</v>
      </c>
      <c r="H33">
        <f>SUMIFS('Fuel and Energy_rail only'!AD:AD,'Fuel and Energy_rail only'!C:C,C33)</f>
        <v>0</v>
      </c>
      <c r="I33">
        <f>SUMIFS('Fuel and Energy_rail only'!AN:AN,'Fuel and Energy_rail only'!C:C,C33)</f>
        <v>0</v>
      </c>
      <c r="J33" s="155">
        <f t="shared" si="2"/>
        <v>0</v>
      </c>
      <c r="K33" s="155">
        <f t="shared" si="2"/>
        <v>0</v>
      </c>
      <c r="L33" s="163">
        <f t="shared" si="0"/>
        <v>0</v>
      </c>
      <c r="M33" s="164">
        <f t="shared" si="1"/>
        <v>0</v>
      </c>
      <c r="N33" s="164">
        <f t="shared" si="3"/>
        <v>0</v>
      </c>
      <c r="O33" s="164">
        <f t="shared" si="4"/>
        <v>0</v>
      </c>
      <c r="P33">
        <f>SUMIFS('Fuel and Energy_rail only'!M:M,'Fuel and Energy_rail only'!C:C,C33)</f>
        <v>0</v>
      </c>
      <c r="Q33">
        <f>SUMIFS('Fuel and Energy_rail only'!U:U,'Fuel and Energy_rail only'!C:C,C33)</f>
        <v>0</v>
      </c>
      <c r="R33">
        <f>SUMIFS('Fuel and Energy_rail only'!Y:Y,'Fuel and Energy_rail only'!C:C,C33)</f>
        <v>0</v>
      </c>
      <c r="S33">
        <f t="shared" si="5"/>
        <v>0</v>
      </c>
      <c r="T33">
        <f t="shared" si="6"/>
        <v>0</v>
      </c>
      <c r="U33" s="165">
        <f t="shared" si="7"/>
        <v>0</v>
      </c>
      <c r="V33" s="165">
        <f t="shared" si="7"/>
        <v>0</v>
      </c>
    </row>
    <row r="34" spans="2:22">
      <c r="B34" s="75" t="s">
        <v>104</v>
      </c>
      <c r="C34" s="75" t="s">
        <v>371</v>
      </c>
      <c r="D34" t="s">
        <v>1849</v>
      </c>
      <c r="E34">
        <f>SUMIFS('Annual Service Data_rail only'!N:N,'Annual Service Data_rail only'!C:C,C34)</f>
        <v>25</v>
      </c>
      <c r="F34" s="161">
        <f>SUMIFS('Annual Service Data_rail only'!X:X,'Annual Service Data_rail only'!C:C,C34)</f>
        <v>5905439</v>
      </c>
      <c r="G34" s="161">
        <f>SUMIFS('Annual Service Data_rail only'!AT:AT,'Annual Service Data_rail only'!C:C,C34)</f>
        <v>70933375</v>
      </c>
      <c r="H34">
        <f>SUMIFS('Fuel and Energy_rail only'!AD:AD,'Fuel and Energy_rail only'!C:C,C34)</f>
        <v>0</v>
      </c>
      <c r="I34">
        <f>SUMIFS('Fuel and Energy_rail only'!AN:AN,'Fuel and Energy_rail only'!C:C,C34)</f>
        <v>5934378</v>
      </c>
      <c r="J34" s="155">
        <f t="shared" si="2"/>
        <v>0</v>
      </c>
      <c r="K34" s="155">
        <f t="shared" si="2"/>
        <v>1</v>
      </c>
      <c r="L34" s="163">
        <f t="shared" si="0"/>
        <v>12.011532927526641</v>
      </c>
      <c r="M34" s="164">
        <f t="shared" si="1"/>
        <v>236217.56</v>
      </c>
      <c r="N34" s="164">
        <f t="shared" si="3"/>
        <v>0</v>
      </c>
      <c r="O34" s="164">
        <f t="shared" si="4"/>
        <v>25</v>
      </c>
      <c r="P34">
        <f>SUMIFS('Fuel and Energy_rail only'!M:M,'Fuel and Energy_rail only'!C:C,C34)</f>
        <v>0</v>
      </c>
      <c r="Q34">
        <f>SUMIFS('Fuel and Energy_rail only'!U:U,'Fuel and Energy_rail only'!C:C,C34)</f>
        <v>0</v>
      </c>
      <c r="R34">
        <f>SUMIFS('Fuel and Energy_rail only'!Y:Y,'Fuel and Energy_rail only'!C:C,C34)</f>
        <v>36496148</v>
      </c>
      <c r="S34">
        <f t="shared" si="5"/>
        <v>0</v>
      </c>
      <c r="T34">
        <f t="shared" si="6"/>
        <v>124529966436.72</v>
      </c>
      <c r="U34" s="165">
        <f t="shared" si="7"/>
        <v>0</v>
      </c>
      <c r="V34" s="165">
        <f t="shared" si="7"/>
        <v>5.6960888234114198E-4</v>
      </c>
    </row>
    <row r="35" spans="2:22">
      <c r="B35" s="75" t="s">
        <v>120</v>
      </c>
      <c r="C35" s="75" t="s">
        <v>373</v>
      </c>
      <c r="D35" t="s">
        <v>1850</v>
      </c>
      <c r="E35">
        <f>SUMIFS('Annual Service Data_rail only'!N:N,'Annual Service Data_rail only'!C:C,C35)</f>
        <v>0</v>
      </c>
      <c r="F35" s="161">
        <f>SUMIFS('Annual Service Data_rail only'!X:X,'Annual Service Data_rail only'!C:C,C35)</f>
        <v>0</v>
      </c>
      <c r="G35" s="161">
        <f>SUMIFS('Annual Service Data_rail only'!AT:AT,'Annual Service Data_rail only'!C:C,C35)</f>
        <v>0</v>
      </c>
      <c r="H35">
        <f>SUMIFS('Fuel and Energy_rail only'!AD:AD,'Fuel and Energy_rail only'!C:C,C35)</f>
        <v>0</v>
      </c>
      <c r="I35">
        <f>SUMIFS('Fuel and Energy_rail only'!AN:AN,'Fuel and Energy_rail only'!C:C,C35)</f>
        <v>0</v>
      </c>
      <c r="J35" s="155">
        <f t="shared" si="2"/>
        <v>0</v>
      </c>
      <c r="K35" s="155">
        <f t="shared" si="2"/>
        <v>0</v>
      </c>
      <c r="L35" s="163">
        <f t="shared" si="0"/>
        <v>0</v>
      </c>
      <c r="M35" s="164">
        <f t="shared" si="1"/>
        <v>0</v>
      </c>
      <c r="N35" s="164">
        <f t="shared" si="3"/>
        <v>0</v>
      </c>
      <c r="O35" s="164">
        <f t="shared" si="4"/>
        <v>0</v>
      </c>
      <c r="P35">
        <f>SUMIFS('Fuel and Energy_rail only'!M:M,'Fuel and Energy_rail only'!C:C,C35)</f>
        <v>0</v>
      </c>
      <c r="Q35">
        <f>SUMIFS('Fuel and Energy_rail only'!U:U,'Fuel and Energy_rail only'!C:C,C35)</f>
        <v>0</v>
      </c>
      <c r="R35">
        <f>SUMIFS('Fuel and Energy_rail only'!Y:Y,'Fuel and Energy_rail only'!C:C,C35)</f>
        <v>0</v>
      </c>
      <c r="S35">
        <f t="shared" si="5"/>
        <v>0</v>
      </c>
      <c r="T35">
        <f t="shared" si="6"/>
        <v>0</v>
      </c>
      <c r="U35" s="165">
        <f t="shared" si="7"/>
        <v>0</v>
      </c>
      <c r="V35" s="165">
        <f t="shared" si="7"/>
        <v>0</v>
      </c>
    </row>
    <row r="36" spans="2:22">
      <c r="B36" s="75" t="s">
        <v>105</v>
      </c>
      <c r="C36" s="75" t="s">
        <v>376</v>
      </c>
      <c r="D36" t="s">
        <v>1851</v>
      </c>
      <c r="E36">
        <f>SUMIFS('Annual Service Data_rail only'!N:N,'Annual Service Data_rail only'!C:C,C36)</f>
        <v>0</v>
      </c>
      <c r="F36" s="161">
        <f>SUMIFS('Annual Service Data_rail only'!X:X,'Annual Service Data_rail only'!C:C,C36)</f>
        <v>0</v>
      </c>
      <c r="G36" s="161">
        <f>SUMIFS('Annual Service Data_rail only'!AT:AT,'Annual Service Data_rail only'!C:C,C36)</f>
        <v>0</v>
      </c>
      <c r="H36">
        <f>SUMIFS('Fuel and Energy_rail only'!AD:AD,'Fuel and Energy_rail only'!C:C,C36)</f>
        <v>0</v>
      </c>
      <c r="I36">
        <f>SUMIFS('Fuel and Energy_rail only'!AN:AN,'Fuel and Energy_rail only'!C:C,C36)</f>
        <v>0</v>
      </c>
      <c r="J36" s="155">
        <f t="shared" si="2"/>
        <v>0</v>
      </c>
      <c r="K36" s="155">
        <f t="shared" si="2"/>
        <v>0</v>
      </c>
      <c r="L36" s="163">
        <f t="shared" si="0"/>
        <v>0</v>
      </c>
      <c r="M36" s="164">
        <f t="shared" si="1"/>
        <v>0</v>
      </c>
      <c r="N36" s="164">
        <f t="shared" si="3"/>
        <v>0</v>
      </c>
      <c r="O36" s="164">
        <f t="shared" si="4"/>
        <v>0</v>
      </c>
      <c r="P36">
        <f>SUMIFS('Fuel and Energy_rail only'!M:M,'Fuel and Energy_rail only'!C:C,C36)</f>
        <v>0</v>
      </c>
      <c r="Q36">
        <f>SUMIFS('Fuel and Energy_rail only'!U:U,'Fuel and Energy_rail only'!C:C,C36)</f>
        <v>0</v>
      </c>
      <c r="R36">
        <f>SUMIFS('Fuel and Energy_rail only'!Y:Y,'Fuel and Energy_rail only'!C:C,C36)</f>
        <v>0</v>
      </c>
      <c r="S36">
        <f t="shared" si="5"/>
        <v>0</v>
      </c>
      <c r="T36">
        <f t="shared" si="6"/>
        <v>0</v>
      </c>
      <c r="U36" s="165">
        <f t="shared" si="7"/>
        <v>0</v>
      </c>
      <c r="V36" s="165">
        <f t="shared" si="7"/>
        <v>0</v>
      </c>
    </row>
    <row r="37" spans="2:22">
      <c r="B37" s="75" t="s">
        <v>126</v>
      </c>
      <c r="C37" s="75" t="s">
        <v>380</v>
      </c>
      <c r="D37" t="s">
        <v>1852</v>
      </c>
      <c r="E37">
        <f>SUMIFS('Annual Service Data_rail only'!N:N,'Annual Service Data_rail only'!C:C,C37)</f>
        <v>0</v>
      </c>
      <c r="F37" s="161">
        <f>SUMIFS('Annual Service Data_rail only'!X:X,'Annual Service Data_rail only'!C:C,C37)</f>
        <v>0</v>
      </c>
      <c r="G37" s="161">
        <f>SUMIFS('Annual Service Data_rail only'!AT:AT,'Annual Service Data_rail only'!C:C,C37)</f>
        <v>0</v>
      </c>
      <c r="H37">
        <f>SUMIFS('Fuel and Energy_rail only'!AD:AD,'Fuel and Energy_rail only'!C:C,C37)</f>
        <v>0</v>
      </c>
      <c r="I37">
        <f>SUMIFS('Fuel and Energy_rail only'!AN:AN,'Fuel and Energy_rail only'!C:C,C37)</f>
        <v>0</v>
      </c>
      <c r="J37" s="155">
        <f t="shared" si="2"/>
        <v>0</v>
      </c>
      <c r="K37" s="155">
        <f t="shared" si="2"/>
        <v>0</v>
      </c>
      <c r="L37" s="163">
        <f t="shared" si="0"/>
        <v>0</v>
      </c>
      <c r="M37" s="164">
        <f t="shared" si="1"/>
        <v>0</v>
      </c>
      <c r="N37" s="164">
        <f t="shared" si="3"/>
        <v>0</v>
      </c>
      <c r="O37" s="164">
        <f t="shared" si="4"/>
        <v>0</v>
      </c>
      <c r="P37">
        <f>SUMIFS('Fuel and Energy_rail only'!M:M,'Fuel and Energy_rail only'!C:C,C37)</f>
        <v>0</v>
      </c>
      <c r="Q37">
        <f>SUMIFS('Fuel and Energy_rail only'!U:U,'Fuel and Energy_rail only'!C:C,C37)</f>
        <v>0</v>
      </c>
      <c r="R37">
        <f>SUMIFS('Fuel and Energy_rail only'!Y:Y,'Fuel and Energy_rail only'!C:C,C37)</f>
        <v>0</v>
      </c>
      <c r="S37">
        <f t="shared" si="5"/>
        <v>0</v>
      </c>
      <c r="T37">
        <f t="shared" si="6"/>
        <v>0</v>
      </c>
      <c r="U37" s="165">
        <f t="shared" si="7"/>
        <v>0</v>
      </c>
      <c r="V37" s="165">
        <f t="shared" si="7"/>
        <v>0</v>
      </c>
    </row>
    <row r="38" spans="2:22">
      <c r="B38" s="75" t="s">
        <v>83</v>
      </c>
      <c r="C38" s="75" t="s">
        <v>377</v>
      </c>
      <c r="D38" t="s">
        <v>1853</v>
      </c>
      <c r="E38">
        <f>SUMIFS('Annual Service Data_rail only'!N:N,'Annual Service Data_rail only'!C:C,C38)</f>
        <v>0</v>
      </c>
      <c r="F38" s="161">
        <f>SUMIFS('Annual Service Data_rail only'!X:X,'Annual Service Data_rail only'!C:C,C38)</f>
        <v>0</v>
      </c>
      <c r="G38" s="161">
        <f>SUMIFS('Annual Service Data_rail only'!AT:AT,'Annual Service Data_rail only'!C:C,C38)</f>
        <v>0</v>
      </c>
      <c r="H38">
        <f>SUMIFS('Fuel and Energy_rail only'!AD:AD,'Fuel and Energy_rail only'!C:C,C38)</f>
        <v>0</v>
      </c>
      <c r="I38">
        <f>SUMIFS('Fuel and Energy_rail only'!AN:AN,'Fuel and Energy_rail only'!C:C,C38)</f>
        <v>0</v>
      </c>
      <c r="J38" s="155">
        <f t="shared" si="2"/>
        <v>0</v>
      </c>
      <c r="K38" s="155">
        <f t="shared" si="2"/>
        <v>0</v>
      </c>
      <c r="L38" s="163">
        <f t="shared" si="0"/>
        <v>0</v>
      </c>
      <c r="M38" s="164">
        <f t="shared" si="1"/>
        <v>0</v>
      </c>
      <c r="N38" s="164">
        <f t="shared" si="3"/>
        <v>0</v>
      </c>
      <c r="O38" s="164">
        <f t="shared" si="4"/>
        <v>0</v>
      </c>
      <c r="P38">
        <f>SUMIFS('Fuel and Energy_rail only'!M:M,'Fuel and Energy_rail only'!C:C,C38)</f>
        <v>0</v>
      </c>
      <c r="Q38">
        <f>SUMIFS('Fuel and Energy_rail only'!U:U,'Fuel and Energy_rail only'!C:C,C38)</f>
        <v>0</v>
      </c>
      <c r="R38">
        <f>SUMIFS('Fuel and Energy_rail only'!Y:Y,'Fuel and Energy_rail only'!C:C,C38)</f>
        <v>0</v>
      </c>
      <c r="S38">
        <f t="shared" si="5"/>
        <v>0</v>
      </c>
      <c r="T38">
        <f t="shared" si="6"/>
        <v>0</v>
      </c>
      <c r="U38" s="165">
        <f t="shared" si="7"/>
        <v>0</v>
      </c>
      <c r="V38" s="165">
        <f t="shared" si="7"/>
        <v>0</v>
      </c>
    </row>
    <row r="39" spans="2:22">
      <c r="B39" s="75" t="s">
        <v>88</v>
      </c>
      <c r="C39" s="75" t="s">
        <v>378</v>
      </c>
      <c r="D39" t="s">
        <v>1854</v>
      </c>
      <c r="E39">
        <f>SUMIFS('Annual Service Data_rail only'!N:N,'Annual Service Data_rail only'!C:C,C39)</f>
        <v>184</v>
      </c>
      <c r="F39" s="161">
        <f>SUMIFS('Annual Service Data_rail only'!X:X,'Annual Service Data_rail only'!C:C,C39)</f>
        <v>77331686</v>
      </c>
      <c r="G39" s="161">
        <f>SUMIFS('Annual Service Data_rail only'!AT:AT,'Annual Service Data_rail only'!C:C,C39)</f>
        <v>1699013683</v>
      </c>
      <c r="H39">
        <f>SUMIFS('Fuel and Energy_rail only'!AD:AD,'Fuel and Energy_rail only'!C:C,C39)</f>
        <v>2485889</v>
      </c>
      <c r="I39">
        <f>SUMIFS('Fuel and Energy_rail only'!AN:AN,'Fuel and Energy_rail only'!C:C,C39)</f>
        <v>28864827</v>
      </c>
      <c r="J39" s="155">
        <f t="shared" si="2"/>
        <v>7.9292893980475593E-2</v>
      </c>
      <c r="K39" s="155">
        <f t="shared" si="2"/>
        <v>0.92070710601952443</v>
      </c>
      <c r="L39" s="163">
        <f t="shared" si="0"/>
        <v>21.97047253049675</v>
      </c>
      <c r="M39" s="164">
        <f t="shared" si="1"/>
        <v>420280.90217391303</v>
      </c>
      <c r="N39" s="164">
        <f t="shared" si="3"/>
        <v>14.589892492407509</v>
      </c>
      <c r="O39" s="164">
        <f t="shared" si="4"/>
        <v>169.4101075075925</v>
      </c>
      <c r="P39">
        <f>SUMIFS('Fuel and Energy_rail only'!M:M,'Fuel and Energy_rail only'!C:C,C39)</f>
        <v>13166567</v>
      </c>
      <c r="Q39">
        <f>SUMIFS('Fuel and Energy_rail only'!U:U,'Fuel and Energy_rail only'!C:C,C39)</f>
        <v>0</v>
      </c>
      <c r="R39">
        <f>SUMIFS('Fuel and Energy_rail only'!Y:Y,'Fuel and Energy_rail only'!C:C,C39)</f>
        <v>519279337</v>
      </c>
      <c r="S39">
        <f t="shared" si="5"/>
        <v>1826202842900</v>
      </c>
      <c r="T39">
        <f t="shared" si="6"/>
        <v>1771853796951.1799</v>
      </c>
      <c r="U39" s="165">
        <f t="shared" si="7"/>
        <v>7.3770398705306041E-5</v>
      </c>
      <c r="V39" s="165">
        <f t="shared" si="7"/>
        <v>8.8285725032966977E-4</v>
      </c>
    </row>
    <row r="40" spans="2:22">
      <c r="B40" s="75" t="s">
        <v>116</v>
      </c>
      <c r="C40" s="75" t="s">
        <v>379</v>
      </c>
      <c r="D40" t="s">
        <v>1855</v>
      </c>
      <c r="E40">
        <f>SUMIFS('Annual Service Data_rail only'!N:N,'Annual Service Data_rail only'!C:C,C40)</f>
        <v>7</v>
      </c>
      <c r="F40" s="161">
        <f>SUMIFS('Annual Service Data_rail only'!X:X,'Annual Service Data_rail only'!C:C,C40)</f>
        <v>965030</v>
      </c>
      <c r="G40" s="161">
        <f>SUMIFS('Annual Service Data_rail only'!AT:AT,'Annual Service Data_rail only'!C:C,C40)</f>
        <v>24052625</v>
      </c>
      <c r="H40">
        <f>SUMIFS('Fuel and Energy_rail only'!AD:AD,'Fuel and Energy_rail only'!C:C,C40)</f>
        <v>350453</v>
      </c>
      <c r="I40">
        <f>SUMIFS('Fuel and Energy_rail only'!AN:AN,'Fuel and Energy_rail only'!C:C,C40)</f>
        <v>0</v>
      </c>
      <c r="J40" s="155">
        <f t="shared" si="2"/>
        <v>1</v>
      </c>
      <c r="K40" s="155">
        <f t="shared" si="2"/>
        <v>0</v>
      </c>
      <c r="L40" s="163">
        <f t="shared" si="0"/>
        <v>24.924225153622167</v>
      </c>
      <c r="M40" s="164">
        <f t="shared" si="1"/>
        <v>137861.42857142858</v>
      </c>
      <c r="N40" s="164">
        <f t="shared" si="3"/>
        <v>7</v>
      </c>
      <c r="O40" s="164">
        <f t="shared" si="4"/>
        <v>0</v>
      </c>
      <c r="P40">
        <f>SUMIFS('Fuel and Energy_rail only'!M:M,'Fuel and Energy_rail only'!C:C,C40)</f>
        <v>0</v>
      </c>
      <c r="Q40">
        <f>SUMIFS('Fuel and Energy_rail only'!U:U,'Fuel and Energy_rail only'!C:C,C40)</f>
        <v>792273</v>
      </c>
      <c r="R40">
        <f>SUMIFS('Fuel and Energy_rail only'!Y:Y,'Fuel and Energy_rail only'!C:C,C40)</f>
        <v>0</v>
      </c>
      <c r="S40">
        <f t="shared" si="5"/>
        <v>109888265100</v>
      </c>
      <c r="T40">
        <f t="shared" si="6"/>
        <v>0</v>
      </c>
      <c r="U40" s="165">
        <f t="shared" si="7"/>
        <v>2.1888256201070918E-4</v>
      </c>
      <c r="V40" s="165">
        <f t="shared" si="7"/>
        <v>0</v>
      </c>
    </row>
    <row r="41" spans="2:22">
      <c r="B41" s="75" t="s">
        <v>89</v>
      </c>
      <c r="C41" s="75" t="s">
        <v>381</v>
      </c>
      <c r="D41" t="s">
        <v>1856</v>
      </c>
      <c r="E41">
        <f>SUMIFS('Annual Service Data_rail only'!N:N,'Annual Service Data_rail only'!C:C,C41)</f>
        <v>787</v>
      </c>
      <c r="F41" s="161">
        <f>SUMIFS('Annual Service Data_rail only'!X:X,'Annual Service Data_rail only'!C:C,C41)</f>
        <v>459797967</v>
      </c>
      <c r="G41" s="161">
        <f>SUMIFS('Annual Service Data_rail only'!AT:AT,'Annual Service Data_rail only'!C:C,C41)</f>
        <v>6605805362</v>
      </c>
      <c r="H41">
        <f>SUMIFS('Fuel and Energy_rail only'!AD:AD,'Fuel and Energy_rail only'!C:C,C41)</f>
        <v>757533</v>
      </c>
      <c r="I41">
        <f>SUMIFS('Fuel and Energy_rail only'!AN:AN,'Fuel and Energy_rail only'!C:C,C41)</f>
        <v>433746106</v>
      </c>
      <c r="J41" s="155">
        <f t="shared" si="2"/>
        <v>1.7434445468476271E-3</v>
      </c>
      <c r="K41" s="155">
        <f t="shared" si="2"/>
        <v>0.99825655545315239</v>
      </c>
      <c r="L41" s="163">
        <f t="shared" si="0"/>
        <v>14.366756349751325</v>
      </c>
      <c r="M41" s="164">
        <f t="shared" si="1"/>
        <v>584241.3811944091</v>
      </c>
      <c r="N41" s="164">
        <f t="shared" si="3"/>
        <v>1.3720908583690825</v>
      </c>
      <c r="O41" s="164">
        <f t="shared" si="4"/>
        <v>785.62790914163088</v>
      </c>
      <c r="P41">
        <f>SUMIFS('Fuel and Energy_rail only'!M:M,'Fuel and Energy_rail only'!C:C,C41)</f>
        <v>12731425</v>
      </c>
      <c r="Q41">
        <f>SUMIFS('Fuel and Energy_rail only'!U:U,'Fuel and Energy_rail only'!C:C,C41)</f>
        <v>0</v>
      </c>
      <c r="R41">
        <f>SUMIFS('Fuel and Energy_rail only'!Y:Y,'Fuel and Energy_rail only'!C:C,C41)</f>
        <v>2470851025</v>
      </c>
      <c r="S41">
        <f t="shared" si="5"/>
        <v>1765848647500</v>
      </c>
      <c r="T41">
        <f t="shared" si="6"/>
        <v>8430889616443.5</v>
      </c>
      <c r="U41" s="165">
        <f t="shared" si="7"/>
        <v>6.5219945957546822E-6</v>
      </c>
      <c r="V41" s="165">
        <f t="shared" si="7"/>
        <v>7.8215808848957843E-4</v>
      </c>
    </row>
    <row r="42" spans="2:22">
      <c r="B42" s="75" t="s">
        <v>93</v>
      </c>
      <c r="C42" s="75" t="s">
        <v>374</v>
      </c>
      <c r="D42" t="s">
        <v>1857</v>
      </c>
      <c r="E42">
        <f>SUMIFS('Annual Service Data_rail only'!N:N,'Annual Service Data_rail only'!C:C,C42)</f>
        <v>16</v>
      </c>
      <c r="F42" s="161">
        <f>SUMIFS('Annual Service Data_rail only'!X:X,'Annual Service Data_rail only'!C:C,C42)</f>
        <v>2267166</v>
      </c>
      <c r="G42" s="161">
        <f>SUMIFS('Annual Service Data_rail only'!AT:AT,'Annual Service Data_rail only'!C:C,C42)</f>
        <v>37638865</v>
      </c>
      <c r="H42">
        <f>SUMIFS('Fuel and Energy_rail only'!AD:AD,'Fuel and Energy_rail only'!C:C,C42)</f>
        <v>0</v>
      </c>
      <c r="I42">
        <f>SUMIFS('Fuel and Energy_rail only'!AN:AN,'Fuel and Energy_rail only'!C:C,C42)</f>
        <v>2267804</v>
      </c>
      <c r="J42" s="155">
        <f t="shared" si="2"/>
        <v>0</v>
      </c>
      <c r="K42" s="155">
        <f t="shared" si="2"/>
        <v>1</v>
      </c>
      <c r="L42" s="163">
        <f t="shared" si="0"/>
        <v>16.601724355428761</v>
      </c>
      <c r="M42" s="164">
        <f t="shared" si="1"/>
        <v>141697.875</v>
      </c>
      <c r="N42" s="164">
        <f t="shared" si="3"/>
        <v>0</v>
      </c>
      <c r="O42" s="164">
        <f t="shared" si="4"/>
        <v>16</v>
      </c>
      <c r="P42">
        <f>SUMIFS('Fuel and Energy_rail only'!M:M,'Fuel and Energy_rail only'!C:C,C42)</f>
        <v>0</v>
      </c>
      <c r="Q42">
        <f>SUMIFS('Fuel and Energy_rail only'!U:U,'Fuel and Energy_rail only'!C:C,C42)</f>
        <v>0</v>
      </c>
      <c r="R42">
        <f>SUMIFS('Fuel and Energy_rail only'!Y:Y,'Fuel and Energy_rail only'!C:C,C42)</f>
        <v>16786660</v>
      </c>
      <c r="S42">
        <f t="shared" si="5"/>
        <v>0</v>
      </c>
      <c r="T42">
        <f t="shared" si="6"/>
        <v>57278434052.400002</v>
      </c>
      <c r="U42" s="165">
        <f t="shared" si="7"/>
        <v>0</v>
      </c>
      <c r="V42" s="165">
        <f t="shared" si="7"/>
        <v>6.5712105476848151E-4</v>
      </c>
    </row>
    <row r="43" spans="2:22">
      <c r="B43" s="75" t="s">
        <v>106</v>
      </c>
      <c r="C43" s="75" t="s">
        <v>375</v>
      </c>
      <c r="D43" t="s">
        <v>1858</v>
      </c>
      <c r="E43">
        <f>SUMIFS('Annual Service Data_rail only'!N:N,'Annual Service Data_rail only'!C:C,C43)</f>
        <v>0</v>
      </c>
      <c r="F43" s="161">
        <f>SUMIFS('Annual Service Data_rail only'!X:X,'Annual Service Data_rail only'!C:C,C43)</f>
        <v>0</v>
      </c>
      <c r="G43" s="161">
        <f>SUMIFS('Annual Service Data_rail only'!AT:AT,'Annual Service Data_rail only'!C:C,C43)</f>
        <v>0</v>
      </c>
      <c r="H43">
        <f>SUMIFS('Fuel and Energy_rail only'!AD:AD,'Fuel and Energy_rail only'!C:C,C43)</f>
        <v>0</v>
      </c>
      <c r="I43">
        <f>SUMIFS('Fuel and Energy_rail only'!AN:AN,'Fuel and Energy_rail only'!C:C,C43)</f>
        <v>0</v>
      </c>
      <c r="J43" s="155">
        <f t="shared" si="2"/>
        <v>0</v>
      </c>
      <c r="K43" s="155">
        <f t="shared" si="2"/>
        <v>0</v>
      </c>
      <c r="L43" s="163">
        <f t="shared" si="0"/>
        <v>0</v>
      </c>
      <c r="M43" s="164">
        <f t="shared" si="1"/>
        <v>0</v>
      </c>
      <c r="N43" s="164">
        <f t="shared" si="3"/>
        <v>0</v>
      </c>
      <c r="O43" s="164">
        <f t="shared" si="4"/>
        <v>0</v>
      </c>
      <c r="P43">
        <f>SUMIFS('Fuel and Energy_rail only'!M:M,'Fuel and Energy_rail only'!C:C,C43)</f>
        <v>0</v>
      </c>
      <c r="Q43">
        <f>SUMIFS('Fuel and Energy_rail only'!U:U,'Fuel and Energy_rail only'!C:C,C43)</f>
        <v>0</v>
      </c>
      <c r="R43">
        <f>SUMIFS('Fuel and Energy_rail only'!Y:Y,'Fuel and Energy_rail only'!C:C,C43)</f>
        <v>0</v>
      </c>
      <c r="S43">
        <f t="shared" si="5"/>
        <v>0</v>
      </c>
      <c r="T43">
        <f t="shared" si="6"/>
        <v>0</v>
      </c>
      <c r="U43" s="165">
        <f t="shared" si="7"/>
        <v>0</v>
      </c>
      <c r="V43" s="165">
        <f t="shared" si="7"/>
        <v>0</v>
      </c>
    </row>
    <row r="44" spans="2:22">
      <c r="B44" s="75" t="s">
        <v>107</v>
      </c>
      <c r="C44" s="75" t="s">
        <v>382</v>
      </c>
      <c r="D44" t="s">
        <v>1859</v>
      </c>
      <c r="E44">
        <f>SUMIFS('Annual Service Data_rail only'!N:N,'Annual Service Data_rail only'!C:C,C44)</f>
        <v>14</v>
      </c>
      <c r="F44" s="161">
        <f>SUMIFS('Annual Service Data_rail only'!X:X,'Annual Service Data_rail only'!C:C,C44)</f>
        <v>3017495</v>
      </c>
      <c r="G44" s="161">
        <f>SUMIFS('Annual Service Data_rail only'!AT:AT,'Annual Service Data_rail only'!C:C,C44)</f>
        <v>20427250</v>
      </c>
      <c r="H44">
        <f>SUMIFS('Fuel and Energy_rail only'!AD:AD,'Fuel and Energy_rail only'!C:C,C44)</f>
        <v>0</v>
      </c>
      <c r="I44">
        <f>SUMIFS('Fuel and Energy_rail only'!AN:AN,'Fuel and Energy_rail only'!C:C,C44)</f>
        <v>2921572</v>
      </c>
      <c r="J44" s="155">
        <f t="shared" si="2"/>
        <v>0</v>
      </c>
      <c r="K44" s="155">
        <f t="shared" si="2"/>
        <v>1</v>
      </c>
      <c r="L44" s="163">
        <f t="shared" si="0"/>
        <v>6.769605252038529</v>
      </c>
      <c r="M44" s="164">
        <f t="shared" si="1"/>
        <v>215535.35714285713</v>
      </c>
      <c r="N44" s="164">
        <f t="shared" si="3"/>
        <v>0</v>
      </c>
      <c r="O44" s="164">
        <f t="shared" si="4"/>
        <v>14</v>
      </c>
      <c r="P44">
        <f>SUMIFS('Fuel and Energy_rail only'!M:M,'Fuel and Energy_rail only'!C:C,C44)</f>
        <v>0</v>
      </c>
      <c r="Q44">
        <f>SUMIFS('Fuel and Energy_rail only'!U:U,'Fuel and Energy_rail only'!C:C,C44)</f>
        <v>0</v>
      </c>
      <c r="R44">
        <f>SUMIFS('Fuel and Energy_rail only'!Y:Y,'Fuel and Energy_rail only'!C:C,C44)</f>
        <v>32090136</v>
      </c>
      <c r="S44">
        <f t="shared" si="5"/>
        <v>0</v>
      </c>
      <c r="T44">
        <f t="shared" si="6"/>
        <v>109496036651.03999</v>
      </c>
      <c r="U44" s="165">
        <f t="shared" si="7"/>
        <v>0</v>
      </c>
      <c r="V44" s="165">
        <f t="shared" si="7"/>
        <v>1.8655698073438882E-4</v>
      </c>
    </row>
    <row r="45" spans="2:22">
      <c r="B45" s="75" t="s">
        <v>108</v>
      </c>
      <c r="C45" s="75" t="s">
        <v>383</v>
      </c>
      <c r="D45" t="s">
        <v>1860</v>
      </c>
      <c r="E45">
        <f>SUMIFS('Annual Service Data_rail only'!N:N,'Annual Service Data_rail only'!C:C,C45)</f>
        <v>0</v>
      </c>
      <c r="F45" s="161">
        <f>SUMIFS('Annual Service Data_rail only'!X:X,'Annual Service Data_rail only'!C:C,C45)</f>
        <v>0</v>
      </c>
      <c r="G45" s="161">
        <f>SUMIFS('Annual Service Data_rail only'!AT:AT,'Annual Service Data_rail only'!C:C,C45)</f>
        <v>0</v>
      </c>
      <c r="H45">
        <f>SUMIFS('Fuel and Energy_rail only'!AD:AD,'Fuel and Energy_rail only'!C:C,C45)</f>
        <v>0</v>
      </c>
      <c r="I45">
        <f>SUMIFS('Fuel and Energy_rail only'!AN:AN,'Fuel and Energy_rail only'!C:C,C45)</f>
        <v>0</v>
      </c>
      <c r="J45" s="155">
        <f t="shared" si="2"/>
        <v>0</v>
      </c>
      <c r="K45" s="155">
        <f t="shared" si="2"/>
        <v>0</v>
      </c>
      <c r="L45" s="163">
        <f t="shared" si="0"/>
        <v>0</v>
      </c>
      <c r="M45" s="164">
        <f t="shared" si="1"/>
        <v>0</v>
      </c>
      <c r="N45" s="164">
        <f t="shared" si="3"/>
        <v>0</v>
      </c>
      <c r="O45" s="164">
        <f t="shared" si="4"/>
        <v>0</v>
      </c>
      <c r="P45">
        <f>SUMIFS('Fuel and Energy_rail only'!M:M,'Fuel and Energy_rail only'!C:C,C45)</f>
        <v>0</v>
      </c>
      <c r="Q45">
        <f>SUMIFS('Fuel and Energy_rail only'!U:U,'Fuel and Energy_rail only'!C:C,C45)</f>
        <v>0</v>
      </c>
      <c r="R45">
        <f>SUMIFS('Fuel and Energy_rail only'!Y:Y,'Fuel and Energy_rail only'!C:C,C45)</f>
        <v>0</v>
      </c>
      <c r="S45">
        <f t="shared" si="5"/>
        <v>0</v>
      </c>
      <c r="T45">
        <f t="shared" si="6"/>
        <v>0</v>
      </c>
      <c r="U45" s="165">
        <f t="shared" si="7"/>
        <v>0</v>
      </c>
      <c r="V45" s="165">
        <f t="shared" si="7"/>
        <v>0</v>
      </c>
    </row>
    <row r="46" spans="2:22">
      <c r="B46" s="75" t="s">
        <v>127</v>
      </c>
      <c r="C46" s="75" t="s">
        <v>384</v>
      </c>
      <c r="D46" t="s">
        <v>1861</v>
      </c>
      <c r="E46">
        <f>SUMIFS('Annual Service Data_rail only'!N:N,'Annual Service Data_rail only'!C:C,C46)</f>
        <v>55</v>
      </c>
      <c r="F46" s="161">
        <f>SUMIFS('Annual Service Data_rail only'!X:X,'Annual Service Data_rail only'!C:C,C46)</f>
        <v>8981104</v>
      </c>
      <c r="G46" s="161">
        <f>SUMIFS('Annual Service Data_rail only'!AT:AT,'Annual Service Data_rail only'!C:C,C46)</f>
        <v>159458488</v>
      </c>
      <c r="H46">
        <f>SUMIFS('Fuel and Energy_rail only'!AD:AD,'Fuel and Energy_rail only'!C:C,C46)</f>
        <v>0</v>
      </c>
      <c r="I46">
        <f>SUMIFS('Fuel and Energy_rail only'!AN:AN,'Fuel and Energy_rail only'!C:C,C46)</f>
        <v>9045741</v>
      </c>
      <c r="J46" s="155">
        <f t="shared" si="2"/>
        <v>0</v>
      </c>
      <c r="K46" s="155">
        <f t="shared" si="2"/>
        <v>1</v>
      </c>
      <c r="L46" s="163">
        <f t="shared" si="0"/>
        <v>17.754887149731257</v>
      </c>
      <c r="M46" s="164">
        <f t="shared" si="1"/>
        <v>163292.79999999999</v>
      </c>
      <c r="N46" s="164">
        <f t="shared" si="3"/>
        <v>0</v>
      </c>
      <c r="O46" s="164">
        <f t="shared" si="4"/>
        <v>55</v>
      </c>
      <c r="P46">
        <f>SUMIFS('Fuel and Energy_rail only'!M:M,'Fuel and Energy_rail only'!C:C,C46)</f>
        <v>0</v>
      </c>
      <c r="Q46">
        <f>SUMIFS('Fuel and Energy_rail only'!U:U,'Fuel and Energy_rail only'!C:C,C46)</f>
        <v>0</v>
      </c>
      <c r="R46">
        <f>SUMIFS('Fuel and Energy_rail only'!Y:Y,'Fuel and Energy_rail only'!C:C,C46)</f>
        <v>54389715</v>
      </c>
      <c r="S46">
        <f t="shared" si="5"/>
        <v>0</v>
      </c>
      <c r="T46">
        <f t="shared" si="6"/>
        <v>185585322140.10001</v>
      </c>
      <c r="U46" s="165">
        <f t="shared" si="7"/>
        <v>0</v>
      </c>
      <c r="V46" s="165">
        <f t="shared" si="7"/>
        <v>8.5921928610077983E-4</v>
      </c>
    </row>
    <row r="47" spans="2:22">
      <c r="B47" s="75" t="s">
        <v>90</v>
      </c>
      <c r="C47" s="75" t="s">
        <v>385</v>
      </c>
      <c r="D47" t="s">
        <v>1862</v>
      </c>
      <c r="E47">
        <f>SUMIFS('Annual Service Data_rail only'!N:N,'Annual Service Data_rail only'!C:C,C47)</f>
        <v>176</v>
      </c>
      <c r="F47" s="161">
        <f>SUMIFS('Annual Service Data_rail only'!X:X,'Annual Service Data_rail only'!C:C,C47)</f>
        <v>37294660</v>
      </c>
      <c r="G47" s="161">
        <f>SUMIFS('Annual Service Data_rail only'!AT:AT,'Annual Service Data_rail only'!C:C,C47)</f>
        <v>725134241</v>
      </c>
      <c r="H47">
        <f>SUMIFS('Fuel and Energy_rail only'!AD:AD,'Fuel and Energy_rail only'!C:C,C47)</f>
        <v>0</v>
      </c>
      <c r="I47">
        <f>SUMIFS('Fuel and Energy_rail only'!AN:AN,'Fuel and Energy_rail only'!C:C,C47)</f>
        <v>31752653</v>
      </c>
      <c r="J47" s="155">
        <f t="shared" si="2"/>
        <v>0</v>
      </c>
      <c r="K47" s="155">
        <f t="shared" si="2"/>
        <v>1</v>
      </c>
      <c r="L47" s="163">
        <f t="shared" si="0"/>
        <v>19.443379856526377</v>
      </c>
      <c r="M47" s="164">
        <f t="shared" si="1"/>
        <v>211901.47727272726</v>
      </c>
      <c r="N47" s="164">
        <f t="shared" si="3"/>
        <v>0</v>
      </c>
      <c r="O47" s="164">
        <f t="shared" si="4"/>
        <v>176</v>
      </c>
      <c r="P47">
        <f>SUMIFS('Fuel and Energy_rail only'!M:M,'Fuel and Energy_rail only'!C:C,C47)</f>
        <v>0</v>
      </c>
      <c r="Q47">
        <f>SUMIFS('Fuel and Energy_rail only'!U:U,'Fuel and Energy_rail only'!C:C,C47)</f>
        <v>0</v>
      </c>
      <c r="R47">
        <f>SUMIFS('Fuel and Energy_rail only'!Y:Y,'Fuel and Energy_rail only'!C:C,C47)</f>
        <v>373898381</v>
      </c>
      <c r="S47">
        <f t="shared" si="5"/>
        <v>0</v>
      </c>
      <c r="T47">
        <f t="shared" si="6"/>
        <v>1275793621745.3398</v>
      </c>
      <c r="U47" s="165">
        <f t="shared" si="7"/>
        <v>0</v>
      </c>
      <c r="V47" s="165">
        <f t="shared" si="7"/>
        <v>5.6837895145453508E-4</v>
      </c>
    </row>
    <row r="48" spans="2:22">
      <c r="B48" s="75" t="s">
        <v>84</v>
      </c>
      <c r="C48" s="75" t="s">
        <v>386</v>
      </c>
      <c r="D48" t="s">
        <v>1863</v>
      </c>
      <c r="E48">
        <f>SUMIFS('Annual Service Data_rail only'!N:N,'Annual Service Data_rail only'!C:C,C48)</f>
        <v>0</v>
      </c>
      <c r="F48" s="161">
        <f>SUMIFS('Annual Service Data_rail only'!X:X,'Annual Service Data_rail only'!C:C,C48)</f>
        <v>0</v>
      </c>
      <c r="G48" s="161">
        <f>SUMIFS('Annual Service Data_rail only'!AT:AT,'Annual Service Data_rail only'!C:C,C48)</f>
        <v>0</v>
      </c>
      <c r="H48">
        <f>SUMIFS('Fuel and Energy_rail only'!AD:AD,'Fuel and Energy_rail only'!C:C,C48)</f>
        <v>0</v>
      </c>
      <c r="I48">
        <f>SUMIFS('Fuel and Energy_rail only'!AN:AN,'Fuel and Energy_rail only'!C:C,C48)</f>
        <v>0</v>
      </c>
      <c r="J48" s="155">
        <f t="shared" si="2"/>
        <v>0</v>
      </c>
      <c r="K48" s="155">
        <f t="shared" si="2"/>
        <v>0</v>
      </c>
      <c r="L48" s="163">
        <f t="shared" si="0"/>
        <v>0</v>
      </c>
      <c r="M48" s="164">
        <f t="shared" si="1"/>
        <v>0</v>
      </c>
      <c r="N48" s="164">
        <f t="shared" si="3"/>
        <v>0</v>
      </c>
      <c r="O48" s="164">
        <f t="shared" si="4"/>
        <v>0</v>
      </c>
      <c r="P48">
        <f>SUMIFS('Fuel and Energy_rail only'!M:M,'Fuel and Energy_rail only'!C:C,C48)</f>
        <v>0</v>
      </c>
      <c r="Q48">
        <f>SUMIFS('Fuel and Energy_rail only'!U:U,'Fuel and Energy_rail only'!C:C,C48)</f>
        <v>0</v>
      </c>
      <c r="R48">
        <f>SUMIFS('Fuel and Energy_rail only'!Y:Y,'Fuel and Energy_rail only'!C:C,C48)</f>
        <v>0</v>
      </c>
      <c r="S48">
        <f t="shared" si="5"/>
        <v>0</v>
      </c>
      <c r="T48">
        <f t="shared" si="6"/>
        <v>0</v>
      </c>
      <c r="U48" s="165">
        <f t="shared" si="7"/>
        <v>0</v>
      </c>
      <c r="V48" s="165">
        <f t="shared" si="7"/>
        <v>0</v>
      </c>
    </row>
    <row r="49" spans="2:24">
      <c r="B49" s="75" t="s">
        <v>94</v>
      </c>
      <c r="C49" s="75" t="s">
        <v>387</v>
      </c>
      <c r="D49" t="s">
        <v>1864</v>
      </c>
      <c r="E49">
        <f>SUMIFS('Annual Service Data_rail only'!N:N,'Annual Service Data_rail only'!C:C,C49)</f>
        <v>0</v>
      </c>
      <c r="F49" s="161">
        <f>SUMIFS('Annual Service Data_rail only'!X:X,'Annual Service Data_rail only'!C:C,C49)</f>
        <v>0</v>
      </c>
      <c r="G49" s="161">
        <f>SUMIFS('Annual Service Data_rail only'!AT:AT,'Annual Service Data_rail only'!C:C,C49)</f>
        <v>0</v>
      </c>
      <c r="H49">
        <f>SUMIFS('Fuel and Energy_rail only'!AD:AD,'Fuel and Energy_rail only'!C:C,C49)</f>
        <v>0</v>
      </c>
      <c r="I49">
        <f>SUMIFS('Fuel and Energy_rail only'!AN:AN,'Fuel and Energy_rail only'!C:C,C49)</f>
        <v>0</v>
      </c>
      <c r="J49" s="155">
        <f t="shared" si="2"/>
        <v>0</v>
      </c>
      <c r="K49" s="155">
        <f t="shared" si="2"/>
        <v>0</v>
      </c>
      <c r="L49" s="163">
        <f t="shared" si="0"/>
        <v>0</v>
      </c>
      <c r="M49" s="164">
        <f t="shared" si="1"/>
        <v>0</v>
      </c>
      <c r="N49" s="164">
        <f t="shared" si="3"/>
        <v>0</v>
      </c>
      <c r="O49" s="164">
        <f t="shared" si="4"/>
        <v>0</v>
      </c>
      <c r="P49">
        <f>SUMIFS('Fuel and Energy_rail only'!M:M,'Fuel and Energy_rail only'!C:C,C49)</f>
        <v>0</v>
      </c>
      <c r="Q49">
        <f>SUMIFS('Fuel and Energy_rail only'!U:U,'Fuel and Energy_rail only'!C:C,C49)</f>
        <v>0</v>
      </c>
      <c r="R49">
        <f>SUMIFS('Fuel and Energy_rail only'!Y:Y,'Fuel and Energy_rail only'!C:C,C49)</f>
        <v>0</v>
      </c>
      <c r="S49">
        <f t="shared" si="5"/>
        <v>0</v>
      </c>
      <c r="T49">
        <f t="shared" si="6"/>
        <v>0</v>
      </c>
      <c r="U49" s="165">
        <f t="shared" si="7"/>
        <v>0</v>
      </c>
      <c r="V49" s="165">
        <f t="shared" si="7"/>
        <v>0</v>
      </c>
    </row>
    <row r="50" spans="2:24">
      <c r="B50" s="75" t="s">
        <v>109</v>
      </c>
      <c r="C50" s="75" t="s">
        <v>388</v>
      </c>
      <c r="D50" t="s">
        <v>1865</v>
      </c>
      <c r="E50">
        <f>SUMIFS('Annual Service Data_rail only'!N:N,'Annual Service Data_rail only'!C:C,C50)</f>
        <v>0</v>
      </c>
      <c r="F50" s="161">
        <f>SUMIFS('Annual Service Data_rail only'!X:X,'Annual Service Data_rail only'!C:C,C50)</f>
        <v>0</v>
      </c>
      <c r="G50" s="161">
        <f>SUMIFS('Annual Service Data_rail only'!AT:AT,'Annual Service Data_rail only'!C:C,C50)</f>
        <v>0</v>
      </c>
      <c r="H50">
        <f>SUMIFS('Fuel and Energy_rail only'!AD:AD,'Fuel and Energy_rail only'!C:C,C50)</f>
        <v>0</v>
      </c>
      <c r="I50">
        <f>SUMIFS('Fuel and Energy_rail only'!AN:AN,'Fuel and Energy_rail only'!C:C,C50)</f>
        <v>0</v>
      </c>
      <c r="J50" s="155">
        <f t="shared" si="2"/>
        <v>0</v>
      </c>
      <c r="K50" s="155">
        <f t="shared" si="2"/>
        <v>0</v>
      </c>
      <c r="L50" s="163">
        <f t="shared" si="0"/>
        <v>0</v>
      </c>
      <c r="M50" s="164">
        <f t="shared" si="1"/>
        <v>0</v>
      </c>
      <c r="N50" s="164">
        <f t="shared" si="3"/>
        <v>0</v>
      </c>
      <c r="O50" s="164">
        <f t="shared" si="4"/>
        <v>0</v>
      </c>
      <c r="P50">
        <f>SUMIFS('Fuel and Energy_rail only'!M:M,'Fuel and Energy_rail only'!C:C,C50)</f>
        <v>0</v>
      </c>
      <c r="Q50">
        <f>SUMIFS('Fuel and Energy_rail only'!U:U,'Fuel and Energy_rail only'!C:C,C50)</f>
        <v>0</v>
      </c>
      <c r="R50">
        <f>SUMIFS('Fuel and Energy_rail only'!Y:Y,'Fuel and Energy_rail only'!C:C,C50)</f>
        <v>0</v>
      </c>
      <c r="S50">
        <f t="shared" si="5"/>
        <v>0</v>
      </c>
      <c r="T50">
        <f t="shared" si="6"/>
        <v>0</v>
      </c>
      <c r="U50" s="165">
        <f t="shared" si="7"/>
        <v>0</v>
      </c>
      <c r="V50" s="165">
        <f t="shared" si="7"/>
        <v>0</v>
      </c>
    </row>
    <row r="51" spans="2:24">
      <c r="B51" s="75" t="s">
        <v>110</v>
      </c>
      <c r="C51" s="75" t="s">
        <v>389</v>
      </c>
      <c r="D51" t="s">
        <v>1866</v>
      </c>
      <c r="E51">
        <f>SUMIFS('Annual Service Data_rail only'!N:N,'Annual Service Data_rail only'!C:C,C51)</f>
        <v>2</v>
      </c>
      <c r="F51" s="161">
        <f>SUMIFS('Annual Service Data_rail only'!X:X,'Annual Service Data_rail only'!C:C,C51)</f>
        <v>208873</v>
      </c>
      <c r="G51" s="161">
        <f>SUMIFS('Annual Service Data_rail only'!AT:AT,'Annual Service Data_rail only'!C:C,C51)</f>
        <v>3403059</v>
      </c>
      <c r="H51">
        <f>SUMIFS('Fuel and Energy_rail only'!AD:AD,'Fuel and Energy_rail only'!C:C,C51)</f>
        <v>71832</v>
      </c>
      <c r="I51">
        <f>SUMIFS('Fuel and Energy_rail only'!AN:AN,'Fuel and Energy_rail only'!C:C,C51)</f>
        <v>0</v>
      </c>
      <c r="J51" s="155">
        <f t="shared" si="2"/>
        <v>1</v>
      </c>
      <c r="K51" s="155">
        <f t="shared" si="2"/>
        <v>0</v>
      </c>
      <c r="L51" s="163">
        <f t="shared" si="0"/>
        <v>16.292479161978811</v>
      </c>
      <c r="M51" s="164">
        <f t="shared" si="1"/>
        <v>104436.5</v>
      </c>
      <c r="N51" s="164">
        <f t="shared" si="3"/>
        <v>2</v>
      </c>
      <c r="O51" s="164">
        <f t="shared" si="4"/>
        <v>0</v>
      </c>
      <c r="P51">
        <f>SUMIFS('Fuel and Energy_rail only'!M:M,'Fuel and Energy_rail only'!C:C,C51)</f>
        <v>195054</v>
      </c>
      <c r="Q51">
        <f>SUMIFS('Fuel and Energy_rail only'!U:U,'Fuel and Energy_rail only'!C:C,C51)</f>
        <v>0</v>
      </c>
      <c r="R51">
        <f>SUMIFS('Fuel and Energy_rail only'!Y:Y,'Fuel and Energy_rail only'!C:C,C51)</f>
        <v>0</v>
      </c>
      <c r="S51">
        <f t="shared" si="5"/>
        <v>27053989800</v>
      </c>
      <c r="T51">
        <f t="shared" si="6"/>
        <v>0</v>
      </c>
      <c r="U51" s="165">
        <f t="shared" si="7"/>
        <v>1.2578769435331124E-4</v>
      </c>
      <c r="V51" s="165">
        <f t="shared" si="7"/>
        <v>0</v>
      </c>
    </row>
    <row r="52" spans="2:24">
      <c r="B52" s="75" t="s">
        <v>117</v>
      </c>
      <c r="C52" s="75" t="s">
        <v>390</v>
      </c>
      <c r="D52" t="s">
        <v>1867</v>
      </c>
      <c r="E52">
        <f>SUMIFS('Annual Service Data_rail only'!N:N,'Annual Service Data_rail only'!C:C,C52)</f>
        <v>81</v>
      </c>
      <c r="F52" s="161">
        <f>SUMIFS('Annual Service Data_rail only'!X:X,'Annual Service Data_rail only'!C:C,C52)</f>
        <v>16971382</v>
      </c>
      <c r="G52" s="161">
        <f>SUMIFS('Annual Service Data_rail only'!AT:AT,'Annual Service Data_rail only'!C:C,C52)</f>
        <v>229087609</v>
      </c>
      <c r="H52">
        <f>SUMIFS('Fuel and Energy_rail only'!AD:AD,'Fuel and Energy_rail only'!C:C,C52)</f>
        <v>2810479</v>
      </c>
      <c r="I52">
        <f>SUMIFS('Fuel and Energy_rail only'!AN:AN,'Fuel and Energy_rail only'!C:C,C52)</f>
        <v>13314833</v>
      </c>
      <c r="J52" s="155">
        <f t="shared" si="2"/>
        <v>0.17428989901094627</v>
      </c>
      <c r="K52" s="155">
        <f t="shared" si="2"/>
        <v>0.82571010098905373</v>
      </c>
      <c r="L52" s="163">
        <f t="shared" si="0"/>
        <v>13.498465180973476</v>
      </c>
      <c r="M52" s="164">
        <f t="shared" si="1"/>
        <v>209523.23456790124</v>
      </c>
      <c r="N52" s="164">
        <f t="shared" si="3"/>
        <v>14.117481819886647</v>
      </c>
      <c r="O52" s="164">
        <f t="shared" si="4"/>
        <v>66.882518180113351</v>
      </c>
      <c r="P52">
        <f>SUMIFS('Fuel and Energy_rail only'!M:M,'Fuel and Energy_rail only'!C:C,C52)</f>
        <v>1818399</v>
      </c>
      <c r="Q52">
        <f>SUMIFS('Fuel and Energy_rail only'!U:U,'Fuel and Energy_rail only'!C:C,C52)</f>
        <v>0</v>
      </c>
      <c r="R52">
        <f>SUMIFS('Fuel and Energy_rail only'!Y:Y,'Fuel and Energy_rail only'!C:C,C52)</f>
        <v>136948004</v>
      </c>
      <c r="S52">
        <f t="shared" si="5"/>
        <v>252211941300</v>
      </c>
      <c r="T52">
        <f t="shared" si="6"/>
        <v>467285762368.56</v>
      </c>
      <c r="U52" s="165">
        <f t="shared" si="7"/>
        <v>1.5830993580821838E-4</v>
      </c>
      <c r="V52" s="165">
        <f t="shared" si="7"/>
        <v>4.0480572702220627E-4</v>
      </c>
    </row>
    <row r="53" spans="2:24">
      <c r="B53" s="75" t="s">
        <v>121</v>
      </c>
      <c r="C53" s="75" t="s">
        <v>395</v>
      </c>
      <c r="D53" t="s">
        <v>1868</v>
      </c>
      <c r="E53">
        <f>SUMIFS('Annual Service Data_rail only'!N:N,'Annual Service Data_rail only'!C:C,C53)</f>
        <v>31</v>
      </c>
      <c r="F53" s="161">
        <f>SUMIFS('Annual Service Data_rail only'!X:X,'Annual Service Data_rail only'!C:C,C53)</f>
        <v>10256420</v>
      </c>
      <c r="G53" s="161">
        <f>SUMIFS('Annual Service Data_rail only'!AT:AT,'Annual Service Data_rail only'!C:C,C53)</f>
        <v>91039641</v>
      </c>
      <c r="H53">
        <f>SUMIFS('Fuel and Energy_rail only'!AD:AD,'Fuel and Energy_rail only'!C:C,C53)</f>
        <v>850933</v>
      </c>
      <c r="I53">
        <f>SUMIFS('Fuel and Energy_rail only'!AN:AN,'Fuel and Energy_rail only'!C:C,C53)</f>
        <v>6307169</v>
      </c>
      <c r="J53" s="155">
        <f t="shared" si="2"/>
        <v>0.11887690340260589</v>
      </c>
      <c r="K53" s="155">
        <f t="shared" si="2"/>
        <v>0.88112309659739407</v>
      </c>
      <c r="L53" s="163">
        <f t="shared" si="0"/>
        <v>8.876356564961263</v>
      </c>
      <c r="M53" s="164">
        <f t="shared" si="1"/>
        <v>330852.25806451612</v>
      </c>
      <c r="N53" s="164">
        <f t="shared" si="3"/>
        <v>3.6851840054807825</v>
      </c>
      <c r="O53" s="164">
        <f t="shared" si="4"/>
        <v>27.314815994519215</v>
      </c>
      <c r="P53">
        <f>SUMIFS('Fuel and Energy_rail only'!M:M,'Fuel and Energy_rail only'!C:C,C53)</f>
        <v>1921417</v>
      </c>
      <c r="Q53">
        <f>SUMIFS('Fuel and Energy_rail only'!U:U,'Fuel and Energy_rail only'!C:C,C53)</f>
        <v>0</v>
      </c>
      <c r="R53">
        <f>SUMIFS('Fuel and Energy_rail only'!Y:Y,'Fuel and Energy_rail only'!C:C,C53)</f>
        <v>39602347</v>
      </c>
      <c r="S53">
        <f t="shared" si="5"/>
        <v>266500537900</v>
      </c>
      <c r="T53">
        <f t="shared" si="6"/>
        <v>135128752292.58</v>
      </c>
      <c r="U53" s="165">
        <f t="shared" si="7"/>
        <v>4.0609713939961685E-5</v>
      </c>
      <c r="V53" s="165">
        <f t="shared" si="7"/>
        <v>5.9363480406708256E-4</v>
      </c>
    </row>
    <row r="54" spans="2:24">
      <c r="B54" s="75" t="s">
        <v>85</v>
      </c>
      <c r="C54" s="75" t="s">
        <v>397</v>
      </c>
      <c r="D54" t="s">
        <v>1869</v>
      </c>
      <c r="E54">
        <f>SUMIFS('Annual Service Data_rail only'!N:N,'Annual Service Data_rail only'!C:C,C54)</f>
        <v>0</v>
      </c>
      <c r="F54" s="161">
        <f>SUMIFS('Annual Service Data_rail only'!X:X,'Annual Service Data_rail only'!C:C,C54)</f>
        <v>0</v>
      </c>
      <c r="G54" s="161">
        <f>SUMIFS('Annual Service Data_rail only'!AT:AT,'Annual Service Data_rail only'!C:C,C54)</f>
        <v>0</v>
      </c>
      <c r="H54">
        <f>SUMIFS('Fuel and Energy_rail only'!AD:AD,'Fuel and Energy_rail only'!C:C,C54)</f>
        <v>0</v>
      </c>
      <c r="I54">
        <f>SUMIFS('Fuel and Energy_rail only'!AN:AN,'Fuel and Energy_rail only'!C:C,C54)</f>
        <v>0</v>
      </c>
      <c r="J54" s="155">
        <f t="shared" si="2"/>
        <v>0</v>
      </c>
      <c r="K54" s="155">
        <f t="shared" si="2"/>
        <v>0</v>
      </c>
      <c r="L54" s="163">
        <f t="shared" si="0"/>
        <v>0</v>
      </c>
      <c r="M54" s="164">
        <f t="shared" si="1"/>
        <v>0</v>
      </c>
      <c r="N54" s="164">
        <f t="shared" si="3"/>
        <v>0</v>
      </c>
      <c r="O54" s="164">
        <f t="shared" si="4"/>
        <v>0</v>
      </c>
      <c r="P54">
        <f>SUMIFS('Fuel and Energy_rail only'!M:M,'Fuel and Energy_rail only'!C:C,C54)</f>
        <v>0</v>
      </c>
      <c r="Q54">
        <f>SUMIFS('Fuel and Energy_rail only'!U:U,'Fuel and Energy_rail only'!C:C,C54)</f>
        <v>0</v>
      </c>
      <c r="R54">
        <f>SUMIFS('Fuel and Energy_rail only'!Y:Y,'Fuel and Energy_rail only'!C:C,C54)</f>
        <v>0</v>
      </c>
      <c r="S54">
        <f t="shared" si="5"/>
        <v>0</v>
      </c>
      <c r="T54">
        <f t="shared" si="6"/>
        <v>0</v>
      </c>
      <c r="U54" s="165">
        <f t="shared" si="7"/>
        <v>0</v>
      </c>
      <c r="V54" s="165">
        <f t="shared" si="7"/>
        <v>0</v>
      </c>
    </row>
    <row r="55" spans="2:24">
      <c r="B55" s="75" t="s">
        <v>95</v>
      </c>
      <c r="C55" s="75" t="s">
        <v>396</v>
      </c>
      <c r="D55" t="s">
        <v>1870</v>
      </c>
      <c r="E55">
        <f>SUMIFS('Annual Service Data_rail only'!N:N,'Annual Service Data_rail only'!C:C,C55)</f>
        <v>38</v>
      </c>
      <c r="F55" s="161">
        <f>SUMIFS('Annual Service Data_rail only'!X:X,'Annual Service Data_rail only'!C:C,C55)</f>
        <v>2579467</v>
      </c>
      <c r="G55" s="161">
        <f>SUMIFS('Annual Service Data_rail only'!AT:AT,'Annual Service Data_rail only'!C:C,C55)</f>
        <v>101304307</v>
      </c>
      <c r="H55">
        <f>SUMIFS('Fuel and Energy_rail only'!AD:AD,'Fuel and Energy_rail only'!C:C,C55)</f>
        <v>333956</v>
      </c>
      <c r="I55">
        <f>SUMIFS('Fuel and Energy_rail only'!AN:AN,'Fuel and Energy_rail only'!C:C,C55)</f>
        <v>345837</v>
      </c>
      <c r="J55" s="155">
        <f t="shared" si="2"/>
        <v>0.49126131042832155</v>
      </c>
      <c r="K55" s="155">
        <f t="shared" si="2"/>
        <v>0.50873868957167845</v>
      </c>
      <c r="L55" s="163">
        <f t="shared" si="0"/>
        <v>39.273348718940774</v>
      </c>
      <c r="M55" s="164">
        <f t="shared" si="1"/>
        <v>67880.710526315786</v>
      </c>
      <c r="N55" s="164">
        <f t="shared" si="3"/>
        <v>18.667929796276219</v>
      </c>
      <c r="O55" s="164">
        <f t="shared" si="4"/>
        <v>19.332070203723781</v>
      </c>
      <c r="P55">
        <f>SUMIFS('Fuel and Energy_rail only'!M:M,'Fuel and Energy_rail only'!C:C,C55)</f>
        <v>1430638</v>
      </c>
      <c r="Q55">
        <f>SUMIFS('Fuel and Energy_rail only'!U:U,'Fuel and Energy_rail only'!C:C,C55)</f>
        <v>0</v>
      </c>
      <c r="R55">
        <f>SUMIFS('Fuel and Energy_rail only'!Y:Y,'Fuel and Energy_rail only'!C:C,C55)</f>
        <v>3318000</v>
      </c>
      <c r="S55">
        <f t="shared" si="5"/>
        <v>198429490600</v>
      </c>
      <c r="T55">
        <f t="shared" si="6"/>
        <v>11321480520</v>
      </c>
      <c r="U55" s="165">
        <f t="shared" si="7"/>
        <v>2.5080388231794913E-4</v>
      </c>
      <c r="V55" s="165">
        <f t="shared" si="7"/>
        <v>4.5521802824377436E-3</v>
      </c>
    </row>
    <row r="56" spans="2:24">
      <c r="B56" s="75" t="s">
        <v>128</v>
      </c>
      <c r="C56" s="75" t="s">
        <v>398</v>
      </c>
      <c r="D56" t="s">
        <v>1871</v>
      </c>
      <c r="E56">
        <f>SUMIFS('Annual Service Data_rail only'!N:N,'Annual Service Data_rail only'!C:C,C56)</f>
        <v>40</v>
      </c>
      <c r="F56" s="161">
        <f>SUMIFS('Annual Service Data_rail only'!X:X,'Annual Service Data_rail only'!C:C,C56)</f>
        <v>5730374</v>
      </c>
      <c r="G56" s="161">
        <f>SUMIFS('Annual Service Data_rail only'!AT:AT,'Annual Service Data_rail only'!C:C,C56)</f>
        <v>81685247</v>
      </c>
      <c r="H56">
        <f>SUMIFS('Fuel and Energy_rail only'!AD:AD,'Fuel and Energy_rail only'!C:C,C56)</f>
        <v>335545</v>
      </c>
      <c r="I56">
        <f>SUMIFS('Fuel and Energy_rail only'!AN:AN,'Fuel and Energy_rail only'!C:C,C56)</f>
        <v>4232555</v>
      </c>
      <c r="J56" s="155">
        <f t="shared" si="2"/>
        <v>7.345395240909787E-2</v>
      </c>
      <c r="K56" s="155">
        <f t="shared" si="2"/>
        <v>0.92654604759090209</v>
      </c>
      <c r="L56" s="163">
        <f t="shared" si="0"/>
        <v>14.254784591721238</v>
      </c>
      <c r="M56" s="164">
        <f t="shared" si="1"/>
        <v>143259.35</v>
      </c>
      <c r="N56" s="164">
        <f t="shared" si="3"/>
        <v>2.9381580963639147</v>
      </c>
      <c r="O56" s="164">
        <f t="shared" si="4"/>
        <v>37.061841903636086</v>
      </c>
      <c r="P56">
        <f>SUMIFS('Fuel and Energy_rail only'!M:M,'Fuel and Energy_rail only'!C:C,C56)</f>
        <v>625305</v>
      </c>
      <c r="Q56">
        <f>SUMIFS('Fuel and Energy_rail only'!U:U,'Fuel and Energy_rail only'!C:C,C56)</f>
        <v>0</v>
      </c>
      <c r="R56">
        <f>SUMIFS('Fuel and Energy_rail only'!Y:Y,'Fuel and Energy_rail only'!C:C,C56)</f>
        <v>20355203</v>
      </c>
      <c r="S56">
        <f t="shared" si="5"/>
        <v>86729803500</v>
      </c>
      <c r="T56">
        <f t="shared" si="6"/>
        <v>69454802364.419998</v>
      </c>
      <c r="U56" s="165">
        <f t="shared" si="7"/>
        <v>6.9181573156261154E-5</v>
      </c>
      <c r="V56" s="165">
        <f t="shared" si="7"/>
        <v>1.0897035219714086E-3</v>
      </c>
    </row>
    <row r="57" spans="2:24">
      <c r="B57" s="75" t="s">
        <v>96</v>
      </c>
      <c r="C57" s="75" t="s">
        <v>400</v>
      </c>
      <c r="D57" t="s">
        <v>1872</v>
      </c>
      <c r="E57">
        <f>SUMIFS('Annual Service Data_rail only'!N:N,'Annual Service Data_rail only'!C:C,C57)</f>
        <v>0</v>
      </c>
      <c r="F57" s="161">
        <f>SUMIFS('Annual Service Data_rail only'!X:X,'Annual Service Data_rail only'!C:C,C57)</f>
        <v>0</v>
      </c>
      <c r="G57" s="161">
        <f>SUMIFS('Annual Service Data_rail only'!AT:AT,'Annual Service Data_rail only'!C:C,C57)</f>
        <v>0</v>
      </c>
      <c r="H57">
        <f>SUMIFS('Fuel and Energy_rail only'!AD:AD,'Fuel and Energy_rail only'!C:C,C57)</f>
        <v>0</v>
      </c>
      <c r="I57">
        <f>SUMIFS('Fuel and Energy_rail only'!AN:AN,'Fuel and Energy_rail only'!C:C,C57)</f>
        <v>0</v>
      </c>
      <c r="J57" s="155">
        <f t="shared" si="2"/>
        <v>0</v>
      </c>
      <c r="K57" s="155">
        <f t="shared" si="2"/>
        <v>0</v>
      </c>
      <c r="L57" s="163">
        <f t="shared" si="0"/>
        <v>0</v>
      </c>
      <c r="M57" s="164">
        <f t="shared" si="1"/>
        <v>0</v>
      </c>
      <c r="N57" s="164">
        <f t="shared" si="3"/>
        <v>0</v>
      </c>
      <c r="O57" s="164">
        <f t="shared" si="4"/>
        <v>0</v>
      </c>
      <c r="P57">
        <f>SUMIFS('Fuel and Energy_rail only'!M:M,'Fuel and Energy_rail only'!C:C,C57)</f>
        <v>0</v>
      </c>
      <c r="Q57">
        <f>SUMIFS('Fuel and Energy_rail only'!U:U,'Fuel and Energy_rail only'!C:C,C57)</f>
        <v>0</v>
      </c>
      <c r="R57">
        <f>SUMIFS('Fuel and Energy_rail only'!Y:Y,'Fuel and Energy_rail only'!C:C,C57)</f>
        <v>0</v>
      </c>
      <c r="S57">
        <f t="shared" si="5"/>
        <v>0</v>
      </c>
      <c r="T57">
        <f t="shared" si="6"/>
        <v>0</v>
      </c>
      <c r="U57" s="165">
        <f t="shared" si="7"/>
        <v>0</v>
      </c>
      <c r="V57" s="165">
        <f t="shared" si="7"/>
        <v>0</v>
      </c>
    </row>
    <row r="58" spans="2:24">
      <c r="B58" s="75" t="s">
        <v>111</v>
      </c>
      <c r="C58" s="75" t="s">
        <v>399</v>
      </c>
      <c r="D58" t="s">
        <v>1873</v>
      </c>
      <c r="E58">
        <f>SUMIFS('Annual Service Data_rail only'!N:N,'Annual Service Data_rail only'!C:C,C58)</f>
        <v>0</v>
      </c>
      <c r="F58" s="161">
        <f>SUMIFS('Annual Service Data_rail only'!X:X,'Annual Service Data_rail only'!C:C,C58)</f>
        <v>0</v>
      </c>
      <c r="G58" s="161">
        <f>SUMIFS('Annual Service Data_rail only'!AT:AT,'Annual Service Data_rail only'!C:C,C58)</f>
        <v>0</v>
      </c>
      <c r="H58">
        <f>SUMIFS('Fuel and Energy_rail only'!AD:AD,'Fuel and Energy_rail only'!C:C,C58)</f>
        <v>0</v>
      </c>
      <c r="I58">
        <f>SUMIFS('Fuel and Energy_rail only'!AN:AN,'Fuel and Energy_rail only'!C:C,C58)</f>
        <v>0</v>
      </c>
      <c r="J58" s="155">
        <f t="shared" si="2"/>
        <v>0</v>
      </c>
      <c r="K58" s="155">
        <f t="shared" si="2"/>
        <v>0</v>
      </c>
      <c r="L58" s="163">
        <f t="shared" si="0"/>
        <v>0</v>
      </c>
      <c r="M58" s="164">
        <f t="shared" si="1"/>
        <v>0</v>
      </c>
      <c r="N58" s="164">
        <f t="shared" si="3"/>
        <v>0</v>
      </c>
      <c r="O58" s="164">
        <f t="shared" si="4"/>
        <v>0</v>
      </c>
      <c r="P58">
        <f>SUMIFS('Fuel and Energy_rail only'!M:M,'Fuel and Energy_rail only'!C:C,C58)</f>
        <v>0</v>
      </c>
      <c r="Q58">
        <f>SUMIFS('Fuel and Energy_rail only'!U:U,'Fuel and Energy_rail only'!C:C,C58)</f>
        <v>0</v>
      </c>
      <c r="R58">
        <f>SUMIFS('Fuel and Energy_rail only'!Y:Y,'Fuel and Energy_rail only'!C:C,C58)</f>
        <v>0</v>
      </c>
      <c r="S58">
        <f t="shared" si="5"/>
        <v>0</v>
      </c>
      <c r="T58">
        <f t="shared" si="6"/>
        <v>0</v>
      </c>
      <c r="U58" s="165">
        <f t="shared" si="7"/>
        <v>0</v>
      </c>
      <c r="V58" s="165">
        <f t="shared" si="7"/>
        <v>0</v>
      </c>
    </row>
    <row r="59" spans="2:24">
      <c r="B59" s="75" t="s">
        <v>122</v>
      </c>
      <c r="C59" s="75" t="s">
        <v>401</v>
      </c>
      <c r="D59" t="s">
        <v>1874</v>
      </c>
      <c r="E59">
        <f>SUMIFS('Annual Service Data_rail only'!N:N,'Annual Service Data_rail only'!C:C,C59)</f>
        <v>0</v>
      </c>
      <c r="F59" s="161">
        <f>SUMIFS('Annual Service Data_rail only'!X:X,'Annual Service Data_rail only'!C:C,C59)</f>
        <v>0</v>
      </c>
      <c r="G59" s="161">
        <f>SUMIFS('Annual Service Data_rail only'!AT:AT,'Annual Service Data_rail only'!C:C,C59)</f>
        <v>0</v>
      </c>
      <c r="H59">
        <f>SUMIFS('Fuel and Energy_rail only'!AD:AD,'Fuel and Energy_rail only'!C:C,C59)</f>
        <v>0</v>
      </c>
      <c r="I59">
        <f>SUMIFS('Fuel and Energy_rail only'!AN:AN,'Fuel and Energy_rail only'!C:C,C59)</f>
        <v>0</v>
      </c>
      <c r="J59" s="155">
        <f t="shared" si="2"/>
        <v>0</v>
      </c>
      <c r="K59" s="155">
        <f t="shared" si="2"/>
        <v>0</v>
      </c>
      <c r="L59" s="163">
        <f t="shared" si="0"/>
        <v>0</v>
      </c>
      <c r="M59" s="164">
        <f t="shared" si="1"/>
        <v>0</v>
      </c>
      <c r="N59" s="164">
        <f t="shared" si="3"/>
        <v>0</v>
      </c>
      <c r="O59" s="164">
        <f t="shared" si="4"/>
        <v>0</v>
      </c>
      <c r="P59">
        <f>SUMIFS('Fuel and Energy_rail only'!M:M,'Fuel and Energy_rail only'!C:C,C59)</f>
        <v>0</v>
      </c>
      <c r="Q59">
        <f>SUMIFS('Fuel and Energy_rail only'!U:U,'Fuel and Energy_rail only'!C:C,C59)</f>
        <v>0</v>
      </c>
      <c r="R59">
        <f>SUMIFS('Fuel and Energy_rail only'!Y:Y,'Fuel and Energy_rail only'!C:C,C59)</f>
        <v>0</v>
      </c>
      <c r="S59">
        <f t="shared" si="5"/>
        <v>0</v>
      </c>
      <c r="T59">
        <f t="shared" si="6"/>
        <v>0</v>
      </c>
      <c r="U59" s="165">
        <f t="shared" si="7"/>
        <v>0</v>
      </c>
      <c r="V59" s="165">
        <f t="shared" si="7"/>
        <v>0</v>
      </c>
    </row>
    <row r="61" spans="2:24" s="16" customFormat="1">
      <c r="E61" s="16" t="str">
        <f>E8</f>
        <v>Max Trains in Operation</v>
      </c>
      <c r="F61" s="16" t="str">
        <f t="shared" ref="F61:V61" si="8">F8</f>
        <v>Vehicle Miles</v>
      </c>
      <c r="G61" s="16" t="str">
        <f t="shared" si="8"/>
        <v>Passenger Miles</v>
      </c>
      <c r="L61" s="16" t="str">
        <f t="shared" si="8"/>
        <v>calc AVLO</v>
      </c>
      <c r="M61" s="16" t="str">
        <f t="shared" si="8"/>
        <v>calc BAADTVBT</v>
      </c>
      <c r="N61" s="16" t="str">
        <f t="shared" si="8"/>
        <v>SYVBT-diesel</v>
      </c>
      <c r="O61" s="16" t="str">
        <f t="shared" si="8"/>
        <v>SYVBT-electric</v>
      </c>
      <c r="S61" s="16" t="str">
        <f t="shared" si="8"/>
        <v>diesel (btus)</v>
      </c>
      <c r="T61" s="16" t="str">
        <f t="shared" si="8"/>
        <v>electric (btu)</v>
      </c>
      <c r="U61" s="16" t="str">
        <f t="shared" si="8"/>
        <v>calc SYFAFE-diesel</v>
      </c>
      <c r="V61" s="16" t="str">
        <f t="shared" si="8"/>
        <v>calc SYFAFE-electric</v>
      </c>
    </row>
    <row r="62" spans="2:24">
      <c r="D62" s="2" t="s">
        <v>1875</v>
      </c>
      <c r="E62" s="2">
        <f>SUM(E9:E59)</f>
        <v>2740</v>
      </c>
      <c r="F62" s="2">
        <f t="shared" ref="F62:G62" si="9">SUM(F9:F59)</f>
        <v>1083860350</v>
      </c>
      <c r="G62" s="2">
        <f t="shared" si="9"/>
        <v>16634915700</v>
      </c>
      <c r="H62" s="2"/>
      <c r="I62" s="2"/>
      <c r="J62" s="2"/>
      <c r="K62" s="2"/>
      <c r="L62" s="166">
        <f>IFERROR(G62/F62,0)</f>
        <v>15.34784042981183</v>
      </c>
      <c r="M62" s="167">
        <f>IFERROR(F62/E62,0)</f>
        <v>395569.47080291971</v>
      </c>
      <c r="N62" s="167">
        <f>SUM(N9:N59)</f>
        <v>173.39396393169866</v>
      </c>
      <c r="O62" s="167">
        <f>SUM(O9:O59)</f>
        <v>2563.6060360683009</v>
      </c>
      <c r="P62" s="168"/>
      <c r="Q62" s="168"/>
      <c r="R62" s="168"/>
      <c r="S62" s="2">
        <f>SUM(S9:S59)</f>
        <v>14672704890200</v>
      </c>
      <c r="T62" s="2">
        <f>SUM(T9:T59)</f>
        <v>20563855531548.477</v>
      </c>
      <c r="U62" s="169">
        <f>IFERROR(($L62*$M62*N62)/S62,0)</f>
        <v>7.1745362435245036E-5</v>
      </c>
      <c r="V62" s="169">
        <f>IFERROR(($L62*$M62*O62)/T62,0)</f>
        <v>7.5686214263268839E-4</v>
      </c>
      <c r="W62" s="12"/>
      <c r="X62" s="12"/>
    </row>
    <row r="64" spans="2:24">
      <c r="D64" t="s">
        <v>1876</v>
      </c>
      <c r="E64" s="155">
        <f>E62/SUM(N62:O62)</f>
        <v>1.0010960906101574</v>
      </c>
      <c r="G64" s="155">
        <f>L62*M62*SUM(N62:O62)/G62</f>
        <v>0.99890510948905087</v>
      </c>
      <c r="K64" s="170"/>
      <c r="S64" s="155">
        <f>($L62*$M62*N62/U62)/S62</f>
        <v>1</v>
      </c>
      <c r="T64" s="155">
        <f>($L62*$M62*O62/V62)/T62</f>
        <v>1</v>
      </c>
    </row>
  </sheetData>
  <conditionalFormatting sqref="C93:C1048576 C4:C63">
    <cfRule type="duplicateValues" dxfId="0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tabSelected="1" workbookViewId="0">
      <selection activeCell="B5" sqref="B5"/>
    </sheetView>
  </sheetViews>
  <sheetFormatPr defaultRowHeight="14.75"/>
  <sheetData>
    <row r="1" spans="1:2" ht="59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11523.271151553809</v>
      </c>
    </row>
    <row r="3" spans="1:2">
      <c r="A3" t="s">
        <v>39</v>
      </c>
      <c r="B3" s="8">
        <f>'BAADTbVT-passengers'!D3</f>
        <v>16472.704872068163</v>
      </c>
    </row>
    <row r="4" spans="1:2">
      <c r="A4" t="s">
        <v>40</v>
      </c>
      <c r="B4" s="8">
        <f>'BAADTbVT-passengers'!D4</f>
        <v>931472.77433944121</v>
      </c>
    </row>
    <row r="5" spans="1:2">
      <c r="A5" t="s">
        <v>41</v>
      </c>
      <c r="B5" s="8">
        <f>SUMIFS('psgr rail calcs'!M:M,'psgr rail calcs'!C:C,About!B2)</f>
        <v>0</v>
      </c>
    </row>
    <row r="6" spans="1:2">
      <c r="A6" t="s">
        <v>42</v>
      </c>
      <c r="B6" s="8">
        <f>'BAADTbVT-passengers'!D6</f>
        <v>210.57974787127344</v>
      </c>
    </row>
    <row r="7" spans="1:2">
      <c r="A7" t="s">
        <v>43</v>
      </c>
      <c r="B7" s="8">
        <f>'BAADTbVT-passengers'!D7</f>
        <v>2271.8732592503884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5" sqref="B5"/>
    </sheetView>
  </sheetViews>
  <sheetFormatPr defaultRowHeight="14.7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10399.817342034386</v>
      </c>
    </row>
    <row r="3" spans="1:2">
      <c r="A3" t="s">
        <v>39</v>
      </c>
      <c r="B3" s="8">
        <f>'BAADTbVT-freight'!D3</f>
        <v>33028.365811837401</v>
      </c>
    </row>
    <row r="4" spans="1:2">
      <c r="A4" t="s">
        <v>40</v>
      </c>
      <c r="B4" s="8">
        <f>'BAADTbVT-freight'!D4</f>
        <v>905339.33207879646</v>
      </c>
    </row>
    <row r="5" spans="1:2">
      <c r="A5" t="s">
        <v>41</v>
      </c>
      <c r="B5" s="8">
        <f>'BAADTbVT-freight'!D5</f>
        <v>18271.073911159059</v>
      </c>
    </row>
    <row r="6" spans="1:2">
      <c r="A6" t="s">
        <v>42</v>
      </c>
      <c r="B6" s="8">
        <f>'BAADTbVT-freight'!D6</f>
        <v>50718.106355773212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328125" defaultRowHeight="14.75"/>
  <cols>
    <col min="1" max="1" width="16.7265625" customWidth="1"/>
    <col min="2" max="2" width="9" customWidth="1"/>
    <col min="3" max="25" width="9.1328125" customWidth="1"/>
  </cols>
  <sheetData>
    <row r="1" spans="1:34" ht="32.15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11523.271151553809</v>
      </c>
      <c r="C2" s="8">
        <f t="shared" ref="C2:L3" si="0">$B2</f>
        <v>11523.271151553809</v>
      </c>
      <c r="D2" s="8">
        <f t="shared" si="0"/>
        <v>11523.271151553809</v>
      </c>
      <c r="E2" s="8">
        <f t="shared" si="0"/>
        <v>11523.271151553809</v>
      </c>
      <c r="F2" s="8">
        <f t="shared" si="0"/>
        <v>11523.271151553809</v>
      </c>
      <c r="G2" s="8">
        <f t="shared" si="0"/>
        <v>11523.271151553809</v>
      </c>
      <c r="H2" s="8">
        <f t="shared" si="0"/>
        <v>11523.271151553809</v>
      </c>
      <c r="I2" s="8">
        <f t="shared" si="0"/>
        <v>11523.271151553809</v>
      </c>
      <c r="J2" s="8">
        <f t="shared" si="0"/>
        <v>11523.271151553809</v>
      </c>
      <c r="K2" s="8">
        <f t="shared" si="0"/>
        <v>11523.271151553809</v>
      </c>
      <c r="L2" s="8">
        <f t="shared" si="0"/>
        <v>11523.271151553809</v>
      </c>
      <c r="M2" s="8">
        <f t="shared" ref="M2:V3" si="1">$B2</f>
        <v>11523.271151553809</v>
      </c>
      <c r="N2" s="8">
        <f t="shared" si="1"/>
        <v>11523.271151553809</v>
      </c>
      <c r="O2" s="8">
        <f t="shared" si="1"/>
        <v>11523.271151553809</v>
      </c>
      <c r="P2" s="8">
        <f t="shared" si="1"/>
        <v>11523.271151553809</v>
      </c>
      <c r="Q2" s="8">
        <f t="shared" si="1"/>
        <v>11523.271151553809</v>
      </c>
      <c r="R2" s="8">
        <f t="shared" si="1"/>
        <v>11523.271151553809</v>
      </c>
      <c r="S2" s="8">
        <f t="shared" si="1"/>
        <v>11523.271151553809</v>
      </c>
      <c r="T2" s="8">
        <f t="shared" si="1"/>
        <v>11523.271151553809</v>
      </c>
      <c r="U2" s="8">
        <f t="shared" si="1"/>
        <v>11523.271151553809</v>
      </c>
      <c r="V2" s="8">
        <f t="shared" si="1"/>
        <v>11523.271151553809</v>
      </c>
      <c r="W2" s="8">
        <f t="shared" ref="W2:AH3" si="2">$B2</f>
        <v>11523.271151553809</v>
      </c>
      <c r="X2" s="8">
        <f t="shared" si="2"/>
        <v>11523.271151553809</v>
      </c>
      <c r="Y2" s="8">
        <f t="shared" si="2"/>
        <v>11523.271151553809</v>
      </c>
      <c r="Z2" s="8">
        <f t="shared" si="2"/>
        <v>11523.271151553809</v>
      </c>
      <c r="AA2" s="8">
        <f t="shared" si="2"/>
        <v>11523.271151553809</v>
      </c>
      <c r="AB2" s="8">
        <f t="shared" si="2"/>
        <v>11523.271151553809</v>
      </c>
      <c r="AC2" s="8">
        <f t="shared" si="2"/>
        <v>11523.271151553809</v>
      </c>
      <c r="AD2" s="8">
        <f t="shared" si="2"/>
        <v>11523.271151553809</v>
      </c>
      <c r="AE2" s="8">
        <f t="shared" si="2"/>
        <v>11523.271151553809</v>
      </c>
      <c r="AF2" s="8">
        <f t="shared" si="2"/>
        <v>11523.271151553809</v>
      </c>
      <c r="AG2" s="8">
        <f t="shared" si="2"/>
        <v>11523.271151553809</v>
      </c>
      <c r="AH2" s="8">
        <f t="shared" si="2"/>
        <v>11523.271151553809</v>
      </c>
    </row>
    <row r="3" spans="1:34">
      <c r="A3" t="s">
        <v>39</v>
      </c>
      <c r="B3" s="8">
        <f>'Scale to SEDS'!F70</f>
        <v>16472.704872068163</v>
      </c>
      <c r="C3" s="8">
        <f t="shared" si="0"/>
        <v>16472.704872068163</v>
      </c>
      <c r="D3" s="8">
        <f t="shared" si="0"/>
        <v>16472.704872068163</v>
      </c>
      <c r="E3" s="8">
        <f t="shared" si="0"/>
        <v>16472.704872068163</v>
      </c>
      <c r="F3" s="8">
        <f t="shared" si="0"/>
        <v>16472.704872068163</v>
      </c>
      <c r="G3" s="8">
        <f t="shared" si="0"/>
        <v>16472.704872068163</v>
      </c>
      <c r="H3" s="8">
        <f t="shared" si="0"/>
        <v>16472.704872068163</v>
      </c>
      <c r="I3" s="8">
        <f t="shared" si="0"/>
        <v>16472.704872068163</v>
      </c>
      <c r="J3" s="8">
        <f t="shared" si="0"/>
        <v>16472.704872068163</v>
      </c>
      <c r="K3" s="8">
        <f t="shared" si="0"/>
        <v>16472.704872068163</v>
      </c>
      <c r="L3" s="8">
        <f t="shared" si="0"/>
        <v>16472.704872068163</v>
      </c>
      <c r="M3" s="8">
        <f t="shared" si="1"/>
        <v>16472.704872068163</v>
      </c>
      <c r="N3" s="8">
        <f t="shared" si="1"/>
        <v>16472.704872068163</v>
      </c>
      <c r="O3" s="8">
        <f t="shared" si="1"/>
        <v>16472.704872068163</v>
      </c>
      <c r="P3" s="8">
        <f t="shared" si="1"/>
        <v>16472.704872068163</v>
      </c>
      <c r="Q3" s="8">
        <f t="shared" si="1"/>
        <v>16472.704872068163</v>
      </c>
      <c r="R3" s="8">
        <f t="shared" si="1"/>
        <v>16472.704872068163</v>
      </c>
      <c r="S3" s="8">
        <f t="shared" si="1"/>
        <v>16472.704872068163</v>
      </c>
      <c r="T3" s="8">
        <f t="shared" si="1"/>
        <v>16472.704872068163</v>
      </c>
      <c r="U3" s="8">
        <f t="shared" si="1"/>
        <v>16472.704872068163</v>
      </c>
      <c r="V3" s="8">
        <f t="shared" si="1"/>
        <v>16472.704872068163</v>
      </c>
      <c r="W3" s="8">
        <f t="shared" si="2"/>
        <v>16472.704872068163</v>
      </c>
      <c r="X3" s="8">
        <f t="shared" si="2"/>
        <v>16472.704872068163</v>
      </c>
      <c r="Y3" s="8">
        <f t="shared" si="2"/>
        <v>16472.704872068163</v>
      </c>
      <c r="Z3" s="8">
        <f t="shared" si="2"/>
        <v>16472.704872068163</v>
      </c>
      <c r="AA3" s="8">
        <f t="shared" si="2"/>
        <v>16472.704872068163</v>
      </c>
      <c r="AB3" s="8">
        <f t="shared" si="2"/>
        <v>16472.704872068163</v>
      </c>
      <c r="AC3" s="8">
        <f t="shared" si="2"/>
        <v>16472.704872068163</v>
      </c>
      <c r="AD3" s="8">
        <f t="shared" si="2"/>
        <v>16472.704872068163</v>
      </c>
      <c r="AE3" s="8">
        <f t="shared" si="2"/>
        <v>16472.704872068163</v>
      </c>
      <c r="AF3" s="8">
        <f t="shared" si="2"/>
        <v>16472.704872068163</v>
      </c>
      <c r="AG3" s="8">
        <f t="shared" si="2"/>
        <v>16472.704872068163</v>
      </c>
      <c r="AH3" s="8">
        <f t="shared" si="2"/>
        <v>16472.704872068163</v>
      </c>
    </row>
    <row r="4" spans="1:34">
      <c r="A4" t="s">
        <v>40</v>
      </c>
      <c r="B4" s="8">
        <f>'Scale to SEDS'!G71</f>
        <v>931472.77433944121</v>
      </c>
      <c r="C4" s="8">
        <f t="shared" ref="C4:AH4" si="3">$B$4</f>
        <v>931472.77433944121</v>
      </c>
      <c r="D4" s="8">
        <f t="shared" si="3"/>
        <v>931472.77433944121</v>
      </c>
      <c r="E4" s="8">
        <f t="shared" si="3"/>
        <v>931472.77433944121</v>
      </c>
      <c r="F4" s="8">
        <f t="shared" si="3"/>
        <v>931472.77433944121</v>
      </c>
      <c r="G4" s="8">
        <f t="shared" si="3"/>
        <v>931472.77433944121</v>
      </c>
      <c r="H4" s="8">
        <f t="shared" si="3"/>
        <v>931472.77433944121</v>
      </c>
      <c r="I4" s="8">
        <f t="shared" si="3"/>
        <v>931472.77433944121</v>
      </c>
      <c r="J4" s="8">
        <f t="shared" si="3"/>
        <v>931472.77433944121</v>
      </c>
      <c r="K4" s="8">
        <f t="shared" si="3"/>
        <v>931472.77433944121</v>
      </c>
      <c r="L4" s="8">
        <f t="shared" si="3"/>
        <v>931472.77433944121</v>
      </c>
      <c r="M4" s="8">
        <f t="shared" si="3"/>
        <v>931472.77433944121</v>
      </c>
      <c r="N4" s="8">
        <f t="shared" si="3"/>
        <v>931472.77433944121</v>
      </c>
      <c r="O4" s="8">
        <f t="shared" si="3"/>
        <v>931472.77433944121</v>
      </c>
      <c r="P4" s="8">
        <f t="shared" si="3"/>
        <v>931472.77433944121</v>
      </c>
      <c r="Q4" s="8">
        <f t="shared" si="3"/>
        <v>931472.77433944121</v>
      </c>
      <c r="R4" s="8">
        <f t="shared" si="3"/>
        <v>931472.77433944121</v>
      </c>
      <c r="S4" s="8">
        <f t="shared" si="3"/>
        <v>931472.77433944121</v>
      </c>
      <c r="T4" s="8">
        <f t="shared" si="3"/>
        <v>931472.77433944121</v>
      </c>
      <c r="U4" s="8">
        <f t="shared" si="3"/>
        <v>931472.77433944121</v>
      </c>
      <c r="V4" s="8">
        <f t="shared" si="3"/>
        <v>931472.77433944121</v>
      </c>
      <c r="W4" s="8">
        <f t="shared" si="3"/>
        <v>931472.77433944121</v>
      </c>
      <c r="X4" s="8">
        <f t="shared" si="3"/>
        <v>931472.77433944121</v>
      </c>
      <c r="Y4" s="8">
        <f t="shared" si="3"/>
        <v>931472.77433944121</v>
      </c>
      <c r="Z4" s="8">
        <f t="shared" si="3"/>
        <v>931472.77433944121</v>
      </c>
      <c r="AA4" s="8">
        <f t="shared" si="3"/>
        <v>931472.77433944121</v>
      </c>
      <c r="AB4" s="8">
        <f t="shared" si="3"/>
        <v>931472.77433944121</v>
      </c>
      <c r="AC4" s="8">
        <f t="shared" si="3"/>
        <v>931472.77433944121</v>
      </c>
      <c r="AD4" s="8">
        <f t="shared" si="3"/>
        <v>931472.77433944121</v>
      </c>
      <c r="AE4" s="8">
        <f t="shared" si="3"/>
        <v>931472.77433944121</v>
      </c>
      <c r="AF4" s="8">
        <f t="shared" si="3"/>
        <v>931472.77433944121</v>
      </c>
      <c r="AG4" s="8">
        <f t="shared" si="3"/>
        <v>931472.77433944121</v>
      </c>
      <c r="AH4" s="8">
        <f t="shared" si="3"/>
        <v>931472.77433944121</v>
      </c>
    </row>
    <row r="5" spans="1:34">
      <c r="A5" t="s">
        <v>41</v>
      </c>
      <c r="B5" s="8">
        <f>'SYAADTbVT-passengers'!B5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210.57974787127344</v>
      </c>
      <c r="C6" s="8">
        <f t="shared" si="4"/>
        <v>210.57974787127344</v>
      </c>
      <c r="D6" s="8">
        <f t="shared" si="4"/>
        <v>210.57974787127344</v>
      </c>
      <c r="E6" s="8">
        <f t="shared" si="4"/>
        <v>210.57974787127344</v>
      </c>
      <c r="F6" s="8">
        <f t="shared" si="4"/>
        <v>210.57974787127344</v>
      </c>
      <c r="G6" s="8">
        <f t="shared" si="4"/>
        <v>210.57974787127344</v>
      </c>
      <c r="H6" s="8">
        <f t="shared" si="4"/>
        <v>210.57974787127344</v>
      </c>
      <c r="I6" s="8">
        <f t="shared" si="4"/>
        <v>210.57974787127344</v>
      </c>
      <c r="J6" s="8">
        <f t="shared" si="4"/>
        <v>210.57974787127344</v>
      </c>
      <c r="K6" s="8">
        <f t="shared" si="4"/>
        <v>210.57974787127344</v>
      </c>
      <c r="L6" s="8">
        <f t="shared" si="4"/>
        <v>210.57974787127344</v>
      </c>
      <c r="M6" s="8">
        <f t="shared" si="5"/>
        <v>210.57974787127344</v>
      </c>
      <c r="N6" s="8">
        <f t="shared" si="5"/>
        <v>210.57974787127344</v>
      </c>
      <c r="O6" s="8">
        <f t="shared" si="5"/>
        <v>210.57974787127344</v>
      </c>
      <c r="P6" s="8">
        <f t="shared" si="5"/>
        <v>210.57974787127344</v>
      </c>
      <c r="Q6" s="8">
        <f t="shared" si="5"/>
        <v>210.57974787127344</v>
      </c>
      <c r="R6" s="8">
        <f t="shared" si="5"/>
        <v>210.57974787127344</v>
      </c>
      <c r="S6" s="8">
        <f t="shared" si="5"/>
        <v>210.57974787127344</v>
      </c>
      <c r="T6" s="8">
        <f t="shared" si="5"/>
        <v>210.57974787127344</v>
      </c>
      <c r="U6" s="8">
        <f t="shared" si="5"/>
        <v>210.57974787127344</v>
      </c>
      <c r="V6" s="8">
        <f t="shared" si="5"/>
        <v>210.57974787127344</v>
      </c>
      <c r="W6" s="8">
        <f t="shared" si="6"/>
        <v>210.57974787127344</v>
      </c>
      <c r="X6" s="8">
        <f t="shared" si="6"/>
        <v>210.57974787127344</v>
      </c>
      <c r="Y6" s="8">
        <f t="shared" si="6"/>
        <v>210.57974787127344</v>
      </c>
      <c r="Z6" s="8">
        <f t="shared" si="6"/>
        <v>210.57974787127344</v>
      </c>
      <c r="AA6" s="8">
        <f t="shared" si="6"/>
        <v>210.57974787127344</v>
      </c>
      <c r="AB6" s="8">
        <f t="shared" si="6"/>
        <v>210.57974787127344</v>
      </c>
      <c r="AC6" s="8">
        <f t="shared" si="6"/>
        <v>210.57974787127344</v>
      </c>
      <c r="AD6" s="8">
        <f t="shared" si="6"/>
        <v>210.57974787127344</v>
      </c>
      <c r="AE6" s="8">
        <f t="shared" si="6"/>
        <v>210.57974787127344</v>
      </c>
      <c r="AF6" s="8">
        <f t="shared" si="6"/>
        <v>210.57974787127344</v>
      </c>
      <c r="AG6" s="8">
        <f t="shared" si="6"/>
        <v>210.57974787127344</v>
      </c>
      <c r="AH6" s="8">
        <f t="shared" si="6"/>
        <v>210.57974787127344</v>
      </c>
    </row>
    <row r="7" spans="1:34">
      <c r="A7" t="s">
        <v>43</v>
      </c>
      <c r="B7" s="8">
        <f>'Scale to SEDS'!E74</f>
        <v>2271.8732592503884</v>
      </c>
      <c r="C7" s="8">
        <f t="shared" si="4"/>
        <v>2271.8732592503884</v>
      </c>
      <c r="D7" s="8">
        <f t="shared" si="4"/>
        <v>2271.8732592503884</v>
      </c>
      <c r="E7" s="8">
        <f t="shared" si="4"/>
        <v>2271.8732592503884</v>
      </c>
      <c r="F7" s="8">
        <f t="shared" si="4"/>
        <v>2271.8732592503884</v>
      </c>
      <c r="G7" s="8">
        <f t="shared" si="4"/>
        <v>2271.8732592503884</v>
      </c>
      <c r="H7" s="8">
        <f t="shared" si="4"/>
        <v>2271.8732592503884</v>
      </c>
      <c r="I7" s="8">
        <f t="shared" si="4"/>
        <v>2271.8732592503884</v>
      </c>
      <c r="J7" s="8">
        <f t="shared" si="4"/>
        <v>2271.8732592503884</v>
      </c>
      <c r="K7" s="8">
        <f t="shared" si="4"/>
        <v>2271.8732592503884</v>
      </c>
      <c r="L7" s="8">
        <f t="shared" si="4"/>
        <v>2271.8732592503884</v>
      </c>
      <c r="M7" s="8">
        <f t="shared" si="5"/>
        <v>2271.8732592503884</v>
      </c>
      <c r="N7" s="8">
        <f t="shared" si="5"/>
        <v>2271.8732592503884</v>
      </c>
      <c r="O7" s="8">
        <f t="shared" si="5"/>
        <v>2271.8732592503884</v>
      </c>
      <c r="P7" s="8">
        <f t="shared" si="5"/>
        <v>2271.8732592503884</v>
      </c>
      <c r="Q7" s="8">
        <f t="shared" si="5"/>
        <v>2271.8732592503884</v>
      </c>
      <c r="R7" s="8">
        <f t="shared" si="5"/>
        <v>2271.8732592503884</v>
      </c>
      <c r="S7" s="8">
        <f t="shared" si="5"/>
        <v>2271.8732592503884</v>
      </c>
      <c r="T7" s="8">
        <f t="shared" si="5"/>
        <v>2271.8732592503884</v>
      </c>
      <c r="U7" s="8">
        <f t="shared" si="5"/>
        <v>2271.8732592503884</v>
      </c>
      <c r="V7" s="8">
        <f t="shared" si="5"/>
        <v>2271.8732592503884</v>
      </c>
      <c r="W7" s="8">
        <f t="shared" si="6"/>
        <v>2271.8732592503884</v>
      </c>
      <c r="X7" s="8">
        <f t="shared" si="6"/>
        <v>2271.8732592503884</v>
      </c>
      <c r="Y7" s="8">
        <f t="shared" si="6"/>
        <v>2271.8732592503884</v>
      </c>
      <c r="Z7" s="8">
        <f t="shared" si="6"/>
        <v>2271.8732592503884</v>
      </c>
      <c r="AA7" s="8">
        <f t="shared" si="6"/>
        <v>2271.8732592503884</v>
      </c>
      <c r="AB7" s="8">
        <f t="shared" si="6"/>
        <v>2271.8732592503884</v>
      </c>
      <c r="AC7" s="8">
        <f t="shared" si="6"/>
        <v>2271.8732592503884</v>
      </c>
      <c r="AD7" s="8">
        <f t="shared" si="6"/>
        <v>2271.8732592503884</v>
      </c>
      <c r="AE7" s="8">
        <f t="shared" si="6"/>
        <v>2271.8732592503884</v>
      </c>
      <c r="AF7" s="8">
        <f t="shared" si="6"/>
        <v>2271.8732592503884</v>
      </c>
      <c r="AG7" s="8">
        <f t="shared" si="6"/>
        <v>2271.8732592503884</v>
      </c>
      <c r="AH7" s="8">
        <f t="shared" si="6"/>
        <v>2271.8732592503884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H25" sqref="H25"/>
    </sheetView>
  </sheetViews>
  <sheetFormatPr defaultColWidth="9.1328125" defaultRowHeight="14.75"/>
  <cols>
    <col min="1" max="1" width="16.7265625" customWidth="1"/>
    <col min="2" max="2" width="19.26953125" bestFit="1" customWidth="1"/>
    <col min="3" max="25" width="9.1328125" customWidth="1"/>
  </cols>
  <sheetData>
    <row r="1" spans="1:34" ht="32.15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10399.817342034386</v>
      </c>
      <c r="C2" s="8">
        <f t="shared" ref="C2:AH2" si="0">B2</f>
        <v>10399.817342034386</v>
      </c>
      <c r="D2" s="8">
        <f t="shared" si="0"/>
        <v>10399.817342034386</v>
      </c>
      <c r="E2" s="8">
        <f t="shared" si="0"/>
        <v>10399.817342034386</v>
      </c>
      <c r="F2" s="8">
        <f t="shared" si="0"/>
        <v>10399.817342034386</v>
      </c>
      <c r="G2" s="8">
        <f t="shared" si="0"/>
        <v>10399.817342034386</v>
      </c>
      <c r="H2" s="8">
        <f t="shared" si="0"/>
        <v>10399.817342034386</v>
      </c>
      <c r="I2" s="8">
        <f t="shared" si="0"/>
        <v>10399.817342034386</v>
      </c>
      <c r="J2" s="8">
        <f t="shared" si="0"/>
        <v>10399.817342034386</v>
      </c>
      <c r="K2" s="8">
        <f t="shared" si="0"/>
        <v>10399.817342034386</v>
      </c>
      <c r="L2" s="8">
        <f t="shared" si="0"/>
        <v>10399.817342034386</v>
      </c>
      <c r="M2" s="8">
        <f t="shared" si="0"/>
        <v>10399.817342034386</v>
      </c>
      <c r="N2" s="8">
        <f t="shared" si="0"/>
        <v>10399.817342034386</v>
      </c>
      <c r="O2" s="8">
        <f t="shared" si="0"/>
        <v>10399.817342034386</v>
      </c>
      <c r="P2" s="8">
        <f t="shared" si="0"/>
        <v>10399.817342034386</v>
      </c>
      <c r="Q2" s="8">
        <f t="shared" si="0"/>
        <v>10399.817342034386</v>
      </c>
      <c r="R2" s="8">
        <f t="shared" si="0"/>
        <v>10399.817342034386</v>
      </c>
      <c r="S2" s="8">
        <f t="shared" si="0"/>
        <v>10399.817342034386</v>
      </c>
      <c r="T2" s="8">
        <f t="shared" si="0"/>
        <v>10399.817342034386</v>
      </c>
      <c r="U2" s="8">
        <f t="shared" si="0"/>
        <v>10399.817342034386</v>
      </c>
      <c r="V2" s="8">
        <f t="shared" si="0"/>
        <v>10399.817342034386</v>
      </c>
      <c r="W2" s="8">
        <f t="shared" si="0"/>
        <v>10399.817342034386</v>
      </c>
      <c r="X2" s="8">
        <f t="shared" si="0"/>
        <v>10399.817342034386</v>
      </c>
      <c r="Y2" s="8">
        <f t="shared" si="0"/>
        <v>10399.817342034386</v>
      </c>
      <c r="Z2" s="8">
        <f t="shared" si="0"/>
        <v>10399.817342034386</v>
      </c>
      <c r="AA2" s="8">
        <f t="shared" si="0"/>
        <v>10399.817342034386</v>
      </c>
      <c r="AB2" s="8">
        <f t="shared" si="0"/>
        <v>10399.817342034386</v>
      </c>
      <c r="AC2" s="8">
        <f t="shared" si="0"/>
        <v>10399.817342034386</v>
      </c>
      <c r="AD2" s="8">
        <f t="shared" si="0"/>
        <v>10399.817342034386</v>
      </c>
      <c r="AE2" s="8">
        <f t="shared" si="0"/>
        <v>10399.817342034386</v>
      </c>
      <c r="AF2" s="8">
        <f t="shared" si="0"/>
        <v>10399.817342034386</v>
      </c>
      <c r="AG2" s="8">
        <f t="shared" si="0"/>
        <v>10399.817342034386</v>
      </c>
      <c r="AH2" s="8">
        <f t="shared" si="0"/>
        <v>10399.817342034386</v>
      </c>
    </row>
    <row r="3" spans="1:34">
      <c r="A3" t="s">
        <v>39</v>
      </c>
      <c r="B3" s="8">
        <f>'Scale to SEDS'!F76</f>
        <v>33028.365811837401</v>
      </c>
      <c r="C3" s="8">
        <f t="shared" ref="C3:AH3" si="1">B3</f>
        <v>33028.365811837401</v>
      </c>
      <c r="D3" s="8">
        <f t="shared" si="1"/>
        <v>33028.365811837401</v>
      </c>
      <c r="E3" s="8">
        <f t="shared" si="1"/>
        <v>33028.365811837401</v>
      </c>
      <c r="F3" s="8">
        <f t="shared" si="1"/>
        <v>33028.365811837401</v>
      </c>
      <c r="G3" s="8">
        <f t="shared" si="1"/>
        <v>33028.365811837401</v>
      </c>
      <c r="H3" s="8">
        <f t="shared" si="1"/>
        <v>33028.365811837401</v>
      </c>
      <c r="I3" s="8">
        <f t="shared" si="1"/>
        <v>33028.365811837401</v>
      </c>
      <c r="J3" s="8">
        <f t="shared" si="1"/>
        <v>33028.365811837401</v>
      </c>
      <c r="K3" s="8">
        <f t="shared" si="1"/>
        <v>33028.365811837401</v>
      </c>
      <c r="L3" s="8">
        <f t="shared" si="1"/>
        <v>33028.365811837401</v>
      </c>
      <c r="M3" s="8">
        <f t="shared" si="1"/>
        <v>33028.365811837401</v>
      </c>
      <c r="N3" s="8">
        <f t="shared" si="1"/>
        <v>33028.365811837401</v>
      </c>
      <c r="O3" s="8">
        <f t="shared" si="1"/>
        <v>33028.365811837401</v>
      </c>
      <c r="P3" s="8">
        <f t="shared" si="1"/>
        <v>33028.365811837401</v>
      </c>
      <c r="Q3" s="8">
        <f t="shared" si="1"/>
        <v>33028.365811837401</v>
      </c>
      <c r="R3" s="8">
        <f t="shared" si="1"/>
        <v>33028.365811837401</v>
      </c>
      <c r="S3" s="8">
        <f t="shared" si="1"/>
        <v>33028.365811837401</v>
      </c>
      <c r="T3" s="8">
        <f t="shared" si="1"/>
        <v>33028.365811837401</v>
      </c>
      <c r="U3" s="8">
        <f t="shared" si="1"/>
        <v>33028.365811837401</v>
      </c>
      <c r="V3" s="8">
        <f t="shared" si="1"/>
        <v>33028.365811837401</v>
      </c>
      <c r="W3" s="8">
        <f t="shared" si="1"/>
        <v>33028.365811837401</v>
      </c>
      <c r="X3" s="8">
        <f t="shared" si="1"/>
        <v>33028.365811837401</v>
      </c>
      <c r="Y3" s="8">
        <f t="shared" si="1"/>
        <v>33028.365811837401</v>
      </c>
      <c r="Z3" s="8">
        <f t="shared" si="1"/>
        <v>33028.365811837401</v>
      </c>
      <c r="AA3" s="8">
        <f t="shared" si="1"/>
        <v>33028.365811837401</v>
      </c>
      <c r="AB3" s="8">
        <f t="shared" si="1"/>
        <v>33028.365811837401</v>
      </c>
      <c r="AC3" s="8">
        <f t="shared" si="1"/>
        <v>33028.365811837401</v>
      </c>
      <c r="AD3" s="8">
        <f t="shared" si="1"/>
        <v>33028.365811837401</v>
      </c>
      <c r="AE3" s="8">
        <f t="shared" si="1"/>
        <v>33028.365811837401</v>
      </c>
      <c r="AF3" s="8">
        <f t="shared" si="1"/>
        <v>33028.365811837401</v>
      </c>
      <c r="AG3" s="8">
        <f t="shared" si="1"/>
        <v>33028.365811837401</v>
      </c>
      <c r="AH3" s="8">
        <f t="shared" si="1"/>
        <v>33028.365811837401</v>
      </c>
    </row>
    <row r="4" spans="1:34">
      <c r="A4" t="s">
        <v>40</v>
      </c>
      <c r="B4" s="8">
        <f>'Scale to SEDS'!G77</f>
        <v>905339.33207879646</v>
      </c>
      <c r="C4" s="8">
        <f t="shared" ref="C4:AH4" si="2">B4</f>
        <v>905339.33207879646</v>
      </c>
      <c r="D4" s="8">
        <f t="shared" si="2"/>
        <v>905339.33207879646</v>
      </c>
      <c r="E4" s="8">
        <f t="shared" si="2"/>
        <v>905339.33207879646</v>
      </c>
      <c r="F4" s="8">
        <f t="shared" si="2"/>
        <v>905339.33207879646</v>
      </c>
      <c r="G4" s="8">
        <f t="shared" si="2"/>
        <v>905339.33207879646</v>
      </c>
      <c r="H4" s="8">
        <f t="shared" si="2"/>
        <v>905339.33207879646</v>
      </c>
      <c r="I4" s="8">
        <f t="shared" si="2"/>
        <v>905339.33207879646</v>
      </c>
      <c r="J4" s="8">
        <f t="shared" si="2"/>
        <v>905339.33207879646</v>
      </c>
      <c r="K4" s="8">
        <f t="shared" si="2"/>
        <v>905339.33207879646</v>
      </c>
      <c r="L4" s="8">
        <f t="shared" si="2"/>
        <v>905339.33207879646</v>
      </c>
      <c r="M4" s="8">
        <f t="shared" si="2"/>
        <v>905339.33207879646</v>
      </c>
      <c r="N4" s="8">
        <f t="shared" si="2"/>
        <v>905339.33207879646</v>
      </c>
      <c r="O4" s="8">
        <f t="shared" si="2"/>
        <v>905339.33207879646</v>
      </c>
      <c r="P4" s="8">
        <f t="shared" si="2"/>
        <v>905339.33207879646</v>
      </c>
      <c r="Q4" s="8">
        <f t="shared" si="2"/>
        <v>905339.33207879646</v>
      </c>
      <c r="R4" s="8">
        <f t="shared" si="2"/>
        <v>905339.33207879646</v>
      </c>
      <c r="S4" s="8">
        <f t="shared" si="2"/>
        <v>905339.33207879646</v>
      </c>
      <c r="T4" s="8">
        <f t="shared" si="2"/>
        <v>905339.33207879646</v>
      </c>
      <c r="U4" s="8">
        <f t="shared" si="2"/>
        <v>905339.33207879646</v>
      </c>
      <c r="V4" s="8">
        <f t="shared" si="2"/>
        <v>905339.33207879646</v>
      </c>
      <c r="W4" s="8">
        <f t="shared" si="2"/>
        <v>905339.33207879646</v>
      </c>
      <c r="X4" s="8">
        <f t="shared" si="2"/>
        <v>905339.33207879646</v>
      </c>
      <c r="Y4" s="8">
        <f t="shared" si="2"/>
        <v>905339.33207879646</v>
      </c>
      <c r="Z4" s="8">
        <f t="shared" si="2"/>
        <v>905339.33207879646</v>
      </c>
      <c r="AA4" s="8">
        <f t="shared" si="2"/>
        <v>905339.33207879646</v>
      </c>
      <c r="AB4" s="8">
        <f t="shared" si="2"/>
        <v>905339.33207879646</v>
      </c>
      <c r="AC4" s="8">
        <f t="shared" si="2"/>
        <v>905339.33207879646</v>
      </c>
      <c r="AD4" s="8">
        <f t="shared" si="2"/>
        <v>905339.33207879646</v>
      </c>
      <c r="AE4" s="8">
        <f t="shared" si="2"/>
        <v>905339.33207879646</v>
      </c>
      <c r="AF4" s="8">
        <f t="shared" si="2"/>
        <v>905339.33207879646</v>
      </c>
      <c r="AG4" s="8">
        <f t="shared" si="2"/>
        <v>905339.33207879646</v>
      </c>
      <c r="AH4" s="8">
        <f t="shared" si="2"/>
        <v>905339.33207879646</v>
      </c>
    </row>
    <row r="5" spans="1:34">
      <c r="A5" t="s">
        <v>41</v>
      </c>
      <c r="B5" s="8">
        <f>'Scale to SEDS'!F78</f>
        <v>18271.073911159059</v>
      </c>
      <c r="C5" s="8">
        <f t="shared" ref="C5:AH5" si="3">B5</f>
        <v>18271.073911159059</v>
      </c>
      <c r="D5" s="8">
        <f t="shared" si="3"/>
        <v>18271.073911159059</v>
      </c>
      <c r="E5" s="8">
        <f t="shared" si="3"/>
        <v>18271.073911159059</v>
      </c>
      <c r="F5" s="8">
        <f t="shared" si="3"/>
        <v>18271.073911159059</v>
      </c>
      <c r="G5" s="8">
        <f t="shared" si="3"/>
        <v>18271.073911159059</v>
      </c>
      <c r="H5" s="8">
        <f t="shared" si="3"/>
        <v>18271.073911159059</v>
      </c>
      <c r="I5" s="8">
        <f t="shared" si="3"/>
        <v>18271.073911159059</v>
      </c>
      <c r="J5" s="8">
        <f t="shared" si="3"/>
        <v>18271.073911159059</v>
      </c>
      <c r="K5" s="8">
        <f t="shared" si="3"/>
        <v>18271.073911159059</v>
      </c>
      <c r="L5" s="8">
        <f t="shared" si="3"/>
        <v>18271.073911159059</v>
      </c>
      <c r="M5" s="8">
        <f t="shared" si="3"/>
        <v>18271.073911159059</v>
      </c>
      <c r="N5" s="8">
        <f t="shared" si="3"/>
        <v>18271.073911159059</v>
      </c>
      <c r="O5" s="8">
        <f t="shared" si="3"/>
        <v>18271.073911159059</v>
      </c>
      <c r="P5" s="8">
        <f t="shared" si="3"/>
        <v>18271.073911159059</v>
      </c>
      <c r="Q5" s="8">
        <f t="shared" si="3"/>
        <v>18271.073911159059</v>
      </c>
      <c r="R5" s="8">
        <f t="shared" si="3"/>
        <v>18271.073911159059</v>
      </c>
      <c r="S5" s="8">
        <f t="shared" si="3"/>
        <v>18271.073911159059</v>
      </c>
      <c r="T5" s="8">
        <f t="shared" si="3"/>
        <v>18271.073911159059</v>
      </c>
      <c r="U5" s="8">
        <f t="shared" si="3"/>
        <v>18271.073911159059</v>
      </c>
      <c r="V5" s="8">
        <f t="shared" si="3"/>
        <v>18271.073911159059</v>
      </c>
      <c r="W5" s="8">
        <f t="shared" si="3"/>
        <v>18271.073911159059</v>
      </c>
      <c r="X5" s="8">
        <f t="shared" si="3"/>
        <v>18271.073911159059</v>
      </c>
      <c r="Y5" s="8">
        <f t="shared" si="3"/>
        <v>18271.073911159059</v>
      </c>
      <c r="Z5" s="8">
        <f t="shared" si="3"/>
        <v>18271.073911159059</v>
      </c>
      <c r="AA5" s="8">
        <f t="shared" si="3"/>
        <v>18271.073911159059</v>
      </c>
      <c r="AB5" s="8">
        <f t="shared" si="3"/>
        <v>18271.073911159059</v>
      </c>
      <c r="AC5" s="8">
        <f t="shared" si="3"/>
        <v>18271.073911159059</v>
      </c>
      <c r="AD5" s="8">
        <f t="shared" si="3"/>
        <v>18271.073911159059</v>
      </c>
      <c r="AE5" s="8">
        <f t="shared" si="3"/>
        <v>18271.073911159059</v>
      </c>
      <c r="AF5" s="8">
        <f t="shared" si="3"/>
        <v>18271.073911159059</v>
      </c>
      <c r="AG5" s="8">
        <f t="shared" si="3"/>
        <v>18271.073911159059</v>
      </c>
      <c r="AH5" s="8">
        <f t="shared" si="3"/>
        <v>18271.073911159059</v>
      </c>
    </row>
    <row r="6" spans="1:34">
      <c r="A6" t="s">
        <v>42</v>
      </c>
      <c r="B6" s="8">
        <f>'Scale to SEDS'!F79</f>
        <v>50718.106355773212</v>
      </c>
      <c r="C6" s="8">
        <f t="shared" ref="C6:AH6" si="4">B6</f>
        <v>50718.106355773212</v>
      </c>
      <c r="D6" s="8">
        <f t="shared" si="4"/>
        <v>50718.106355773212</v>
      </c>
      <c r="E6" s="8">
        <f t="shared" si="4"/>
        <v>50718.106355773212</v>
      </c>
      <c r="F6" s="8">
        <f t="shared" si="4"/>
        <v>50718.106355773212</v>
      </c>
      <c r="G6" s="8">
        <f t="shared" si="4"/>
        <v>50718.106355773212</v>
      </c>
      <c r="H6" s="8">
        <f t="shared" si="4"/>
        <v>50718.106355773212</v>
      </c>
      <c r="I6" s="8">
        <f t="shared" si="4"/>
        <v>50718.106355773212</v>
      </c>
      <c r="J6" s="8">
        <f t="shared" si="4"/>
        <v>50718.106355773212</v>
      </c>
      <c r="K6" s="8">
        <f t="shared" si="4"/>
        <v>50718.106355773212</v>
      </c>
      <c r="L6" s="8">
        <f t="shared" si="4"/>
        <v>50718.106355773212</v>
      </c>
      <c r="M6" s="8">
        <f t="shared" si="4"/>
        <v>50718.106355773212</v>
      </c>
      <c r="N6" s="8">
        <f t="shared" si="4"/>
        <v>50718.106355773212</v>
      </c>
      <c r="O6" s="8">
        <f t="shared" si="4"/>
        <v>50718.106355773212</v>
      </c>
      <c r="P6" s="8">
        <f t="shared" si="4"/>
        <v>50718.106355773212</v>
      </c>
      <c r="Q6" s="8">
        <f t="shared" si="4"/>
        <v>50718.106355773212</v>
      </c>
      <c r="R6" s="8">
        <f t="shared" si="4"/>
        <v>50718.106355773212</v>
      </c>
      <c r="S6" s="8">
        <f t="shared" si="4"/>
        <v>50718.106355773212</v>
      </c>
      <c r="T6" s="8">
        <f t="shared" si="4"/>
        <v>50718.106355773212</v>
      </c>
      <c r="U6" s="8">
        <f t="shared" si="4"/>
        <v>50718.106355773212</v>
      </c>
      <c r="V6" s="8">
        <f t="shared" si="4"/>
        <v>50718.106355773212</v>
      </c>
      <c r="W6" s="8">
        <f t="shared" si="4"/>
        <v>50718.106355773212</v>
      </c>
      <c r="X6" s="8">
        <f t="shared" si="4"/>
        <v>50718.106355773212</v>
      </c>
      <c r="Y6" s="8">
        <f t="shared" si="4"/>
        <v>50718.106355773212</v>
      </c>
      <c r="Z6" s="8">
        <f t="shared" si="4"/>
        <v>50718.106355773212</v>
      </c>
      <c r="AA6" s="8">
        <f t="shared" si="4"/>
        <v>50718.106355773212</v>
      </c>
      <c r="AB6" s="8">
        <f t="shared" si="4"/>
        <v>50718.106355773212</v>
      </c>
      <c r="AC6" s="8">
        <f t="shared" si="4"/>
        <v>50718.106355773212</v>
      </c>
      <c r="AD6" s="8">
        <f t="shared" si="4"/>
        <v>50718.106355773212</v>
      </c>
      <c r="AE6" s="8">
        <f t="shared" si="4"/>
        <v>50718.106355773212</v>
      </c>
      <c r="AF6" s="8">
        <f t="shared" si="4"/>
        <v>50718.106355773212</v>
      </c>
      <c r="AG6" s="8">
        <f t="shared" si="4"/>
        <v>50718.106355773212</v>
      </c>
      <c r="AH6" s="8">
        <f t="shared" si="4"/>
        <v>50718.106355773212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Annual Service Data_rail only</vt:lpstr>
      <vt:lpstr>Fuel and Energy_rail only</vt:lpstr>
      <vt:lpstr>psgr rail calcs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2024-01-19T23:07:03Z</dcterms:modified>
</cp:coreProperties>
</file>